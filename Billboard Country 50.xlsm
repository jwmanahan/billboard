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72677A0E-44FD-4302-B4E8-47030313619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ta" sheetId="1" r:id="rId1"/>
    <sheet name="Current Chart" sheetId="7" r:id="rId2"/>
    <sheet name="Songs" sheetId="2" r:id="rId3"/>
    <sheet name="Artists" sheetId="3" r:id="rId4"/>
    <sheet name="Rules" sheetId="4" r:id="rId5"/>
    <sheet name="Ideas" sheetId="5" r:id="rId6"/>
    <sheet name="Validation" sheetId="6" r:id="rId7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3" i="3" l="1"/>
  <c r="G83" i="3" a="1"/>
  <c r="G83" i="3" s="1"/>
  <c r="F83" i="3"/>
  <c r="E83" i="3"/>
  <c r="C83" i="3" a="1"/>
  <c r="C83" i="3" s="1"/>
  <c r="I77" i="3"/>
  <c r="G77" i="3" a="1"/>
  <c r="G77" i="3" s="1"/>
  <c r="E77" i="3"/>
  <c r="C77" i="3" a="1"/>
  <c r="C77" i="3" s="1"/>
  <c r="I70" i="3"/>
  <c r="G70" i="3" a="1"/>
  <c r="G70" i="3" s="1"/>
  <c r="E70" i="3"/>
  <c r="C70" i="3" a="1"/>
  <c r="C70" i="3" s="1"/>
  <c r="I69" i="3"/>
  <c r="G69" i="3" a="1"/>
  <c r="G69" i="3" s="1"/>
  <c r="E69" i="3"/>
  <c r="C69" i="3" a="1"/>
  <c r="C69" i="3" s="1"/>
  <c r="I68" i="3"/>
  <c r="G68" i="3" a="1"/>
  <c r="G68" i="3" s="1"/>
  <c r="E68" i="3"/>
  <c r="C68" i="3" a="1"/>
  <c r="C68" i="3" s="1"/>
  <c r="I82" i="3"/>
  <c r="I81" i="3"/>
  <c r="I80" i="3"/>
  <c r="I79" i="3"/>
  <c r="I78" i="3"/>
  <c r="I67" i="3"/>
  <c r="I66" i="3"/>
  <c r="I55" i="3"/>
  <c r="I54" i="3"/>
  <c r="I53" i="3"/>
  <c r="I52" i="3"/>
  <c r="I51" i="3"/>
  <c r="I50" i="3"/>
  <c r="G82" i="3" a="1"/>
  <c r="G82" i="3" s="1"/>
  <c r="F82" i="3"/>
  <c r="E82" i="3"/>
  <c r="C82" i="3" s="1" a="1"/>
  <c r="C82" i="3" s="1"/>
  <c r="G81" i="3" a="1"/>
  <c r="G81" i="3" s="1"/>
  <c r="F81" i="3"/>
  <c r="E81" i="3"/>
  <c r="C81" i="3" a="1"/>
  <c r="C81" i="3" s="1"/>
  <c r="G80" i="3" a="1"/>
  <c r="G80" i="3" s="1"/>
  <c r="F80" i="3"/>
  <c r="E80" i="3"/>
  <c r="C80" i="3" s="1" a="1"/>
  <c r="C80" i="3" s="1"/>
  <c r="G79" i="3" a="1"/>
  <c r="G79" i="3" s="1"/>
  <c r="F79" i="3"/>
  <c r="E79" i="3"/>
  <c r="C79" i="3" s="1" a="1"/>
  <c r="C79" i="3" s="1"/>
  <c r="G78" i="3" a="1"/>
  <c r="G78" i="3" s="1"/>
  <c r="F78" i="3"/>
  <c r="E78" i="3"/>
  <c r="C78" i="3" a="1"/>
  <c r="C78" i="3" s="1"/>
  <c r="G74" i="3" a="1"/>
  <c r="G74" i="3" s="1"/>
  <c r="E74" i="3"/>
  <c r="C74" i="3" s="1" a="1"/>
  <c r="C74" i="3" s="1"/>
  <c r="G72" i="3" a="1"/>
  <c r="G72" i="3" s="1"/>
  <c r="E72" i="3"/>
  <c r="C72" i="3" s="1" a="1"/>
  <c r="C72" i="3" s="1"/>
  <c r="G73" i="3" a="1"/>
  <c r="G73" i="3" s="1"/>
  <c r="E73" i="3"/>
  <c r="C73" i="3" a="1"/>
  <c r="C73" i="3" s="1"/>
  <c r="G71" i="3" a="1"/>
  <c r="G71" i="3" s="1"/>
  <c r="E71" i="3"/>
  <c r="C71" i="3" s="1" a="1"/>
  <c r="C71" i="3" s="1"/>
  <c r="G76" i="3" a="1"/>
  <c r="G76" i="3" s="1"/>
  <c r="E76" i="3"/>
  <c r="C76" i="3" s="1" a="1"/>
  <c r="C76" i="3" s="1"/>
  <c r="G75" i="3" a="1"/>
  <c r="G75" i="3" s="1"/>
  <c r="E75" i="3"/>
  <c r="C75" i="3" s="1" a="1"/>
  <c r="C75" i="3" s="1"/>
  <c r="G67" i="3" a="1"/>
  <c r="G67" i="3" s="1"/>
  <c r="F67" i="3"/>
  <c r="E67" i="3"/>
  <c r="C67" i="3" a="1"/>
  <c r="C67" i="3" s="1"/>
  <c r="G66" i="3" a="1"/>
  <c r="G66" i="3" s="1"/>
  <c r="F66" i="3"/>
  <c r="E66" i="3"/>
  <c r="C66" i="3" s="1" a="1"/>
  <c r="C66" i="3" s="1"/>
  <c r="G65" i="3" a="1"/>
  <c r="G65" i="3" s="1"/>
  <c r="E65" i="3"/>
  <c r="C65" i="3" a="1"/>
  <c r="C65" i="3" s="1"/>
  <c r="G64" i="3" a="1"/>
  <c r="G64" i="3" s="1"/>
  <c r="E64" i="3"/>
  <c r="C64" i="3" s="1" a="1"/>
  <c r="C64" i="3" s="1"/>
  <c r="G63" i="3" a="1"/>
  <c r="G63" i="3" s="1"/>
  <c r="E63" i="3"/>
  <c r="C63" i="3" a="1"/>
  <c r="C63" i="3" s="1"/>
  <c r="G59" i="3" a="1"/>
  <c r="G59" i="3" s="1"/>
  <c r="E59" i="3"/>
  <c r="C59" i="3" s="1" a="1"/>
  <c r="C59" i="3" s="1"/>
  <c r="G57" i="3" a="1"/>
  <c r="G57" i="3" s="1"/>
  <c r="E57" i="3"/>
  <c r="C57" i="3" s="1" a="1"/>
  <c r="C57" i="3" s="1"/>
  <c r="G62" i="3" a="1"/>
  <c r="G62" i="3" s="1"/>
  <c r="E62" i="3"/>
  <c r="C62" i="3" s="1" a="1"/>
  <c r="C62" i="3" s="1"/>
  <c r="G61" i="3" a="1"/>
  <c r="G61" i="3" s="1"/>
  <c r="E61" i="3"/>
  <c r="C61" i="3" s="1" a="1"/>
  <c r="C61" i="3" s="1"/>
  <c r="G56" i="3" a="1"/>
  <c r="G56" i="3" s="1"/>
  <c r="E56" i="3"/>
  <c r="C56" i="3" s="1" a="1"/>
  <c r="C56" i="3" s="1"/>
  <c r="G60" i="3" a="1"/>
  <c r="G60" i="3" s="1"/>
  <c r="E60" i="3"/>
  <c r="C60" i="3" a="1"/>
  <c r="C60" i="3" s="1"/>
  <c r="G58" i="3" a="1"/>
  <c r="G58" i="3" s="1"/>
  <c r="E58" i="3"/>
  <c r="C58" i="3" a="1"/>
  <c r="C58" i="3" s="1"/>
  <c r="G55" i="3" a="1"/>
  <c r="G55" i="3" s="1"/>
  <c r="F55" i="3"/>
  <c r="E55" i="3"/>
  <c r="C55" i="3" s="1" a="1"/>
  <c r="C55" i="3" s="1"/>
  <c r="G54" i="3" a="1"/>
  <c r="G54" i="3" s="1"/>
  <c r="F54" i="3"/>
  <c r="E54" i="3"/>
  <c r="C54" i="3" s="1" a="1"/>
  <c r="C54" i="3" s="1"/>
  <c r="G53" i="3" a="1"/>
  <c r="G53" i="3" s="1"/>
  <c r="F53" i="3"/>
  <c r="E53" i="3"/>
  <c r="C53" i="3" a="1"/>
  <c r="C53" i="3" s="1"/>
  <c r="G52" i="3" a="1"/>
  <c r="G52" i="3" s="1"/>
  <c r="F52" i="3"/>
  <c r="E52" i="3"/>
  <c r="C52" i="3" a="1"/>
  <c r="C52" i="3" s="1"/>
  <c r="G51" i="3" a="1"/>
  <c r="G51" i="3" s="1"/>
  <c r="F51" i="3"/>
  <c r="E51" i="3"/>
  <c r="C51" i="3" s="1" a="1"/>
  <c r="C51" i="3" s="1"/>
  <c r="G50" i="3" a="1"/>
  <c r="G50" i="3" s="1"/>
  <c r="F50" i="3"/>
  <c r="E50" i="3"/>
  <c r="C50" i="3" s="1" a="1"/>
  <c r="C50" i="3" s="1"/>
  <c r="G49" i="3" a="1"/>
  <c r="G49" i="3" s="1"/>
  <c r="E49" i="3"/>
  <c r="C49" i="3" s="1" a="1"/>
  <c r="C49" i="3" s="1"/>
  <c r="G48" i="3" a="1"/>
  <c r="G48" i="3" s="1"/>
  <c r="E48" i="3"/>
  <c r="C48" i="3" s="1" a="1"/>
  <c r="C48" i="3" s="1"/>
  <c r="G44" i="3" a="1"/>
  <c r="G44" i="3" s="1"/>
  <c r="E44" i="3"/>
  <c r="C44" i="3" s="1" a="1"/>
  <c r="C44" i="3" s="1"/>
  <c r="G45" i="3" a="1"/>
  <c r="G45" i="3" s="1"/>
  <c r="E45" i="3"/>
  <c r="C45" i="3" s="1" a="1"/>
  <c r="C45" i="3" s="1"/>
  <c r="G47" i="3" a="1"/>
  <c r="G47" i="3" s="1"/>
  <c r="E47" i="3"/>
  <c r="C47" i="3" s="1" a="1"/>
  <c r="C47" i="3" s="1"/>
  <c r="G46" i="3" a="1"/>
  <c r="G46" i="3" s="1"/>
  <c r="E46" i="3"/>
  <c r="C46" i="3" s="1" a="1"/>
  <c r="C46" i="3" s="1"/>
  <c r="G42" i="3" a="1"/>
  <c r="G42" i="3" s="1"/>
  <c r="E42" i="3"/>
  <c r="C42" i="3" s="1" a="1"/>
  <c r="C42" i="3" s="1"/>
  <c r="G41" i="3" a="1"/>
  <c r="G41" i="3" s="1"/>
  <c r="E41" i="3"/>
  <c r="C41" i="3" s="1" a="1"/>
  <c r="C41" i="3" s="1"/>
  <c r="G43" i="3" a="1"/>
  <c r="G43" i="3" s="1"/>
  <c r="E43" i="3"/>
  <c r="C43" i="3" s="1" a="1"/>
  <c r="C43" i="3" s="1"/>
  <c r="G38" i="3" a="1"/>
  <c r="G38" i="3" s="1"/>
  <c r="E38" i="3"/>
  <c r="C38" i="3" s="1" a="1"/>
  <c r="C38" i="3" s="1"/>
  <c r="G40" i="3" a="1"/>
  <c r="G40" i="3" s="1"/>
  <c r="E40" i="3"/>
  <c r="C40" i="3" s="1" a="1"/>
  <c r="C40" i="3" s="1"/>
  <c r="G39" i="3" a="1"/>
  <c r="G39" i="3" s="1"/>
  <c r="E39" i="3"/>
  <c r="C39" i="3" s="1" a="1"/>
  <c r="C39" i="3" s="1"/>
  <c r="G34" i="3" a="1"/>
  <c r="G34" i="3" s="1"/>
  <c r="E34" i="3"/>
  <c r="C34" i="3" s="1" a="1"/>
  <c r="C34" i="3" s="1"/>
  <c r="G37" i="3" a="1"/>
  <c r="G37" i="3" s="1"/>
  <c r="E37" i="3"/>
  <c r="C37" i="3" s="1" a="1"/>
  <c r="C37" i="3" s="1"/>
  <c r="G35" i="3" a="1"/>
  <c r="G35" i="3" s="1"/>
  <c r="E35" i="3"/>
  <c r="C35" i="3" s="1" a="1"/>
  <c r="C35" i="3" s="1"/>
  <c r="G36" i="3" a="1"/>
  <c r="G36" i="3" s="1"/>
  <c r="E36" i="3"/>
  <c r="C36" i="3" s="1" a="1"/>
  <c r="C36" i="3" s="1"/>
  <c r="G33" i="3" a="1"/>
  <c r="G33" i="3" s="1"/>
  <c r="E33" i="3"/>
  <c r="C33" i="3" s="1" a="1"/>
  <c r="C33" i="3" s="1"/>
  <c r="G30" i="3" a="1"/>
  <c r="G30" i="3" s="1"/>
  <c r="E30" i="3"/>
  <c r="C30" i="3" s="1" a="1"/>
  <c r="C30" i="3" s="1"/>
  <c r="G32" i="3" a="1"/>
  <c r="G32" i="3" s="1"/>
  <c r="E32" i="3"/>
  <c r="C32" i="3" s="1" a="1"/>
  <c r="C32" i="3" s="1"/>
  <c r="G31" i="3" a="1"/>
  <c r="G31" i="3" s="1"/>
  <c r="E31" i="3"/>
  <c r="C31" i="3" s="1" a="1"/>
  <c r="C31" i="3" s="1"/>
  <c r="G28" i="3" a="1"/>
  <c r="G28" i="3" s="1"/>
  <c r="E28" i="3"/>
  <c r="C28" i="3" s="1" a="1"/>
  <c r="C28" i="3" s="1"/>
  <c r="G29" i="3" a="1"/>
  <c r="G29" i="3" s="1"/>
  <c r="E29" i="3"/>
  <c r="C29" i="3" s="1" a="1"/>
  <c r="C29" i="3" s="1"/>
  <c r="G24" i="3" a="1"/>
  <c r="G24" i="3" s="1"/>
  <c r="E24" i="3"/>
  <c r="C24" i="3" s="1" a="1"/>
  <c r="C24" i="3" s="1"/>
  <c r="G26" i="3" a="1"/>
  <c r="G26" i="3" s="1"/>
  <c r="E26" i="3"/>
  <c r="C26" i="3" s="1" a="1"/>
  <c r="C26" i="3" s="1"/>
  <c r="G25" i="3" a="1"/>
  <c r="G25" i="3" s="1"/>
  <c r="E25" i="3"/>
  <c r="C25" i="3" s="1" a="1"/>
  <c r="C25" i="3" s="1"/>
  <c r="G14" i="3" a="1"/>
  <c r="G14" i="3" s="1"/>
  <c r="E14" i="3"/>
  <c r="C14" i="3" s="1" a="1"/>
  <c r="C14" i="3" s="1"/>
  <c r="G16" i="3" a="1"/>
  <c r="G16" i="3" s="1"/>
  <c r="E16" i="3"/>
  <c r="C16" i="3" s="1" a="1"/>
  <c r="C16" i="3" s="1"/>
  <c r="G21" i="3" a="1"/>
  <c r="G21" i="3" s="1"/>
  <c r="E21" i="3"/>
  <c r="C21" i="3" s="1" a="1"/>
  <c r="C21" i="3" s="1"/>
  <c r="G20" i="3" a="1"/>
  <c r="G20" i="3" s="1"/>
  <c r="E20" i="3"/>
  <c r="C20" i="3" s="1" a="1"/>
  <c r="C20" i="3" s="1"/>
  <c r="G17" i="3" a="1"/>
  <c r="G17" i="3" s="1"/>
  <c r="E17" i="3"/>
  <c r="C17" i="3" s="1" a="1"/>
  <c r="C17" i="3" s="1"/>
  <c r="G15" i="3" a="1"/>
  <c r="G15" i="3" s="1"/>
  <c r="E15" i="3"/>
  <c r="C15" i="3" s="1" a="1"/>
  <c r="C15" i="3" s="1"/>
  <c r="G23" i="3" a="1"/>
  <c r="G23" i="3" s="1"/>
  <c r="E23" i="3"/>
  <c r="C23" i="3" s="1" a="1"/>
  <c r="C23" i="3" s="1"/>
  <c r="G27" i="3" a="1"/>
  <c r="G27" i="3" s="1"/>
  <c r="E27" i="3"/>
  <c r="C27" i="3" s="1" a="1"/>
  <c r="C27" i="3" s="1"/>
  <c r="G19" i="3" a="1"/>
  <c r="G19" i="3" s="1"/>
  <c r="E19" i="3"/>
  <c r="C19" i="3" s="1" a="1"/>
  <c r="C19" i="3" s="1"/>
  <c r="G18" i="3" a="1"/>
  <c r="G18" i="3" s="1"/>
  <c r="E18" i="3"/>
  <c r="C18" i="3" a="1"/>
  <c r="C18" i="3" s="1"/>
  <c r="G22" i="3" a="1"/>
  <c r="G22" i="3" s="1"/>
  <c r="E22" i="3"/>
  <c r="C22" i="3" s="1" a="1"/>
  <c r="C22" i="3" s="1"/>
  <c r="G12" i="3" a="1"/>
  <c r="G12" i="3" s="1"/>
  <c r="E12" i="3"/>
  <c r="C12" i="3" s="1" a="1"/>
  <c r="C12" i="3" s="1"/>
  <c r="G11" i="3" a="1"/>
  <c r="G11" i="3" s="1"/>
  <c r="E11" i="3"/>
  <c r="C11" i="3" s="1" a="1"/>
  <c r="C11" i="3" s="1"/>
  <c r="G13" i="3" a="1"/>
  <c r="G13" i="3" s="1"/>
  <c r="E13" i="3"/>
  <c r="C13" i="3" s="1" a="1"/>
  <c r="C13" i="3" s="1"/>
  <c r="G10" i="3" a="1"/>
  <c r="G10" i="3" s="1"/>
  <c r="E10" i="3"/>
  <c r="C10" i="3" s="1" a="1"/>
  <c r="C10" i="3" s="1"/>
  <c r="G9" i="3" a="1"/>
  <c r="G9" i="3" s="1"/>
  <c r="E9" i="3"/>
  <c r="C9" i="3" s="1" a="1"/>
  <c r="C9" i="3" s="1"/>
  <c r="G8" i="3" a="1"/>
  <c r="G8" i="3" s="1"/>
  <c r="E8" i="3"/>
  <c r="C8" i="3" s="1" a="1"/>
  <c r="C8" i="3" s="1"/>
  <c r="G7" i="3" a="1"/>
  <c r="G7" i="3" s="1"/>
  <c r="E7" i="3"/>
  <c r="C7" i="3" s="1" a="1"/>
  <c r="C7" i="3" s="1"/>
  <c r="G6" i="3" a="1"/>
  <c r="G6" i="3" s="1"/>
  <c r="E6" i="3"/>
  <c r="C6" i="3" a="1"/>
  <c r="C6" i="3" s="1"/>
  <c r="G5" i="3" a="1"/>
  <c r="G5" i="3" s="1"/>
  <c r="E5" i="3"/>
  <c r="C5" i="3" s="1" a="1"/>
  <c r="C5" i="3" s="1"/>
  <c r="G4" i="3" a="1"/>
  <c r="G4" i="3" s="1"/>
  <c r="E4" i="3"/>
  <c r="C4" i="3" s="1" a="1"/>
  <c r="C4" i="3" s="1"/>
  <c r="G3" i="3" a="1"/>
  <c r="G3" i="3" s="1"/>
  <c r="E3" i="3"/>
  <c r="C3" i="3" s="1" a="1"/>
  <c r="C3" i="3" s="1"/>
  <c r="G2" i="3" a="1"/>
  <c r="G2" i="3" s="1"/>
  <c r="E2" i="3"/>
  <c r="B3" i="7" a="1"/>
  <c r="B3" i="7" s="1"/>
  <c r="B4" i="7" a="1"/>
  <c r="B4" i="7" s="1"/>
  <c r="B5" i="7" a="1"/>
  <c r="B5" i="7" s="1"/>
  <c r="B6" i="7" a="1"/>
  <c r="B6" i="7" s="1"/>
  <c r="B7" i="7" a="1"/>
  <c r="B7" i="7" s="1"/>
  <c r="B8" i="7" a="1"/>
  <c r="B8" i="7" s="1"/>
  <c r="B9" i="7" a="1"/>
  <c r="B9" i="7" s="1"/>
  <c r="B10" i="7" a="1"/>
  <c r="B10" i="7" s="1"/>
  <c r="B11" i="7" a="1"/>
  <c r="B11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B17" i="7" a="1"/>
  <c r="B17" i="7" s="1"/>
  <c r="B18" i="7" a="1"/>
  <c r="B18" i="7" s="1"/>
  <c r="B19" i="7" a="1"/>
  <c r="B19" i="7" s="1"/>
  <c r="B20" i="7" a="1"/>
  <c r="B20" i="7" s="1"/>
  <c r="B21" i="7" a="1"/>
  <c r="B21" i="7" s="1"/>
  <c r="B22" i="7" a="1"/>
  <c r="B22" i="7" s="1"/>
  <c r="B23" i="7" a="1"/>
  <c r="B23" i="7" s="1"/>
  <c r="B24" i="7" a="1"/>
  <c r="B24" i="7" s="1"/>
  <c r="B25" i="7" a="1"/>
  <c r="B25" i="7" s="1"/>
  <c r="B26" i="7" a="1"/>
  <c r="B26" i="7" s="1"/>
  <c r="B27" i="7" a="1"/>
  <c r="B27" i="7" s="1"/>
  <c r="B28" i="7" a="1"/>
  <c r="B28" i="7" s="1"/>
  <c r="B29" i="7" a="1"/>
  <c r="B29" i="7" s="1"/>
  <c r="B30" i="7" a="1"/>
  <c r="B30" i="7" s="1"/>
  <c r="B31" i="7" a="1"/>
  <c r="B31" i="7" s="1"/>
  <c r="B32" i="7" a="1"/>
  <c r="B32" i="7" s="1"/>
  <c r="B33" i="7" a="1"/>
  <c r="B33" i="7" s="1"/>
  <c r="B34" i="7" a="1"/>
  <c r="B34" i="7" s="1"/>
  <c r="B35" i="7" a="1"/>
  <c r="B35" i="7" s="1"/>
  <c r="B36" i="7" a="1"/>
  <c r="B36" i="7" s="1"/>
  <c r="B37" i="7" a="1"/>
  <c r="B37" i="7" s="1"/>
  <c r="B38" i="7" a="1"/>
  <c r="B38" i="7" s="1"/>
  <c r="B39" i="7" a="1"/>
  <c r="B39" i="7" s="1"/>
  <c r="B40" i="7" a="1"/>
  <c r="B40" i="7" s="1"/>
  <c r="B41" i="7" a="1"/>
  <c r="B41" i="7" s="1"/>
  <c r="B42" i="7" a="1"/>
  <c r="B42" i="7" s="1"/>
  <c r="B43" i="7" a="1"/>
  <c r="B43" i="7" s="1"/>
  <c r="B44" i="7" a="1"/>
  <c r="B44" i="7" s="1"/>
  <c r="B45" i="7" a="1"/>
  <c r="B45" i="7" s="1"/>
  <c r="B46" i="7" a="1"/>
  <c r="B46" i="7" s="1"/>
  <c r="B47" i="7" a="1"/>
  <c r="B47" i="7" s="1"/>
  <c r="B48" i="7" a="1"/>
  <c r="B48" i="7" s="1"/>
  <c r="B49" i="7" a="1"/>
  <c r="B49" i="7" s="1"/>
  <c r="B50" i="7" a="1"/>
  <c r="B50" i="7" s="1"/>
  <c r="B51" i="7" a="1"/>
  <c r="B51" i="7" s="1"/>
  <c r="B2" i="7" a="1"/>
  <c r="B2" i="7" s="1"/>
  <c r="AD145" i="2"/>
  <c r="AC145" i="2"/>
  <c r="AB145" i="2"/>
  <c r="AA145" i="2"/>
  <c r="Z145" i="2"/>
  <c r="Y145" i="2"/>
  <c r="X145" i="2"/>
  <c r="W145" i="2"/>
  <c r="V145" i="2"/>
  <c r="AD144" i="2"/>
  <c r="AC144" i="2"/>
  <c r="AB144" i="2"/>
  <c r="AA144" i="2"/>
  <c r="Z144" i="2"/>
  <c r="Y144" i="2"/>
  <c r="X144" i="2"/>
  <c r="W144" i="2"/>
  <c r="V144" i="2"/>
  <c r="AD143" i="2"/>
  <c r="AC143" i="2"/>
  <c r="AB143" i="2"/>
  <c r="AA143" i="2"/>
  <c r="Z143" i="2"/>
  <c r="Y143" i="2"/>
  <c r="X143" i="2"/>
  <c r="W143" i="2"/>
  <c r="V143" i="2"/>
  <c r="AD142" i="2"/>
  <c r="AC142" i="2"/>
  <c r="AB142" i="2"/>
  <c r="AA142" i="2"/>
  <c r="Z142" i="2"/>
  <c r="Y142" i="2"/>
  <c r="X142" i="2"/>
  <c r="W142" i="2"/>
  <c r="V142" i="2"/>
  <c r="AD141" i="2"/>
  <c r="AC141" i="2"/>
  <c r="AB141" i="2"/>
  <c r="AA141" i="2"/>
  <c r="Z141" i="2"/>
  <c r="Y141" i="2"/>
  <c r="X141" i="2"/>
  <c r="W141" i="2"/>
  <c r="V141" i="2"/>
  <c r="AD140" i="2"/>
  <c r="AC140" i="2"/>
  <c r="AB140" i="2"/>
  <c r="AA140" i="2"/>
  <c r="Z140" i="2"/>
  <c r="Y140" i="2"/>
  <c r="X140" i="2"/>
  <c r="W140" i="2"/>
  <c r="V140" i="2"/>
  <c r="AD139" i="2"/>
  <c r="AC139" i="2"/>
  <c r="AB139" i="2"/>
  <c r="AA139" i="2"/>
  <c r="Z139" i="2"/>
  <c r="Y139" i="2"/>
  <c r="X139" i="2"/>
  <c r="W139" i="2"/>
  <c r="V139" i="2"/>
  <c r="AD138" i="2"/>
  <c r="AC138" i="2"/>
  <c r="AB138" i="2"/>
  <c r="AA138" i="2"/>
  <c r="Z138" i="2"/>
  <c r="Y138" i="2"/>
  <c r="X138" i="2"/>
  <c r="W138" i="2"/>
  <c r="V138" i="2"/>
  <c r="AD137" i="2"/>
  <c r="AC137" i="2"/>
  <c r="AB137" i="2"/>
  <c r="AA137" i="2"/>
  <c r="Z137" i="2"/>
  <c r="Y137" i="2"/>
  <c r="X137" i="2"/>
  <c r="W137" i="2"/>
  <c r="V137" i="2"/>
  <c r="AD136" i="2"/>
  <c r="AC136" i="2"/>
  <c r="AB136" i="2"/>
  <c r="AA136" i="2"/>
  <c r="Z136" i="2"/>
  <c r="Y136" i="2"/>
  <c r="X136" i="2"/>
  <c r="W136" i="2"/>
  <c r="V136" i="2"/>
  <c r="AD135" i="2"/>
  <c r="AC135" i="2"/>
  <c r="AB135" i="2"/>
  <c r="AA135" i="2"/>
  <c r="Z135" i="2"/>
  <c r="Y135" i="2"/>
  <c r="X135" i="2"/>
  <c r="W135" i="2"/>
  <c r="V135" i="2"/>
  <c r="AD134" i="2"/>
  <c r="AC134" i="2"/>
  <c r="AB134" i="2"/>
  <c r="AA134" i="2"/>
  <c r="Z134" i="2"/>
  <c r="Y134" i="2"/>
  <c r="X134" i="2"/>
  <c r="W134" i="2"/>
  <c r="V134" i="2"/>
  <c r="AD133" i="2"/>
  <c r="AC133" i="2"/>
  <c r="AB133" i="2"/>
  <c r="AA133" i="2"/>
  <c r="Z133" i="2"/>
  <c r="Y133" i="2"/>
  <c r="X133" i="2"/>
  <c r="W133" i="2"/>
  <c r="V133" i="2"/>
  <c r="AD132" i="2"/>
  <c r="AC132" i="2"/>
  <c r="AB132" i="2"/>
  <c r="AA132" i="2"/>
  <c r="Z132" i="2"/>
  <c r="Y132" i="2"/>
  <c r="X132" i="2"/>
  <c r="W132" i="2"/>
  <c r="V132" i="2"/>
  <c r="AD131" i="2"/>
  <c r="AC131" i="2"/>
  <c r="AB131" i="2"/>
  <c r="AA131" i="2"/>
  <c r="Z131" i="2"/>
  <c r="Y131" i="2"/>
  <c r="X131" i="2"/>
  <c r="W131" i="2"/>
  <c r="V131" i="2"/>
  <c r="AD130" i="2"/>
  <c r="AC130" i="2"/>
  <c r="AB130" i="2"/>
  <c r="AA130" i="2"/>
  <c r="Z130" i="2"/>
  <c r="Y130" i="2"/>
  <c r="X130" i="2"/>
  <c r="W130" i="2"/>
  <c r="V130" i="2"/>
  <c r="AD129" i="2"/>
  <c r="AC129" i="2"/>
  <c r="AB129" i="2"/>
  <c r="AA129" i="2"/>
  <c r="Z129" i="2"/>
  <c r="Y129" i="2"/>
  <c r="X129" i="2"/>
  <c r="W129" i="2"/>
  <c r="V129" i="2"/>
  <c r="AD128" i="2"/>
  <c r="AC128" i="2"/>
  <c r="AB128" i="2"/>
  <c r="AA128" i="2"/>
  <c r="Z128" i="2"/>
  <c r="Y128" i="2"/>
  <c r="X128" i="2"/>
  <c r="W128" i="2"/>
  <c r="V128" i="2"/>
  <c r="AD127" i="2"/>
  <c r="AC127" i="2"/>
  <c r="AB127" i="2"/>
  <c r="AA127" i="2"/>
  <c r="Z127" i="2"/>
  <c r="Y127" i="2"/>
  <c r="X127" i="2"/>
  <c r="W127" i="2"/>
  <c r="V127" i="2"/>
  <c r="AD126" i="2"/>
  <c r="AC126" i="2"/>
  <c r="AB126" i="2"/>
  <c r="AA126" i="2"/>
  <c r="Z126" i="2"/>
  <c r="Y126" i="2"/>
  <c r="X126" i="2"/>
  <c r="W126" i="2"/>
  <c r="V126" i="2"/>
  <c r="AD125" i="2"/>
  <c r="AC125" i="2"/>
  <c r="AB125" i="2"/>
  <c r="AA125" i="2"/>
  <c r="Z125" i="2"/>
  <c r="Y125" i="2"/>
  <c r="X125" i="2"/>
  <c r="W125" i="2"/>
  <c r="V125" i="2"/>
  <c r="AD124" i="2"/>
  <c r="AC124" i="2"/>
  <c r="AB124" i="2"/>
  <c r="AA124" i="2"/>
  <c r="Z124" i="2"/>
  <c r="Y124" i="2"/>
  <c r="X124" i="2"/>
  <c r="W124" i="2"/>
  <c r="V124" i="2"/>
  <c r="AD123" i="2"/>
  <c r="AC123" i="2"/>
  <c r="AB123" i="2"/>
  <c r="AA123" i="2"/>
  <c r="Z123" i="2"/>
  <c r="Y123" i="2"/>
  <c r="X123" i="2"/>
  <c r="W123" i="2"/>
  <c r="V123" i="2"/>
  <c r="AD122" i="2"/>
  <c r="AC122" i="2"/>
  <c r="AB122" i="2"/>
  <c r="AA122" i="2"/>
  <c r="Z122" i="2"/>
  <c r="Y122" i="2"/>
  <c r="X122" i="2"/>
  <c r="W122" i="2"/>
  <c r="V122" i="2"/>
  <c r="AD121" i="2"/>
  <c r="AC121" i="2"/>
  <c r="AB121" i="2"/>
  <c r="AA121" i="2"/>
  <c r="Z121" i="2"/>
  <c r="Y121" i="2"/>
  <c r="X121" i="2"/>
  <c r="W121" i="2"/>
  <c r="V121" i="2"/>
  <c r="AD120" i="2"/>
  <c r="AC120" i="2"/>
  <c r="AB120" i="2"/>
  <c r="AA120" i="2"/>
  <c r="Z120" i="2"/>
  <c r="Y120" i="2"/>
  <c r="X120" i="2"/>
  <c r="W120" i="2"/>
  <c r="V120" i="2"/>
  <c r="AD119" i="2"/>
  <c r="AC119" i="2"/>
  <c r="AB119" i="2"/>
  <c r="AA119" i="2"/>
  <c r="Z119" i="2"/>
  <c r="Y119" i="2"/>
  <c r="X119" i="2"/>
  <c r="W119" i="2"/>
  <c r="V119" i="2"/>
  <c r="AD118" i="2"/>
  <c r="AC118" i="2"/>
  <c r="AB118" i="2"/>
  <c r="AA118" i="2"/>
  <c r="Z118" i="2"/>
  <c r="Y118" i="2"/>
  <c r="X118" i="2"/>
  <c r="W118" i="2"/>
  <c r="V118" i="2"/>
  <c r="AD117" i="2"/>
  <c r="AC117" i="2"/>
  <c r="AB117" i="2"/>
  <c r="AA117" i="2"/>
  <c r="Z117" i="2"/>
  <c r="Y117" i="2"/>
  <c r="X117" i="2"/>
  <c r="W117" i="2"/>
  <c r="V117" i="2"/>
  <c r="AD116" i="2"/>
  <c r="AC116" i="2"/>
  <c r="AB116" i="2"/>
  <c r="AA116" i="2"/>
  <c r="Z116" i="2"/>
  <c r="Y116" i="2"/>
  <c r="X116" i="2"/>
  <c r="W116" i="2"/>
  <c r="V116" i="2"/>
  <c r="AD115" i="2"/>
  <c r="AC115" i="2"/>
  <c r="AB115" i="2"/>
  <c r="AA115" i="2"/>
  <c r="Z115" i="2"/>
  <c r="Y115" i="2"/>
  <c r="X115" i="2"/>
  <c r="W115" i="2"/>
  <c r="V115" i="2"/>
  <c r="AD114" i="2"/>
  <c r="AC114" i="2"/>
  <c r="AB114" i="2"/>
  <c r="AA114" i="2"/>
  <c r="Z114" i="2"/>
  <c r="Y114" i="2"/>
  <c r="X114" i="2"/>
  <c r="W114" i="2"/>
  <c r="V114" i="2"/>
  <c r="AD113" i="2"/>
  <c r="AC113" i="2"/>
  <c r="AB113" i="2"/>
  <c r="AA113" i="2"/>
  <c r="Z113" i="2"/>
  <c r="Y113" i="2"/>
  <c r="X113" i="2"/>
  <c r="W113" i="2"/>
  <c r="V113" i="2"/>
  <c r="AD112" i="2"/>
  <c r="AC112" i="2"/>
  <c r="AB112" i="2"/>
  <c r="AA112" i="2"/>
  <c r="Z112" i="2"/>
  <c r="Y112" i="2"/>
  <c r="X112" i="2"/>
  <c r="W112" i="2"/>
  <c r="V112" i="2"/>
  <c r="AD111" i="2"/>
  <c r="AC111" i="2"/>
  <c r="AB111" i="2"/>
  <c r="AA111" i="2"/>
  <c r="Z111" i="2"/>
  <c r="Y111" i="2"/>
  <c r="X111" i="2"/>
  <c r="W111" i="2"/>
  <c r="V111" i="2"/>
  <c r="AD110" i="2"/>
  <c r="AC110" i="2"/>
  <c r="AB110" i="2"/>
  <c r="AA110" i="2"/>
  <c r="J110" i="2" s="1" a="1"/>
  <c r="J110" i="2" s="1"/>
  <c r="Z110" i="2"/>
  <c r="Y110" i="2"/>
  <c r="X110" i="2"/>
  <c r="W110" i="2"/>
  <c r="V110" i="2"/>
  <c r="AD109" i="2"/>
  <c r="AC109" i="2"/>
  <c r="AB109" i="2"/>
  <c r="AA109" i="2"/>
  <c r="J109" i="2" s="1" a="1"/>
  <c r="J109" i="2" s="1"/>
  <c r="I56" i="3" s="1"/>
  <c r="Z109" i="2"/>
  <c r="Y109" i="2"/>
  <c r="X109" i="2"/>
  <c r="W109" i="2"/>
  <c r="V109" i="2"/>
  <c r="AD108" i="2"/>
  <c r="AC108" i="2"/>
  <c r="AB108" i="2"/>
  <c r="AA108" i="2"/>
  <c r="J108" i="2" s="1" a="1"/>
  <c r="J108" i="2" s="1"/>
  <c r="I59" i="3" s="1"/>
  <c r="Z108" i="2"/>
  <c r="Y108" i="2"/>
  <c r="X108" i="2"/>
  <c r="W108" i="2"/>
  <c r="V108" i="2"/>
  <c r="AD107" i="2"/>
  <c r="AC107" i="2"/>
  <c r="AB107" i="2"/>
  <c r="AA107" i="2"/>
  <c r="J107" i="2" s="1" a="1"/>
  <c r="J107" i="2" s="1"/>
  <c r="Z107" i="2"/>
  <c r="Y107" i="2"/>
  <c r="X107" i="2"/>
  <c r="W107" i="2"/>
  <c r="V107" i="2"/>
  <c r="AD106" i="2"/>
  <c r="AC106" i="2"/>
  <c r="AB106" i="2"/>
  <c r="AA106" i="2"/>
  <c r="J106" i="2" s="1" a="1"/>
  <c r="J106" i="2" s="1"/>
  <c r="I57" i="3" s="1"/>
  <c r="Z106" i="2"/>
  <c r="Y106" i="2"/>
  <c r="X106" i="2"/>
  <c r="W106" i="2"/>
  <c r="V106" i="2"/>
  <c r="AD105" i="2"/>
  <c r="AC105" i="2"/>
  <c r="AB105" i="2"/>
  <c r="AA105" i="2"/>
  <c r="J105" i="2" s="1" a="1"/>
  <c r="J105" i="2" s="1"/>
  <c r="I60" i="3" s="1"/>
  <c r="Z105" i="2"/>
  <c r="Y105" i="2"/>
  <c r="X105" i="2"/>
  <c r="W105" i="2"/>
  <c r="V105" i="2"/>
  <c r="AD104" i="2"/>
  <c r="AC104" i="2"/>
  <c r="AB104" i="2"/>
  <c r="AA104" i="2"/>
  <c r="J104" i="2" s="1" a="1"/>
  <c r="J104" i="2" s="1"/>
  <c r="Z104" i="2"/>
  <c r="Y104" i="2"/>
  <c r="X104" i="2"/>
  <c r="W104" i="2"/>
  <c r="V104" i="2"/>
  <c r="AD103" i="2"/>
  <c r="AC103" i="2"/>
  <c r="AB103" i="2"/>
  <c r="AA103" i="2"/>
  <c r="J103" i="2" s="1" a="1"/>
  <c r="J103" i="2" s="1"/>
  <c r="Z103" i="2"/>
  <c r="Y103" i="2"/>
  <c r="X103" i="2"/>
  <c r="W103" i="2"/>
  <c r="V103" i="2"/>
  <c r="AD102" i="2"/>
  <c r="AC102" i="2"/>
  <c r="AB102" i="2"/>
  <c r="AA102" i="2"/>
  <c r="J102" i="2" s="1" a="1"/>
  <c r="J102" i="2" s="1"/>
  <c r="Z102" i="2"/>
  <c r="Y102" i="2"/>
  <c r="X102" i="2"/>
  <c r="W102" i="2"/>
  <c r="V102" i="2"/>
  <c r="AD101" i="2"/>
  <c r="AC101" i="2"/>
  <c r="AB101" i="2"/>
  <c r="AA101" i="2"/>
  <c r="J101" i="2" s="1" a="1"/>
  <c r="J101" i="2" s="1"/>
  <c r="Z101" i="2"/>
  <c r="Y101" i="2"/>
  <c r="X101" i="2"/>
  <c r="W101" i="2"/>
  <c r="V101" i="2"/>
  <c r="AD100" i="2"/>
  <c r="AC100" i="2"/>
  <c r="AB100" i="2"/>
  <c r="AA100" i="2"/>
  <c r="J100" i="2" s="1" a="1"/>
  <c r="J100" i="2" s="1"/>
  <c r="Z100" i="2"/>
  <c r="Y100" i="2"/>
  <c r="X100" i="2"/>
  <c r="W100" i="2"/>
  <c r="V100" i="2"/>
  <c r="AD99" i="2"/>
  <c r="AC99" i="2"/>
  <c r="AB99" i="2"/>
  <c r="AA99" i="2"/>
  <c r="J99" i="2" s="1" a="1"/>
  <c r="J99" i="2" s="1"/>
  <c r="Z99" i="2"/>
  <c r="Y99" i="2"/>
  <c r="X99" i="2"/>
  <c r="W99" i="2"/>
  <c r="V99" i="2"/>
  <c r="AD98" i="2"/>
  <c r="AC98" i="2"/>
  <c r="AB98" i="2"/>
  <c r="AA98" i="2"/>
  <c r="J98" i="2" s="1" a="1"/>
  <c r="J98" i="2" s="1"/>
  <c r="Z98" i="2"/>
  <c r="Y98" i="2"/>
  <c r="X98" i="2"/>
  <c r="W98" i="2"/>
  <c r="V98" i="2"/>
  <c r="AD97" i="2"/>
  <c r="AC97" i="2"/>
  <c r="AB97" i="2"/>
  <c r="AA97" i="2"/>
  <c r="J97" i="2" s="1" a="1"/>
  <c r="J97" i="2" s="1"/>
  <c r="Z97" i="2"/>
  <c r="Y97" i="2"/>
  <c r="X97" i="2"/>
  <c r="W97" i="2"/>
  <c r="V97" i="2"/>
  <c r="AD96" i="2"/>
  <c r="AC96" i="2"/>
  <c r="AB96" i="2"/>
  <c r="AA96" i="2"/>
  <c r="J96" i="2" s="1" a="1"/>
  <c r="J96" i="2" s="1"/>
  <c r="Z96" i="2"/>
  <c r="Y96" i="2"/>
  <c r="X96" i="2"/>
  <c r="W96" i="2"/>
  <c r="V96" i="2"/>
  <c r="AD95" i="2"/>
  <c r="AC95" i="2"/>
  <c r="AB95" i="2"/>
  <c r="AA95" i="2"/>
  <c r="J95" i="2" s="1" a="1"/>
  <c r="J95" i="2" s="1"/>
  <c r="Z95" i="2"/>
  <c r="Y95" i="2"/>
  <c r="X95" i="2"/>
  <c r="W95" i="2"/>
  <c r="V95" i="2"/>
  <c r="AD94" i="2"/>
  <c r="AC94" i="2"/>
  <c r="AB94" i="2"/>
  <c r="AA94" i="2"/>
  <c r="J94" i="2" s="1" a="1"/>
  <c r="J94" i="2" s="1"/>
  <c r="Z94" i="2"/>
  <c r="Y94" i="2"/>
  <c r="X94" i="2"/>
  <c r="W94" i="2"/>
  <c r="V94" i="2"/>
  <c r="AD93" i="2"/>
  <c r="AC93" i="2"/>
  <c r="AB93" i="2"/>
  <c r="AA93" i="2"/>
  <c r="J93" i="2" s="1" a="1"/>
  <c r="J93" i="2" s="1"/>
  <c r="Z93" i="2"/>
  <c r="Y93" i="2"/>
  <c r="X93" i="2"/>
  <c r="W93" i="2"/>
  <c r="V93" i="2"/>
  <c r="AD92" i="2"/>
  <c r="AC92" i="2"/>
  <c r="AB92" i="2"/>
  <c r="AA92" i="2"/>
  <c r="J92" i="2" s="1" a="1"/>
  <c r="J92" i="2" s="1"/>
  <c r="Z92" i="2"/>
  <c r="Y92" i="2"/>
  <c r="X92" i="2"/>
  <c r="W92" i="2"/>
  <c r="V92" i="2"/>
  <c r="AD91" i="2"/>
  <c r="AC91" i="2"/>
  <c r="AB91" i="2"/>
  <c r="AA91" i="2"/>
  <c r="J91" i="2" s="1" a="1"/>
  <c r="J91" i="2" s="1"/>
  <c r="Z91" i="2"/>
  <c r="Y91" i="2"/>
  <c r="X91" i="2"/>
  <c r="W91" i="2"/>
  <c r="V91" i="2"/>
  <c r="AD90" i="2"/>
  <c r="AC90" i="2"/>
  <c r="AB90" i="2"/>
  <c r="AA90" i="2"/>
  <c r="J90" i="2" s="1" a="1"/>
  <c r="J90" i="2" s="1"/>
  <c r="Z90" i="2"/>
  <c r="Y90" i="2"/>
  <c r="X90" i="2"/>
  <c r="W90" i="2"/>
  <c r="V90" i="2"/>
  <c r="AD89" i="2"/>
  <c r="AC89" i="2"/>
  <c r="AB89" i="2"/>
  <c r="AA89" i="2"/>
  <c r="J89" i="2" s="1" a="1"/>
  <c r="J89" i="2" s="1"/>
  <c r="Z89" i="2"/>
  <c r="Y89" i="2"/>
  <c r="X89" i="2"/>
  <c r="W89" i="2"/>
  <c r="V89" i="2"/>
  <c r="AD88" i="2"/>
  <c r="AC88" i="2"/>
  <c r="AB88" i="2"/>
  <c r="AA88" i="2"/>
  <c r="J88" i="2" s="1" a="1"/>
  <c r="J88" i="2" s="1"/>
  <c r="Z88" i="2"/>
  <c r="Y88" i="2"/>
  <c r="X88" i="2"/>
  <c r="W88" i="2"/>
  <c r="V88" i="2"/>
  <c r="AD87" i="2"/>
  <c r="AC87" i="2"/>
  <c r="AB87" i="2"/>
  <c r="AA87" i="2"/>
  <c r="J87" i="2" s="1" a="1"/>
  <c r="J87" i="2" s="1"/>
  <c r="Z87" i="2"/>
  <c r="Y87" i="2"/>
  <c r="X87" i="2"/>
  <c r="W87" i="2"/>
  <c r="V87" i="2"/>
  <c r="AD86" i="2"/>
  <c r="AC86" i="2"/>
  <c r="AB86" i="2"/>
  <c r="AA86" i="2"/>
  <c r="J86" i="2" s="1" a="1"/>
  <c r="J86" i="2" s="1"/>
  <c r="Z86" i="2"/>
  <c r="Y86" i="2"/>
  <c r="X86" i="2"/>
  <c r="W86" i="2"/>
  <c r="V86" i="2"/>
  <c r="AD85" i="2"/>
  <c r="AC85" i="2"/>
  <c r="AB85" i="2"/>
  <c r="AA85" i="2"/>
  <c r="J85" i="2" s="1" a="1"/>
  <c r="J85" i="2" s="1"/>
  <c r="I74" i="3" s="1"/>
  <c r="Z85" i="2"/>
  <c r="Y85" i="2"/>
  <c r="X85" i="2"/>
  <c r="W85" i="2"/>
  <c r="V85" i="2"/>
  <c r="AD84" i="2"/>
  <c r="AC84" i="2"/>
  <c r="AB84" i="2"/>
  <c r="AA84" i="2"/>
  <c r="J84" i="2" s="1" a="1"/>
  <c r="J84" i="2" s="1"/>
  <c r="I49" i="3" s="1"/>
  <c r="Z84" i="2"/>
  <c r="Y84" i="2"/>
  <c r="X84" i="2"/>
  <c r="W84" i="2"/>
  <c r="V84" i="2"/>
  <c r="AD83" i="2"/>
  <c r="AC83" i="2"/>
  <c r="AB83" i="2"/>
  <c r="AA83" i="2"/>
  <c r="J83" i="2" s="1" a="1"/>
  <c r="J83" i="2" s="1"/>
  <c r="Z83" i="2"/>
  <c r="Y83" i="2"/>
  <c r="X83" i="2"/>
  <c r="W83" i="2"/>
  <c r="V83" i="2"/>
  <c r="AD82" i="2"/>
  <c r="AC82" i="2"/>
  <c r="AB82" i="2"/>
  <c r="AA82" i="2"/>
  <c r="J82" i="2" s="1" a="1"/>
  <c r="J82" i="2" s="1"/>
  <c r="Z82" i="2"/>
  <c r="Y82" i="2"/>
  <c r="X82" i="2"/>
  <c r="W82" i="2"/>
  <c r="V82" i="2"/>
  <c r="AD81" i="2"/>
  <c r="AC81" i="2"/>
  <c r="AB81" i="2"/>
  <c r="AA81" i="2"/>
  <c r="J81" i="2" s="1" a="1"/>
  <c r="J81" i="2" s="1"/>
  <c r="Z81" i="2"/>
  <c r="Y81" i="2"/>
  <c r="X81" i="2"/>
  <c r="W81" i="2"/>
  <c r="V81" i="2"/>
  <c r="AD80" i="2"/>
  <c r="AC80" i="2"/>
  <c r="AB80" i="2"/>
  <c r="AA80" i="2"/>
  <c r="J80" i="2" s="1" a="1"/>
  <c r="J80" i="2" s="1"/>
  <c r="I42" i="3" s="1"/>
  <c r="Z80" i="2"/>
  <c r="Y80" i="2"/>
  <c r="X80" i="2"/>
  <c r="W80" i="2"/>
  <c r="V80" i="2"/>
  <c r="AD79" i="2"/>
  <c r="AC79" i="2"/>
  <c r="AB79" i="2"/>
  <c r="AA79" i="2"/>
  <c r="J79" i="2" s="1" a="1"/>
  <c r="J79" i="2" s="1"/>
  <c r="I62" i="3" s="1"/>
  <c r="Z79" i="2"/>
  <c r="Y79" i="2"/>
  <c r="X79" i="2"/>
  <c r="W79" i="2"/>
  <c r="V79" i="2"/>
  <c r="AD78" i="2"/>
  <c r="AC78" i="2"/>
  <c r="AB78" i="2"/>
  <c r="AA78" i="2"/>
  <c r="J78" i="2" s="1" a="1"/>
  <c r="J78" i="2" s="1"/>
  <c r="I75" i="3" s="1"/>
  <c r="Z78" i="2"/>
  <c r="Y78" i="2"/>
  <c r="X78" i="2"/>
  <c r="W78" i="2"/>
  <c r="V78" i="2"/>
  <c r="AD77" i="2"/>
  <c r="AC77" i="2"/>
  <c r="AB77" i="2"/>
  <c r="AA77" i="2"/>
  <c r="J77" i="2" s="1" a="1"/>
  <c r="J77" i="2" s="1"/>
  <c r="Z77" i="2"/>
  <c r="Y77" i="2"/>
  <c r="X77" i="2"/>
  <c r="W77" i="2"/>
  <c r="V77" i="2"/>
  <c r="AD76" i="2"/>
  <c r="AC76" i="2"/>
  <c r="AB76" i="2"/>
  <c r="AA76" i="2"/>
  <c r="J76" i="2" s="1" a="1"/>
  <c r="J76" i="2" s="1"/>
  <c r="I72" i="3" s="1"/>
  <c r="Z76" i="2"/>
  <c r="Y76" i="2"/>
  <c r="X76" i="2"/>
  <c r="W76" i="2"/>
  <c r="V76" i="2"/>
  <c r="AD75" i="2"/>
  <c r="AC75" i="2"/>
  <c r="AB75" i="2"/>
  <c r="AA75" i="2"/>
  <c r="J75" i="2" s="1" a="1"/>
  <c r="J75" i="2" s="1"/>
  <c r="I38" i="3" s="1"/>
  <c r="Z75" i="2"/>
  <c r="Y75" i="2"/>
  <c r="X75" i="2"/>
  <c r="W75" i="2"/>
  <c r="V75" i="2"/>
  <c r="AD74" i="2"/>
  <c r="AC74" i="2"/>
  <c r="AB74" i="2"/>
  <c r="AA74" i="2"/>
  <c r="J74" i="2" s="1" a="1"/>
  <c r="J74" i="2" s="1"/>
  <c r="I76" i="3" s="1"/>
  <c r="Z74" i="2"/>
  <c r="Y74" i="2"/>
  <c r="X74" i="2"/>
  <c r="W74" i="2"/>
  <c r="V74" i="2"/>
  <c r="AD73" i="2"/>
  <c r="AC73" i="2"/>
  <c r="AB73" i="2"/>
  <c r="AA73" i="2"/>
  <c r="J73" i="2" s="1" a="1"/>
  <c r="J73" i="2" s="1"/>
  <c r="Z73" i="2"/>
  <c r="Y73" i="2"/>
  <c r="X73" i="2"/>
  <c r="W73" i="2"/>
  <c r="V73" i="2"/>
  <c r="AD72" i="2"/>
  <c r="AC72" i="2"/>
  <c r="AB72" i="2"/>
  <c r="AA72" i="2"/>
  <c r="J72" i="2" s="1" a="1"/>
  <c r="J72" i="2" s="1"/>
  <c r="Z72" i="2"/>
  <c r="Y72" i="2"/>
  <c r="X72" i="2"/>
  <c r="W72" i="2"/>
  <c r="V72" i="2"/>
  <c r="AD71" i="2"/>
  <c r="AC71" i="2"/>
  <c r="AB71" i="2"/>
  <c r="AA71" i="2"/>
  <c r="J71" i="2" s="1" a="1"/>
  <c r="J71" i="2" s="1"/>
  <c r="I45" i="3" s="1"/>
  <c r="Z71" i="2"/>
  <c r="Y71" i="2"/>
  <c r="X71" i="2"/>
  <c r="W71" i="2"/>
  <c r="V71" i="2"/>
  <c r="AD70" i="2"/>
  <c r="AC70" i="2"/>
  <c r="AB70" i="2"/>
  <c r="AA70" i="2"/>
  <c r="J70" i="2" s="1" a="1"/>
  <c r="J70" i="2" s="1"/>
  <c r="I34" i="3" s="1"/>
  <c r="Z70" i="2"/>
  <c r="Y70" i="2"/>
  <c r="X70" i="2"/>
  <c r="W70" i="2"/>
  <c r="V70" i="2"/>
  <c r="AD69" i="2"/>
  <c r="AC69" i="2"/>
  <c r="AB69" i="2"/>
  <c r="AA69" i="2"/>
  <c r="J69" i="2" s="1" a="1"/>
  <c r="J69" i="2" s="1"/>
  <c r="I71" i="3" s="1"/>
  <c r="Z69" i="2"/>
  <c r="Y69" i="2"/>
  <c r="X69" i="2"/>
  <c r="W69" i="2"/>
  <c r="V69" i="2"/>
  <c r="AD68" i="2"/>
  <c r="AC68" i="2"/>
  <c r="AB68" i="2"/>
  <c r="AA68" i="2"/>
  <c r="J68" i="2" s="1" a="1"/>
  <c r="J68" i="2" s="1"/>
  <c r="Z68" i="2"/>
  <c r="Y68" i="2"/>
  <c r="X68" i="2"/>
  <c r="W68" i="2"/>
  <c r="V68" i="2"/>
  <c r="AD67" i="2"/>
  <c r="AC67" i="2"/>
  <c r="AB67" i="2"/>
  <c r="AA67" i="2"/>
  <c r="J67" i="2" s="1" a="1"/>
  <c r="J67" i="2" s="1"/>
  <c r="Z67" i="2"/>
  <c r="Y67" i="2"/>
  <c r="X67" i="2"/>
  <c r="W67" i="2"/>
  <c r="V67" i="2"/>
  <c r="AD66" i="2"/>
  <c r="AC66" i="2"/>
  <c r="AB66" i="2"/>
  <c r="AA66" i="2"/>
  <c r="J66" i="2" s="1" a="1"/>
  <c r="J66" i="2" s="1"/>
  <c r="Z66" i="2"/>
  <c r="Y66" i="2"/>
  <c r="X66" i="2"/>
  <c r="W66" i="2"/>
  <c r="V66" i="2"/>
  <c r="AD65" i="2"/>
  <c r="AC65" i="2"/>
  <c r="AB65" i="2"/>
  <c r="AA65" i="2"/>
  <c r="J65" i="2" s="1" a="1"/>
  <c r="J65" i="2" s="1"/>
  <c r="Z65" i="2"/>
  <c r="Y65" i="2"/>
  <c r="X65" i="2"/>
  <c r="W65" i="2"/>
  <c r="V65" i="2"/>
  <c r="AD64" i="2"/>
  <c r="AC64" i="2"/>
  <c r="AB64" i="2"/>
  <c r="AA64" i="2"/>
  <c r="J64" i="2" s="1" a="1"/>
  <c r="J64" i="2" s="1"/>
  <c r="Z64" i="2"/>
  <c r="Y64" i="2"/>
  <c r="X64" i="2"/>
  <c r="W64" i="2"/>
  <c r="V64" i="2"/>
  <c r="AD63" i="2"/>
  <c r="AC63" i="2"/>
  <c r="AB63" i="2"/>
  <c r="AA63" i="2"/>
  <c r="J63" i="2" s="1" a="1"/>
  <c r="J63" i="2" s="1"/>
  <c r="Z63" i="2"/>
  <c r="Y63" i="2"/>
  <c r="X63" i="2"/>
  <c r="W63" i="2"/>
  <c r="V63" i="2"/>
  <c r="AD62" i="2"/>
  <c r="AC62" i="2"/>
  <c r="AB62" i="2"/>
  <c r="AA62" i="2"/>
  <c r="J62" i="2" s="1" a="1"/>
  <c r="J62" i="2" s="1"/>
  <c r="Z62" i="2"/>
  <c r="Y62" i="2"/>
  <c r="X62" i="2"/>
  <c r="W62" i="2"/>
  <c r="V62" i="2"/>
  <c r="AD61" i="2"/>
  <c r="AC61" i="2"/>
  <c r="AB61" i="2"/>
  <c r="AA61" i="2"/>
  <c r="J61" i="2" s="1" a="1"/>
  <c r="J61" i="2" s="1"/>
  <c r="Z61" i="2"/>
  <c r="Y61" i="2"/>
  <c r="X61" i="2"/>
  <c r="W61" i="2"/>
  <c r="V61" i="2"/>
  <c r="AD60" i="2"/>
  <c r="AC60" i="2"/>
  <c r="AB60" i="2"/>
  <c r="AA60" i="2"/>
  <c r="J60" i="2" s="1" a="1"/>
  <c r="J60" i="2" s="1"/>
  <c r="Z60" i="2"/>
  <c r="Y60" i="2"/>
  <c r="X60" i="2"/>
  <c r="W60" i="2"/>
  <c r="V60" i="2"/>
  <c r="AD59" i="2"/>
  <c r="AC59" i="2"/>
  <c r="AB59" i="2"/>
  <c r="AA59" i="2"/>
  <c r="J59" i="2" s="1" a="1"/>
  <c r="J59" i="2" s="1"/>
  <c r="I43" i="3" s="1"/>
  <c r="Z59" i="2"/>
  <c r="Y59" i="2"/>
  <c r="X59" i="2"/>
  <c r="W59" i="2"/>
  <c r="V59" i="2"/>
  <c r="AD58" i="2"/>
  <c r="AC58" i="2"/>
  <c r="AB58" i="2"/>
  <c r="AA58" i="2"/>
  <c r="J58" i="2" s="1" a="1"/>
  <c r="J58" i="2" s="1"/>
  <c r="I73" i="3" s="1"/>
  <c r="Z58" i="2"/>
  <c r="Y58" i="2"/>
  <c r="X58" i="2"/>
  <c r="W58" i="2"/>
  <c r="V58" i="2"/>
  <c r="AD57" i="2"/>
  <c r="AC57" i="2"/>
  <c r="AB57" i="2"/>
  <c r="AA57" i="2"/>
  <c r="J57" i="2" s="1" a="1"/>
  <c r="J57" i="2" s="1"/>
  <c r="Z57" i="2"/>
  <c r="Y57" i="2"/>
  <c r="X57" i="2"/>
  <c r="W57" i="2"/>
  <c r="V57" i="2"/>
  <c r="AD56" i="2"/>
  <c r="AC56" i="2"/>
  <c r="AB56" i="2"/>
  <c r="AA56" i="2"/>
  <c r="J56" i="2" s="1" a="1"/>
  <c r="J56" i="2" s="1"/>
  <c r="Z56" i="2"/>
  <c r="Y56" i="2"/>
  <c r="X56" i="2"/>
  <c r="W56" i="2"/>
  <c r="V56" i="2"/>
  <c r="AD55" i="2"/>
  <c r="AC55" i="2"/>
  <c r="AB55" i="2"/>
  <c r="AA55" i="2"/>
  <c r="J55" i="2" s="1" a="1"/>
  <c r="J55" i="2" s="1"/>
  <c r="Z55" i="2"/>
  <c r="Y55" i="2"/>
  <c r="X55" i="2"/>
  <c r="W55" i="2"/>
  <c r="V55" i="2"/>
  <c r="AD54" i="2"/>
  <c r="AC54" i="2"/>
  <c r="AB54" i="2"/>
  <c r="AA54" i="2"/>
  <c r="J54" i="2" s="1" a="1"/>
  <c r="J54" i="2" s="1"/>
  <c r="I61" i="3" s="1"/>
  <c r="Z54" i="2"/>
  <c r="Y54" i="2"/>
  <c r="X54" i="2"/>
  <c r="W54" i="2"/>
  <c r="V54" i="2"/>
  <c r="AD53" i="2"/>
  <c r="AC53" i="2"/>
  <c r="AB53" i="2"/>
  <c r="AA53" i="2"/>
  <c r="J53" i="2" s="1" a="1"/>
  <c r="J53" i="2" s="1"/>
  <c r="I40" i="3" s="1"/>
  <c r="Z53" i="2"/>
  <c r="Y53" i="2"/>
  <c r="X53" i="2"/>
  <c r="W53" i="2"/>
  <c r="V53" i="2"/>
  <c r="AD52" i="2"/>
  <c r="AC52" i="2"/>
  <c r="AB52" i="2"/>
  <c r="AA52" i="2"/>
  <c r="J52" i="2" s="1" a="1"/>
  <c r="J52" i="2" s="1"/>
  <c r="Z52" i="2"/>
  <c r="Y52" i="2"/>
  <c r="X52" i="2"/>
  <c r="W52" i="2"/>
  <c r="V52" i="2"/>
  <c r="AD51" i="2"/>
  <c r="AC51" i="2"/>
  <c r="AB51" i="2"/>
  <c r="AA51" i="2"/>
  <c r="J51" i="2" s="1" a="1"/>
  <c r="J51" i="2" s="1"/>
  <c r="I23" i="3" s="1"/>
  <c r="Z51" i="2"/>
  <c r="Y51" i="2"/>
  <c r="X51" i="2"/>
  <c r="W51" i="2"/>
  <c r="V51" i="2"/>
  <c r="AD50" i="2"/>
  <c r="AC50" i="2"/>
  <c r="AB50" i="2"/>
  <c r="AA50" i="2"/>
  <c r="J50" i="2" s="1" a="1"/>
  <c r="J50" i="2" s="1"/>
  <c r="Z50" i="2"/>
  <c r="Y50" i="2"/>
  <c r="X50" i="2"/>
  <c r="W50" i="2"/>
  <c r="V50" i="2"/>
  <c r="AD49" i="2"/>
  <c r="AC49" i="2"/>
  <c r="AB49" i="2"/>
  <c r="AA49" i="2"/>
  <c r="J49" i="2" s="1" a="1"/>
  <c r="J49" i="2" s="1"/>
  <c r="I20" i="3" s="1"/>
  <c r="Z49" i="2"/>
  <c r="Y49" i="2"/>
  <c r="X49" i="2"/>
  <c r="W49" i="2"/>
  <c r="V49" i="2"/>
  <c r="AD48" i="2"/>
  <c r="AC48" i="2"/>
  <c r="AB48" i="2"/>
  <c r="AA48" i="2"/>
  <c r="J48" i="2" s="1" a="1"/>
  <c r="J48" i="2" s="1"/>
  <c r="Z48" i="2"/>
  <c r="Y48" i="2"/>
  <c r="X48" i="2"/>
  <c r="W48" i="2"/>
  <c r="V48" i="2"/>
  <c r="AD47" i="2"/>
  <c r="AC47" i="2"/>
  <c r="AB47" i="2"/>
  <c r="AA47" i="2"/>
  <c r="J47" i="2" s="1" a="1"/>
  <c r="J47" i="2" s="1"/>
  <c r="I26" i="3" s="1"/>
  <c r="Z47" i="2"/>
  <c r="Y47" i="2"/>
  <c r="X47" i="2"/>
  <c r="W47" i="2"/>
  <c r="V47" i="2"/>
  <c r="AD46" i="2"/>
  <c r="AC46" i="2"/>
  <c r="AB46" i="2"/>
  <c r="AA46" i="2"/>
  <c r="J46" i="2" s="1" a="1"/>
  <c r="J46" i="2" s="1"/>
  <c r="I7" i="3" s="1"/>
  <c r="Z46" i="2"/>
  <c r="Y46" i="2"/>
  <c r="X46" i="2"/>
  <c r="W46" i="2"/>
  <c r="V46" i="2"/>
  <c r="AD45" i="2"/>
  <c r="AC45" i="2"/>
  <c r="AB45" i="2"/>
  <c r="AA45" i="2"/>
  <c r="J45" i="2" s="1" a="1"/>
  <c r="J45" i="2" s="1"/>
  <c r="I22" i="3" s="1"/>
  <c r="Z45" i="2"/>
  <c r="Y45" i="2"/>
  <c r="X45" i="2"/>
  <c r="W45" i="2"/>
  <c r="V45" i="2"/>
  <c r="AD44" i="2"/>
  <c r="AC44" i="2"/>
  <c r="AB44" i="2"/>
  <c r="AA44" i="2"/>
  <c r="J44" i="2" s="1" a="1"/>
  <c r="J44" i="2" s="1"/>
  <c r="Z44" i="2"/>
  <c r="Y44" i="2"/>
  <c r="X44" i="2"/>
  <c r="W44" i="2"/>
  <c r="V44" i="2"/>
  <c r="AD43" i="2"/>
  <c r="AC43" i="2"/>
  <c r="AB43" i="2"/>
  <c r="AA43" i="2"/>
  <c r="J43" i="2" s="1" a="1"/>
  <c r="J43" i="2" s="1"/>
  <c r="Z43" i="2"/>
  <c r="Y43" i="2"/>
  <c r="X43" i="2"/>
  <c r="W43" i="2"/>
  <c r="V43" i="2"/>
  <c r="AD42" i="2"/>
  <c r="AC42" i="2"/>
  <c r="AB42" i="2"/>
  <c r="AA42" i="2"/>
  <c r="J42" i="2" s="1" a="1"/>
  <c r="J42" i="2" s="1"/>
  <c r="Z42" i="2"/>
  <c r="Y42" i="2"/>
  <c r="X42" i="2"/>
  <c r="W42" i="2"/>
  <c r="V42" i="2"/>
  <c r="AD41" i="2"/>
  <c r="AC41" i="2"/>
  <c r="AB41" i="2"/>
  <c r="AA41" i="2"/>
  <c r="J41" i="2" s="1" a="1"/>
  <c r="J41" i="2" s="1"/>
  <c r="I16" i="3" s="1"/>
  <c r="Z41" i="2"/>
  <c r="Y41" i="2"/>
  <c r="X41" i="2"/>
  <c r="W41" i="2"/>
  <c r="V41" i="2"/>
  <c r="AD40" i="2"/>
  <c r="AC40" i="2"/>
  <c r="AB40" i="2"/>
  <c r="AA40" i="2"/>
  <c r="J40" i="2" s="1" a="1"/>
  <c r="J40" i="2" s="1"/>
  <c r="I30" i="3" s="1"/>
  <c r="Z40" i="2"/>
  <c r="Y40" i="2"/>
  <c r="X40" i="2"/>
  <c r="W40" i="2"/>
  <c r="V40" i="2"/>
  <c r="AD39" i="2"/>
  <c r="AC39" i="2"/>
  <c r="AB39" i="2"/>
  <c r="AA39" i="2"/>
  <c r="J39" i="2" s="1" a="1"/>
  <c r="J39" i="2" s="1"/>
  <c r="I48" i="3" s="1"/>
  <c r="Z39" i="2"/>
  <c r="Y39" i="2"/>
  <c r="X39" i="2"/>
  <c r="W39" i="2"/>
  <c r="V39" i="2"/>
  <c r="AD38" i="2"/>
  <c r="AC38" i="2"/>
  <c r="AB38" i="2"/>
  <c r="AA38" i="2"/>
  <c r="J38" i="2" s="1" a="1"/>
  <c r="J38" i="2" s="1"/>
  <c r="I28" i="3" s="1"/>
  <c r="Z38" i="2"/>
  <c r="Y38" i="2"/>
  <c r="X38" i="2"/>
  <c r="W38" i="2"/>
  <c r="V38" i="2"/>
  <c r="AD37" i="2"/>
  <c r="AC37" i="2"/>
  <c r="AB37" i="2"/>
  <c r="AA37" i="2"/>
  <c r="J37" i="2" s="1" a="1"/>
  <c r="J37" i="2" s="1"/>
  <c r="I46" i="3" s="1"/>
  <c r="Z37" i="2"/>
  <c r="Y37" i="2"/>
  <c r="X37" i="2"/>
  <c r="W37" i="2"/>
  <c r="V37" i="2"/>
  <c r="AD36" i="2"/>
  <c r="AC36" i="2"/>
  <c r="AB36" i="2"/>
  <c r="AA36" i="2"/>
  <c r="J36" i="2" s="1" a="1"/>
  <c r="J36" i="2" s="1"/>
  <c r="Z36" i="2"/>
  <c r="Y36" i="2"/>
  <c r="X36" i="2"/>
  <c r="W36" i="2"/>
  <c r="V36" i="2"/>
  <c r="AD35" i="2"/>
  <c r="AC35" i="2"/>
  <c r="AB35" i="2"/>
  <c r="AA35" i="2"/>
  <c r="J35" i="2" s="1" a="1"/>
  <c r="J35" i="2" s="1"/>
  <c r="I27" i="3" s="1"/>
  <c r="Z35" i="2"/>
  <c r="Y35" i="2"/>
  <c r="X35" i="2"/>
  <c r="W35" i="2"/>
  <c r="V35" i="2"/>
  <c r="AD34" i="2"/>
  <c r="AC34" i="2"/>
  <c r="AB34" i="2"/>
  <c r="AA34" i="2"/>
  <c r="J34" i="2" s="1" a="1"/>
  <c r="J34" i="2" s="1"/>
  <c r="Z34" i="2"/>
  <c r="Y34" i="2"/>
  <c r="X34" i="2"/>
  <c r="W34" i="2"/>
  <c r="V34" i="2"/>
  <c r="AD33" i="2"/>
  <c r="AC33" i="2"/>
  <c r="AB33" i="2"/>
  <c r="AA33" i="2"/>
  <c r="J33" i="2" s="1" a="1"/>
  <c r="J33" i="2" s="1"/>
  <c r="I17" i="3" s="1"/>
  <c r="Z33" i="2"/>
  <c r="Y33" i="2"/>
  <c r="X33" i="2"/>
  <c r="W33" i="2"/>
  <c r="V33" i="2"/>
  <c r="AD32" i="2"/>
  <c r="AC32" i="2"/>
  <c r="AB32" i="2"/>
  <c r="AA32" i="2"/>
  <c r="J32" i="2" s="1" a="1"/>
  <c r="J32" i="2" s="1"/>
  <c r="I39" i="3" s="1"/>
  <c r="Z32" i="2"/>
  <c r="Y32" i="2"/>
  <c r="X32" i="2"/>
  <c r="W32" i="2"/>
  <c r="V32" i="2"/>
  <c r="AD31" i="2"/>
  <c r="AC31" i="2"/>
  <c r="AB31" i="2"/>
  <c r="AA31" i="2"/>
  <c r="J31" i="2" s="1" a="1"/>
  <c r="J31" i="2" s="1"/>
  <c r="I18" i="3" s="1"/>
  <c r="Z31" i="2"/>
  <c r="Y31" i="2"/>
  <c r="X31" i="2"/>
  <c r="W31" i="2"/>
  <c r="V31" i="2"/>
  <c r="AD30" i="2"/>
  <c r="AC30" i="2"/>
  <c r="AB30" i="2"/>
  <c r="AA30" i="2"/>
  <c r="J30" i="2" s="1" a="1"/>
  <c r="J30" i="2" s="1"/>
  <c r="I25" i="3" s="1"/>
  <c r="Z30" i="2"/>
  <c r="Y30" i="2"/>
  <c r="X30" i="2"/>
  <c r="W30" i="2"/>
  <c r="V30" i="2"/>
  <c r="AD29" i="2"/>
  <c r="AC29" i="2"/>
  <c r="AB29" i="2"/>
  <c r="AA29" i="2"/>
  <c r="J29" i="2" s="1" a="1"/>
  <c r="J29" i="2" s="1"/>
  <c r="I58" i="3" s="1"/>
  <c r="Z29" i="2"/>
  <c r="Y29" i="2"/>
  <c r="X29" i="2"/>
  <c r="W29" i="2"/>
  <c r="V29" i="2"/>
  <c r="AD28" i="2"/>
  <c r="AC28" i="2"/>
  <c r="AB28" i="2"/>
  <c r="AA28" i="2"/>
  <c r="J28" i="2" s="1" a="1"/>
  <c r="J28" i="2" s="1"/>
  <c r="I12" i="3" s="1"/>
  <c r="Z28" i="2"/>
  <c r="Y28" i="2"/>
  <c r="X28" i="2"/>
  <c r="W28" i="2"/>
  <c r="V28" i="2"/>
  <c r="AD27" i="2"/>
  <c r="AC27" i="2"/>
  <c r="AB27" i="2"/>
  <c r="AA27" i="2"/>
  <c r="J27" i="2" s="1" a="1"/>
  <c r="J27" i="2" s="1"/>
  <c r="I47" i="3" s="1"/>
  <c r="Z27" i="2"/>
  <c r="Y27" i="2"/>
  <c r="X27" i="2"/>
  <c r="W27" i="2"/>
  <c r="V27" i="2"/>
  <c r="AD26" i="2"/>
  <c r="AC26" i="2"/>
  <c r="AB26" i="2"/>
  <c r="AA26" i="2"/>
  <c r="J26" i="2" s="1" a="1"/>
  <c r="J26" i="2" s="1"/>
  <c r="I29" i="3" s="1"/>
  <c r="Z26" i="2"/>
  <c r="Y26" i="2"/>
  <c r="X26" i="2"/>
  <c r="W26" i="2"/>
  <c r="V26" i="2"/>
  <c r="AD25" i="2"/>
  <c r="AC25" i="2"/>
  <c r="AB25" i="2"/>
  <c r="AA25" i="2"/>
  <c r="J25" i="2" s="1" a="1"/>
  <c r="J25" i="2" s="1"/>
  <c r="I37" i="3" s="1"/>
  <c r="Z25" i="2"/>
  <c r="Y25" i="2"/>
  <c r="X25" i="2"/>
  <c r="W25" i="2"/>
  <c r="V25" i="2"/>
  <c r="AD24" i="2"/>
  <c r="AC24" i="2"/>
  <c r="AB24" i="2"/>
  <c r="AA24" i="2"/>
  <c r="J24" i="2" s="1" a="1"/>
  <c r="J24" i="2" s="1"/>
  <c r="I65" i="3" s="1"/>
  <c r="Z24" i="2"/>
  <c r="Y24" i="2"/>
  <c r="X24" i="2"/>
  <c r="W24" i="2"/>
  <c r="V24" i="2"/>
  <c r="AD23" i="2"/>
  <c r="AC23" i="2"/>
  <c r="AB23" i="2"/>
  <c r="AA23" i="2"/>
  <c r="J23" i="2" s="1" a="1"/>
  <c r="J23" i="2" s="1"/>
  <c r="I21" i="3" s="1"/>
  <c r="Z23" i="2"/>
  <c r="Y23" i="2"/>
  <c r="X23" i="2"/>
  <c r="W23" i="2"/>
  <c r="V23" i="2"/>
  <c r="AD22" i="2"/>
  <c r="AC22" i="2"/>
  <c r="AB22" i="2"/>
  <c r="AA22" i="2"/>
  <c r="J22" i="2" s="1" a="1"/>
  <c r="J22" i="2" s="1"/>
  <c r="I19" i="3" s="1"/>
  <c r="Z22" i="2"/>
  <c r="Y22" i="2"/>
  <c r="X22" i="2"/>
  <c r="W22" i="2"/>
  <c r="V22" i="2"/>
  <c r="AD21" i="2"/>
  <c r="AC21" i="2"/>
  <c r="AB21" i="2"/>
  <c r="AA21" i="2"/>
  <c r="J21" i="2" s="1" a="1"/>
  <c r="J21" i="2" s="1"/>
  <c r="I36" i="3" s="1"/>
  <c r="Z21" i="2"/>
  <c r="Y21" i="2"/>
  <c r="X21" i="2"/>
  <c r="W21" i="2"/>
  <c r="V21" i="2"/>
  <c r="AD20" i="2"/>
  <c r="AC20" i="2"/>
  <c r="AB20" i="2"/>
  <c r="AA20" i="2"/>
  <c r="J20" i="2" s="1" a="1"/>
  <c r="J20" i="2" s="1"/>
  <c r="I64" i="3" s="1"/>
  <c r="Z20" i="2"/>
  <c r="Y20" i="2"/>
  <c r="X20" i="2"/>
  <c r="W20" i="2"/>
  <c r="V20" i="2"/>
  <c r="AD19" i="2"/>
  <c r="AC19" i="2"/>
  <c r="AB19" i="2"/>
  <c r="AA19" i="2"/>
  <c r="J19" i="2" s="1" a="1"/>
  <c r="J19" i="2" s="1"/>
  <c r="I33" i="3" s="1"/>
  <c r="Z19" i="2"/>
  <c r="Y19" i="2"/>
  <c r="X19" i="2"/>
  <c r="W19" i="2"/>
  <c r="V19" i="2"/>
  <c r="AD18" i="2"/>
  <c r="AC18" i="2"/>
  <c r="AB18" i="2"/>
  <c r="AA18" i="2"/>
  <c r="J18" i="2" s="1" a="1"/>
  <c r="J18" i="2" s="1"/>
  <c r="Z18" i="2"/>
  <c r="Y18" i="2"/>
  <c r="X18" i="2"/>
  <c r="W18" i="2"/>
  <c r="V18" i="2"/>
  <c r="AD17" i="2"/>
  <c r="AC17" i="2"/>
  <c r="AB17" i="2"/>
  <c r="AA17" i="2"/>
  <c r="J17" i="2" s="1" a="1"/>
  <c r="J17" i="2" s="1"/>
  <c r="Z17" i="2"/>
  <c r="Y17" i="2"/>
  <c r="X17" i="2"/>
  <c r="W17" i="2"/>
  <c r="V17" i="2"/>
  <c r="AD16" i="2"/>
  <c r="AC16" i="2"/>
  <c r="AB16" i="2"/>
  <c r="AA16" i="2"/>
  <c r="J16" i="2" s="1" a="1"/>
  <c r="J16" i="2" s="1"/>
  <c r="Z16" i="2"/>
  <c r="Y16" i="2"/>
  <c r="X16" i="2"/>
  <c r="W16" i="2"/>
  <c r="V16" i="2"/>
  <c r="AD15" i="2"/>
  <c r="AC15" i="2"/>
  <c r="AB15" i="2"/>
  <c r="AA15" i="2"/>
  <c r="J15" i="2" s="1" a="1"/>
  <c r="J15" i="2" s="1"/>
  <c r="I32" i="3" s="1"/>
  <c r="Z15" i="2"/>
  <c r="Y15" i="2"/>
  <c r="X15" i="2"/>
  <c r="W15" i="2"/>
  <c r="V15" i="2"/>
  <c r="AD14" i="2"/>
  <c r="AC14" i="2"/>
  <c r="AB14" i="2"/>
  <c r="AA14" i="2"/>
  <c r="J14" i="2" s="1" a="1"/>
  <c r="J14" i="2" s="1"/>
  <c r="Z14" i="2"/>
  <c r="Y14" i="2"/>
  <c r="X14" i="2"/>
  <c r="W14" i="2"/>
  <c r="V14" i="2"/>
  <c r="AD13" i="2"/>
  <c r="AC13" i="2"/>
  <c r="AB13" i="2"/>
  <c r="AA13" i="2"/>
  <c r="J13" i="2" s="1" a="1"/>
  <c r="J13" i="2" s="1"/>
  <c r="Z13" i="2"/>
  <c r="Y13" i="2"/>
  <c r="X13" i="2"/>
  <c r="W13" i="2"/>
  <c r="V13" i="2"/>
  <c r="AD12" i="2"/>
  <c r="AC12" i="2"/>
  <c r="AB12" i="2"/>
  <c r="AA12" i="2"/>
  <c r="J12" i="2" s="1" a="1"/>
  <c r="J12" i="2" s="1"/>
  <c r="I35" i="3" s="1"/>
  <c r="Z12" i="2"/>
  <c r="Y12" i="2"/>
  <c r="X12" i="2"/>
  <c r="W12" i="2"/>
  <c r="V12" i="2"/>
  <c r="AD11" i="2"/>
  <c r="AC11" i="2"/>
  <c r="AB11" i="2"/>
  <c r="AA11" i="2"/>
  <c r="J11" i="2" s="1" a="1"/>
  <c r="J11" i="2" s="1"/>
  <c r="I15" i="3" s="1"/>
  <c r="Z11" i="2"/>
  <c r="Y11" i="2"/>
  <c r="X11" i="2"/>
  <c r="W11" i="2"/>
  <c r="V11" i="2"/>
  <c r="AD10" i="2"/>
  <c r="AC10" i="2"/>
  <c r="AB10" i="2"/>
  <c r="AA10" i="2"/>
  <c r="J10" i="2" s="1" a="1"/>
  <c r="J10" i="2" s="1"/>
  <c r="Z10" i="2"/>
  <c r="Y10" i="2"/>
  <c r="X10" i="2"/>
  <c r="W10" i="2"/>
  <c r="V10" i="2"/>
  <c r="AD9" i="2"/>
  <c r="AC9" i="2"/>
  <c r="AB9" i="2"/>
  <c r="AA9" i="2"/>
  <c r="J9" i="2" s="1" a="1"/>
  <c r="J9" i="2" s="1"/>
  <c r="Z9" i="2"/>
  <c r="Y9" i="2"/>
  <c r="X9" i="2"/>
  <c r="W9" i="2"/>
  <c r="V9" i="2"/>
  <c r="AD8" i="2"/>
  <c r="AC8" i="2"/>
  <c r="AB8" i="2"/>
  <c r="AA8" i="2"/>
  <c r="J8" i="2" s="1" a="1"/>
  <c r="J8" i="2" s="1"/>
  <c r="Z8" i="2"/>
  <c r="Y8" i="2"/>
  <c r="X8" i="2"/>
  <c r="W8" i="2"/>
  <c r="V8" i="2"/>
  <c r="AD7" i="2"/>
  <c r="AC7" i="2"/>
  <c r="AB7" i="2"/>
  <c r="AA7" i="2"/>
  <c r="J7" i="2" s="1" a="1"/>
  <c r="J7" i="2" s="1"/>
  <c r="Z7" i="2"/>
  <c r="Y7" i="2"/>
  <c r="X7" i="2"/>
  <c r="W7" i="2"/>
  <c r="V7" i="2"/>
  <c r="AD6" i="2"/>
  <c r="AC6" i="2"/>
  <c r="AB6" i="2"/>
  <c r="AA6" i="2"/>
  <c r="J6" i="2" s="1" a="1"/>
  <c r="J6" i="2" s="1"/>
  <c r="I10" i="3" s="1"/>
  <c r="Z6" i="2"/>
  <c r="Y6" i="2"/>
  <c r="X6" i="2"/>
  <c r="W6" i="2"/>
  <c r="V6" i="2"/>
  <c r="AD5" i="2"/>
  <c r="AC5" i="2"/>
  <c r="AB5" i="2"/>
  <c r="AA5" i="2"/>
  <c r="J5" i="2" s="1" a="1"/>
  <c r="J5" i="2" s="1"/>
  <c r="I8" i="3" s="1"/>
  <c r="Z5" i="2"/>
  <c r="Y5" i="2"/>
  <c r="X5" i="2"/>
  <c r="W5" i="2"/>
  <c r="V5" i="2"/>
  <c r="AD4" i="2"/>
  <c r="AC4" i="2"/>
  <c r="AB4" i="2"/>
  <c r="AA4" i="2"/>
  <c r="J4" i="2" s="1" a="1"/>
  <c r="J4" i="2" s="1"/>
  <c r="Z4" i="2"/>
  <c r="Y4" i="2"/>
  <c r="X4" i="2"/>
  <c r="W4" i="2"/>
  <c r="V4" i="2"/>
  <c r="AD3" i="2"/>
  <c r="AC3" i="2"/>
  <c r="AB3" i="2"/>
  <c r="AA3" i="2"/>
  <c r="J3" i="2" s="1" a="1"/>
  <c r="J3" i="2" s="1"/>
  <c r="I3" i="3" s="1"/>
  <c r="Z3" i="2"/>
  <c r="Y3" i="2"/>
  <c r="X3" i="2"/>
  <c r="W3" i="2"/>
  <c r="V3" i="2"/>
  <c r="AD2" i="2"/>
  <c r="AC2" i="2"/>
  <c r="AB2" i="2"/>
  <c r="AA2" i="2"/>
  <c r="J2" i="2" s="1" a="1"/>
  <c r="J2" i="2" s="1"/>
  <c r="Z2" i="2"/>
  <c r="Y2" i="2"/>
  <c r="X2" i="2"/>
  <c r="W2" i="2"/>
  <c r="V2" i="2"/>
  <c r="AD1" i="2"/>
  <c r="AC1" i="2"/>
  <c r="AB1" i="2"/>
  <c r="AA1" i="2"/>
  <c r="Z1" i="2"/>
  <c r="Y1" i="2"/>
  <c r="X1" i="2"/>
  <c r="W1" i="2"/>
  <c r="V1" i="2"/>
  <c r="U145" i="2"/>
  <c r="T145" i="2"/>
  <c r="U144" i="2"/>
  <c r="T144" i="2"/>
  <c r="U143" i="2"/>
  <c r="T143" i="2"/>
  <c r="U142" i="2"/>
  <c r="T142" i="2"/>
  <c r="U141" i="2"/>
  <c r="T141" i="2"/>
  <c r="U140" i="2"/>
  <c r="T140" i="2"/>
  <c r="U139" i="2"/>
  <c r="T139" i="2"/>
  <c r="U138" i="2"/>
  <c r="T138" i="2"/>
  <c r="U137" i="2"/>
  <c r="T137" i="2"/>
  <c r="U136" i="2"/>
  <c r="T136" i="2"/>
  <c r="U135" i="2"/>
  <c r="T135" i="2"/>
  <c r="U134" i="2"/>
  <c r="T134" i="2"/>
  <c r="U133" i="2"/>
  <c r="T133" i="2"/>
  <c r="U132" i="2"/>
  <c r="T132" i="2"/>
  <c r="U131" i="2"/>
  <c r="T131" i="2"/>
  <c r="U130" i="2"/>
  <c r="T130" i="2"/>
  <c r="U129" i="2"/>
  <c r="T129" i="2"/>
  <c r="U128" i="2"/>
  <c r="T128" i="2"/>
  <c r="U127" i="2"/>
  <c r="T127" i="2"/>
  <c r="U126" i="2"/>
  <c r="T126" i="2"/>
  <c r="U125" i="2"/>
  <c r="T125" i="2"/>
  <c r="U124" i="2"/>
  <c r="T124" i="2"/>
  <c r="U123" i="2"/>
  <c r="T123" i="2"/>
  <c r="U122" i="2"/>
  <c r="T122" i="2"/>
  <c r="U121" i="2"/>
  <c r="T121" i="2"/>
  <c r="U120" i="2"/>
  <c r="T120" i="2"/>
  <c r="U119" i="2"/>
  <c r="T119" i="2"/>
  <c r="U118" i="2"/>
  <c r="T118" i="2"/>
  <c r="U117" i="2"/>
  <c r="T117" i="2"/>
  <c r="U116" i="2"/>
  <c r="T116" i="2"/>
  <c r="U115" i="2"/>
  <c r="T115" i="2"/>
  <c r="U114" i="2"/>
  <c r="T114" i="2"/>
  <c r="U113" i="2"/>
  <c r="T113" i="2"/>
  <c r="U112" i="2"/>
  <c r="T112" i="2"/>
  <c r="U111" i="2"/>
  <c r="T111" i="2"/>
  <c r="U110" i="2"/>
  <c r="T110" i="2"/>
  <c r="U109" i="2"/>
  <c r="T109" i="2"/>
  <c r="U108" i="2"/>
  <c r="T108" i="2"/>
  <c r="U107" i="2"/>
  <c r="T107" i="2"/>
  <c r="U106" i="2"/>
  <c r="T106" i="2"/>
  <c r="U105" i="2"/>
  <c r="T105" i="2"/>
  <c r="U104" i="2"/>
  <c r="T104" i="2"/>
  <c r="U103" i="2"/>
  <c r="T103" i="2"/>
  <c r="U102" i="2"/>
  <c r="T102" i="2"/>
  <c r="U101" i="2"/>
  <c r="T101" i="2"/>
  <c r="U100" i="2"/>
  <c r="T100" i="2"/>
  <c r="U99" i="2"/>
  <c r="T99" i="2"/>
  <c r="U98" i="2"/>
  <c r="T98" i="2"/>
  <c r="U97" i="2"/>
  <c r="T97" i="2"/>
  <c r="U96" i="2"/>
  <c r="T96" i="2"/>
  <c r="U95" i="2"/>
  <c r="T95" i="2"/>
  <c r="U94" i="2"/>
  <c r="T94" i="2"/>
  <c r="U93" i="2"/>
  <c r="T93" i="2"/>
  <c r="U92" i="2"/>
  <c r="T92" i="2"/>
  <c r="U91" i="2"/>
  <c r="T91" i="2"/>
  <c r="U90" i="2"/>
  <c r="T90" i="2"/>
  <c r="U89" i="2"/>
  <c r="T89" i="2"/>
  <c r="U88" i="2"/>
  <c r="T88" i="2"/>
  <c r="U87" i="2"/>
  <c r="T87" i="2"/>
  <c r="U86" i="2"/>
  <c r="T86" i="2"/>
  <c r="U85" i="2"/>
  <c r="T85" i="2"/>
  <c r="U84" i="2"/>
  <c r="T84" i="2"/>
  <c r="U83" i="2"/>
  <c r="T83" i="2"/>
  <c r="U82" i="2"/>
  <c r="T82" i="2"/>
  <c r="U81" i="2"/>
  <c r="T81" i="2"/>
  <c r="U80" i="2"/>
  <c r="T80" i="2"/>
  <c r="U79" i="2"/>
  <c r="T79" i="2"/>
  <c r="U78" i="2"/>
  <c r="T78" i="2"/>
  <c r="U77" i="2"/>
  <c r="T77" i="2"/>
  <c r="U76" i="2"/>
  <c r="T76" i="2"/>
  <c r="U75" i="2"/>
  <c r="T75" i="2"/>
  <c r="U74" i="2"/>
  <c r="T74" i="2"/>
  <c r="U73" i="2"/>
  <c r="T73" i="2"/>
  <c r="U72" i="2"/>
  <c r="T72" i="2"/>
  <c r="U71" i="2"/>
  <c r="T71" i="2"/>
  <c r="U70" i="2"/>
  <c r="T70" i="2"/>
  <c r="U69" i="2"/>
  <c r="T69" i="2"/>
  <c r="U68" i="2"/>
  <c r="T68" i="2"/>
  <c r="U67" i="2"/>
  <c r="T67" i="2"/>
  <c r="U66" i="2"/>
  <c r="T66" i="2"/>
  <c r="U65" i="2"/>
  <c r="T65" i="2"/>
  <c r="U64" i="2"/>
  <c r="T64" i="2"/>
  <c r="U63" i="2"/>
  <c r="T63" i="2"/>
  <c r="U62" i="2"/>
  <c r="T62" i="2"/>
  <c r="U61" i="2"/>
  <c r="T61" i="2"/>
  <c r="U60" i="2"/>
  <c r="T60" i="2"/>
  <c r="U59" i="2"/>
  <c r="T59" i="2"/>
  <c r="U58" i="2"/>
  <c r="T58" i="2"/>
  <c r="U57" i="2"/>
  <c r="T57" i="2"/>
  <c r="U56" i="2"/>
  <c r="T56" i="2"/>
  <c r="U55" i="2"/>
  <c r="T55" i="2"/>
  <c r="U54" i="2"/>
  <c r="T54" i="2"/>
  <c r="U53" i="2"/>
  <c r="T53" i="2"/>
  <c r="U52" i="2"/>
  <c r="T52" i="2"/>
  <c r="U51" i="2"/>
  <c r="T51" i="2"/>
  <c r="U50" i="2"/>
  <c r="T50" i="2"/>
  <c r="U49" i="2"/>
  <c r="T49" i="2"/>
  <c r="U48" i="2"/>
  <c r="T48" i="2"/>
  <c r="U47" i="2"/>
  <c r="T47" i="2"/>
  <c r="U46" i="2"/>
  <c r="T46" i="2"/>
  <c r="U45" i="2"/>
  <c r="T45" i="2"/>
  <c r="U44" i="2"/>
  <c r="T44" i="2"/>
  <c r="U43" i="2"/>
  <c r="T43" i="2"/>
  <c r="U42" i="2"/>
  <c r="T42" i="2"/>
  <c r="U41" i="2"/>
  <c r="T41" i="2"/>
  <c r="U40" i="2"/>
  <c r="T40" i="2"/>
  <c r="U39" i="2"/>
  <c r="T39" i="2"/>
  <c r="U38" i="2"/>
  <c r="T38" i="2"/>
  <c r="U37" i="2"/>
  <c r="T37" i="2"/>
  <c r="U36" i="2"/>
  <c r="T36" i="2"/>
  <c r="U35" i="2"/>
  <c r="T35" i="2"/>
  <c r="U34" i="2"/>
  <c r="T34" i="2"/>
  <c r="U33" i="2"/>
  <c r="T33" i="2"/>
  <c r="U32" i="2"/>
  <c r="T32" i="2"/>
  <c r="U31" i="2"/>
  <c r="T31" i="2"/>
  <c r="U30" i="2"/>
  <c r="T30" i="2"/>
  <c r="U29" i="2"/>
  <c r="T29" i="2"/>
  <c r="U28" i="2"/>
  <c r="T28" i="2"/>
  <c r="U27" i="2"/>
  <c r="T27" i="2"/>
  <c r="U26" i="2"/>
  <c r="T26" i="2"/>
  <c r="U25" i="2"/>
  <c r="T25" i="2"/>
  <c r="U24" i="2"/>
  <c r="T24" i="2"/>
  <c r="U23" i="2"/>
  <c r="T23" i="2"/>
  <c r="U22" i="2"/>
  <c r="T22" i="2"/>
  <c r="U21" i="2"/>
  <c r="T21" i="2"/>
  <c r="U20" i="2"/>
  <c r="T20" i="2"/>
  <c r="U19" i="2"/>
  <c r="T19" i="2"/>
  <c r="U18" i="2"/>
  <c r="T18" i="2"/>
  <c r="U17" i="2"/>
  <c r="T17" i="2"/>
  <c r="U16" i="2"/>
  <c r="T16" i="2"/>
  <c r="U15" i="2"/>
  <c r="T15" i="2"/>
  <c r="U14" i="2"/>
  <c r="T14" i="2"/>
  <c r="U13" i="2"/>
  <c r="T13" i="2"/>
  <c r="U12" i="2"/>
  <c r="T12" i="2"/>
  <c r="U11" i="2"/>
  <c r="T11" i="2"/>
  <c r="U10" i="2"/>
  <c r="T10" i="2"/>
  <c r="U9" i="2"/>
  <c r="T9" i="2"/>
  <c r="U8" i="2"/>
  <c r="T8" i="2"/>
  <c r="U7" i="2"/>
  <c r="T7" i="2"/>
  <c r="U6" i="2"/>
  <c r="T6" i="2"/>
  <c r="U5" i="2"/>
  <c r="T5" i="2"/>
  <c r="U4" i="2"/>
  <c r="T4" i="2"/>
  <c r="U3" i="2"/>
  <c r="T3" i="2"/>
  <c r="U2" i="2"/>
  <c r="T2" i="2"/>
  <c r="U1" i="2"/>
  <c r="T1" i="2"/>
  <c r="S145" i="2"/>
  <c r="R145" i="2"/>
  <c r="Q145" i="2"/>
  <c r="P145" i="2"/>
  <c r="O145" i="2"/>
  <c r="N145" i="2"/>
  <c r="M145" i="2"/>
  <c r="L145" i="2"/>
  <c r="K145" i="2"/>
  <c r="S144" i="2"/>
  <c r="R144" i="2"/>
  <c r="Q144" i="2"/>
  <c r="P144" i="2"/>
  <c r="O144" i="2"/>
  <c r="N144" i="2"/>
  <c r="M144" i="2"/>
  <c r="L144" i="2"/>
  <c r="K144" i="2"/>
  <c r="S143" i="2"/>
  <c r="R143" i="2"/>
  <c r="Q143" i="2"/>
  <c r="P143" i="2"/>
  <c r="O143" i="2"/>
  <c r="N143" i="2"/>
  <c r="M143" i="2"/>
  <c r="L143" i="2"/>
  <c r="K143" i="2"/>
  <c r="S142" i="2"/>
  <c r="R142" i="2"/>
  <c r="Q142" i="2"/>
  <c r="P142" i="2"/>
  <c r="O142" i="2"/>
  <c r="N142" i="2"/>
  <c r="M142" i="2"/>
  <c r="L142" i="2"/>
  <c r="K142" i="2"/>
  <c r="S141" i="2"/>
  <c r="R141" i="2"/>
  <c r="Q141" i="2"/>
  <c r="P141" i="2"/>
  <c r="O141" i="2"/>
  <c r="N141" i="2"/>
  <c r="M141" i="2"/>
  <c r="L141" i="2"/>
  <c r="K141" i="2"/>
  <c r="S140" i="2"/>
  <c r="R140" i="2"/>
  <c r="Q140" i="2"/>
  <c r="P140" i="2"/>
  <c r="O140" i="2"/>
  <c r="N140" i="2"/>
  <c r="M140" i="2"/>
  <c r="L140" i="2"/>
  <c r="K140" i="2"/>
  <c r="S139" i="2"/>
  <c r="R139" i="2"/>
  <c r="Q139" i="2"/>
  <c r="P139" i="2"/>
  <c r="O139" i="2"/>
  <c r="N139" i="2"/>
  <c r="M139" i="2"/>
  <c r="L139" i="2"/>
  <c r="K139" i="2"/>
  <c r="S138" i="2"/>
  <c r="R138" i="2"/>
  <c r="Q138" i="2"/>
  <c r="P138" i="2"/>
  <c r="O138" i="2"/>
  <c r="N138" i="2"/>
  <c r="M138" i="2"/>
  <c r="L138" i="2"/>
  <c r="K138" i="2"/>
  <c r="S137" i="2"/>
  <c r="R137" i="2"/>
  <c r="Q137" i="2"/>
  <c r="P137" i="2"/>
  <c r="O137" i="2"/>
  <c r="N137" i="2"/>
  <c r="M137" i="2"/>
  <c r="L137" i="2"/>
  <c r="K137" i="2"/>
  <c r="S136" i="2"/>
  <c r="R136" i="2"/>
  <c r="Q136" i="2"/>
  <c r="P136" i="2"/>
  <c r="O136" i="2"/>
  <c r="N136" i="2"/>
  <c r="M136" i="2"/>
  <c r="L136" i="2"/>
  <c r="K136" i="2"/>
  <c r="S135" i="2"/>
  <c r="R135" i="2"/>
  <c r="Q135" i="2"/>
  <c r="P135" i="2"/>
  <c r="O135" i="2"/>
  <c r="N135" i="2"/>
  <c r="M135" i="2"/>
  <c r="L135" i="2"/>
  <c r="K135" i="2"/>
  <c r="S134" i="2"/>
  <c r="R134" i="2"/>
  <c r="Q134" i="2"/>
  <c r="P134" i="2"/>
  <c r="O134" i="2"/>
  <c r="N134" i="2"/>
  <c r="M134" i="2"/>
  <c r="L134" i="2"/>
  <c r="K134" i="2"/>
  <c r="S133" i="2"/>
  <c r="R133" i="2"/>
  <c r="Q133" i="2"/>
  <c r="P133" i="2"/>
  <c r="O133" i="2"/>
  <c r="N133" i="2"/>
  <c r="M133" i="2"/>
  <c r="L133" i="2"/>
  <c r="K133" i="2"/>
  <c r="S132" i="2"/>
  <c r="R132" i="2"/>
  <c r="Q132" i="2"/>
  <c r="P132" i="2"/>
  <c r="O132" i="2"/>
  <c r="N132" i="2"/>
  <c r="M132" i="2"/>
  <c r="L132" i="2"/>
  <c r="K132" i="2"/>
  <c r="S131" i="2"/>
  <c r="R131" i="2"/>
  <c r="Q131" i="2"/>
  <c r="P131" i="2"/>
  <c r="O131" i="2"/>
  <c r="N131" i="2"/>
  <c r="M131" i="2"/>
  <c r="L131" i="2"/>
  <c r="K131" i="2"/>
  <c r="S130" i="2"/>
  <c r="R130" i="2"/>
  <c r="Q130" i="2"/>
  <c r="P130" i="2"/>
  <c r="O130" i="2"/>
  <c r="N130" i="2"/>
  <c r="M130" i="2"/>
  <c r="L130" i="2"/>
  <c r="K130" i="2"/>
  <c r="S129" i="2"/>
  <c r="R129" i="2"/>
  <c r="Q129" i="2"/>
  <c r="P129" i="2"/>
  <c r="O129" i="2"/>
  <c r="N129" i="2"/>
  <c r="M129" i="2"/>
  <c r="L129" i="2"/>
  <c r="K129" i="2"/>
  <c r="S128" i="2"/>
  <c r="R128" i="2"/>
  <c r="Q128" i="2"/>
  <c r="P128" i="2"/>
  <c r="O128" i="2"/>
  <c r="N128" i="2"/>
  <c r="M128" i="2"/>
  <c r="L128" i="2"/>
  <c r="K128" i="2"/>
  <c r="S127" i="2"/>
  <c r="R127" i="2"/>
  <c r="Q127" i="2"/>
  <c r="P127" i="2"/>
  <c r="O127" i="2"/>
  <c r="N127" i="2"/>
  <c r="M127" i="2"/>
  <c r="L127" i="2"/>
  <c r="K127" i="2"/>
  <c r="S126" i="2"/>
  <c r="R126" i="2"/>
  <c r="Q126" i="2"/>
  <c r="P126" i="2"/>
  <c r="O126" i="2"/>
  <c r="N126" i="2"/>
  <c r="M126" i="2"/>
  <c r="L126" i="2"/>
  <c r="K126" i="2"/>
  <c r="S125" i="2"/>
  <c r="R125" i="2"/>
  <c r="Q125" i="2"/>
  <c r="P125" i="2"/>
  <c r="O125" i="2"/>
  <c r="N125" i="2"/>
  <c r="M125" i="2"/>
  <c r="L125" i="2"/>
  <c r="K125" i="2"/>
  <c r="S124" i="2"/>
  <c r="R124" i="2"/>
  <c r="Q124" i="2"/>
  <c r="P124" i="2"/>
  <c r="O124" i="2"/>
  <c r="N124" i="2"/>
  <c r="M124" i="2"/>
  <c r="L124" i="2"/>
  <c r="K124" i="2"/>
  <c r="S123" i="2"/>
  <c r="R123" i="2"/>
  <c r="Q123" i="2"/>
  <c r="P123" i="2"/>
  <c r="O123" i="2"/>
  <c r="N123" i="2"/>
  <c r="M123" i="2"/>
  <c r="L123" i="2"/>
  <c r="K123" i="2"/>
  <c r="S122" i="2"/>
  <c r="R122" i="2"/>
  <c r="Q122" i="2"/>
  <c r="P122" i="2"/>
  <c r="O122" i="2"/>
  <c r="N122" i="2"/>
  <c r="M122" i="2"/>
  <c r="L122" i="2"/>
  <c r="K122" i="2"/>
  <c r="S121" i="2"/>
  <c r="R121" i="2"/>
  <c r="Q121" i="2"/>
  <c r="P121" i="2"/>
  <c r="O121" i="2"/>
  <c r="N121" i="2"/>
  <c r="M121" i="2"/>
  <c r="L121" i="2"/>
  <c r="K121" i="2"/>
  <c r="S120" i="2"/>
  <c r="R120" i="2"/>
  <c r="Q120" i="2"/>
  <c r="P120" i="2"/>
  <c r="O120" i="2"/>
  <c r="N120" i="2"/>
  <c r="M120" i="2"/>
  <c r="L120" i="2"/>
  <c r="K120" i="2"/>
  <c r="S119" i="2"/>
  <c r="R119" i="2"/>
  <c r="Q119" i="2"/>
  <c r="P119" i="2"/>
  <c r="O119" i="2"/>
  <c r="N119" i="2"/>
  <c r="M119" i="2"/>
  <c r="L119" i="2"/>
  <c r="K119" i="2"/>
  <c r="S118" i="2"/>
  <c r="R118" i="2"/>
  <c r="Q118" i="2"/>
  <c r="P118" i="2"/>
  <c r="O118" i="2"/>
  <c r="N118" i="2"/>
  <c r="M118" i="2"/>
  <c r="L118" i="2"/>
  <c r="K118" i="2"/>
  <c r="S117" i="2"/>
  <c r="R117" i="2"/>
  <c r="Q117" i="2"/>
  <c r="P117" i="2"/>
  <c r="O117" i="2"/>
  <c r="N117" i="2"/>
  <c r="M117" i="2"/>
  <c r="L117" i="2"/>
  <c r="K117" i="2"/>
  <c r="J117" i="2" s="1" a="1"/>
  <c r="J117" i="2" s="1"/>
  <c r="S116" i="2"/>
  <c r="R116" i="2"/>
  <c r="Q116" i="2"/>
  <c r="P116" i="2"/>
  <c r="O116" i="2"/>
  <c r="N116" i="2"/>
  <c r="M116" i="2"/>
  <c r="L116" i="2"/>
  <c r="K116" i="2"/>
  <c r="J116" i="2" s="1" a="1"/>
  <c r="J116" i="2" s="1"/>
  <c r="S115" i="2"/>
  <c r="R115" i="2"/>
  <c r="Q115" i="2"/>
  <c r="P115" i="2"/>
  <c r="O115" i="2"/>
  <c r="N115" i="2"/>
  <c r="M115" i="2"/>
  <c r="L115" i="2"/>
  <c r="K115" i="2"/>
  <c r="J115" i="2" s="1" a="1"/>
  <c r="J115" i="2" s="1"/>
  <c r="S114" i="2"/>
  <c r="R114" i="2"/>
  <c r="Q114" i="2"/>
  <c r="P114" i="2"/>
  <c r="O114" i="2"/>
  <c r="N114" i="2"/>
  <c r="M114" i="2"/>
  <c r="L114" i="2"/>
  <c r="K114" i="2"/>
  <c r="J114" i="2" s="1" a="1"/>
  <c r="J114" i="2" s="1"/>
  <c r="S113" i="2"/>
  <c r="R113" i="2"/>
  <c r="Q113" i="2"/>
  <c r="P113" i="2"/>
  <c r="O113" i="2"/>
  <c r="N113" i="2"/>
  <c r="M113" i="2"/>
  <c r="L113" i="2"/>
  <c r="K113" i="2"/>
  <c r="J113" i="2" s="1" a="1"/>
  <c r="J113" i="2" s="1"/>
  <c r="S112" i="2"/>
  <c r="R112" i="2"/>
  <c r="Q112" i="2"/>
  <c r="P112" i="2"/>
  <c r="O112" i="2"/>
  <c r="N112" i="2"/>
  <c r="M112" i="2"/>
  <c r="L112" i="2"/>
  <c r="K112" i="2"/>
  <c r="J112" i="2" s="1" a="1"/>
  <c r="J112" i="2" s="1"/>
  <c r="S111" i="2"/>
  <c r="R111" i="2"/>
  <c r="Q111" i="2"/>
  <c r="P111" i="2"/>
  <c r="O111" i="2"/>
  <c r="N111" i="2"/>
  <c r="M111" i="2"/>
  <c r="L111" i="2"/>
  <c r="K111" i="2"/>
  <c r="J111" i="2" s="1" a="1"/>
  <c r="J111" i="2" s="1"/>
  <c r="S110" i="2"/>
  <c r="R110" i="2"/>
  <c r="Q110" i="2"/>
  <c r="P110" i="2"/>
  <c r="O110" i="2"/>
  <c r="N110" i="2"/>
  <c r="M110" i="2"/>
  <c r="L110" i="2"/>
  <c r="K110" i="2"/>
  <c r="S109" i="2"/>
  <c r="R109" i="2"/>
  <c r="Q109" i="2"/>
  <c r="P109" i="2"/>
  <c r="O109" i="2"/>
  <c r="N109" i="2"/>
  <c r="M109" i="2"/>
  <c r="L109" i="2"/>
  <c r="K109" i="2"/>
  <c r="S108" i="2"/>
  <c r="R108" i="2"/>
  <c r="Q108" i="2"/>
  <c r="P108" i="2"/>
  <c r="O108" i="2"/>
  <c r="N108" i="2"/>
  <c r="M108" i="2"/>
  <c r="L108" i="2"/>
  <c r="K108" i="2"/>
  <c r="S107" i="2"/>
  <c r="R107" i="2"/>
  <c r="Q107" i="2"/>
  <c r="P107" i="2"/>
  <c r="O107" i="2"/>
  <c r="N107" i="2"/>
  <c r="M107" i="2"/>
  <c r="L107" i="2"/>
  <c r="K107" i="2"/>
  <c r="S106" i="2"/>
  <c r="R106" i="2"/>
  <c r="Q106" i="2"/>
  <c r="P106" i="2"/>
  <c r="O106" i="2"/>
  <c r="N106" i="2"/>
  <c r="M106" i="2"/>
  <c r="L106" i="2"/>
  <c r="K106" i="2"/>
  <c r="S105" i="2"/>
  <c r="R105" i="2"/>
  <c r="Q105" i="2"/>
  <c r="P105" i="2"/>
  <c r="O105" i="2"/>
  <c r="N105" i="2"/>
  <c r="M105" i="2"/>
  <c r="L105" i="2"/>
  <c r="K105" i="2"/>
  <c r="S104" i="2"/>
  <c r="R104" i="2"/>
  <c r="Q104" i="2"/>
  <c r="P104" i="2"/>
  <c r="O104" i="2"/>
  <c r="N104" i="2"/>
  <c r="M104" i="2"/>
  <c r="L104" i="2"/>
  <c r="K104" i="2"/>
  <c r="S103" i="2"/>
  <c r="R103" i="2"/>
  <c r="Q103" i="2"/>
  <c r="P103" i="2"/>
  <c r="O103" i="2"/>
  <c r="N103" i="2"/>
  <c r="M103" i="2"/>
  <c r="L103" i="2"/>
  <c r="K103" i="2"/>
  <c r="S102" i="2"/>
  <c r="R102" i="2"/>
  <c r="Q102" i="2"/>
  <c r="P102" i="2"/>
  <c r="O102" i="2"/>
  <c r="N102" i="2"/>
  <c r="M102" i="2"/>
  <c r="L102" i="2"/>
  <c r="K102" i="2"/>
  <c r="S101" i="2"/>
  <c r="R101" i="2"/>
  <c r="Q101" i="2"/>
  <c r="P101" i="2"/>
  <c r="O101" i="2"/>
  <c r="N101" i="2"/>
  <c r="M101" i="2"/>
  <c r="L101" i="2"/>
  <c r="K101" i="2"/>
  <c r="S100" i="2"/>
  <c r="R100" i="2"/>
  <c r="Q100" i="2"/>
  <c r="P100" i="2"/>
  <c r="O100" i="2"/>
  <c r="N100" i="2"/>
  <c r="M100" i="2"/>
  <c r="L100" i="2"/>
  <c r="K100" i="2"/>
  <c r="S99" i="2"/>
  <c r="R99" i="2"/>
  <c r="Q99" i="2"/>
  <c r="P99" i="2"/>
  <c r="O99" i="2"/>
  <c r="N99" i="2"/>
  <c r="M99" i="2"/>
  <c r="L99" i="2"/>
  <c r="K99" i="2"/>
  <c r="S98" i="2"/>
  <c r="R98" i="2"/>
  <c r="Q98" i="2"/>
  <c r="P98" i="2"/>
  <c r="O98" i="2"/>
  <c r="N98" i="2"/>
  <c r="M98" i="2"/>
  <c r="L98" i="2"/>
  <c r="K98" i="2"/>
  <c r="S97" i="2"/>
  <c r="R97" i="2"/>
  <c r="Q97" i="2"/>
  <c r="P97" i="2"/>
  <c r="O97" i="2"/>
  <c r="N97" i="2"/>
  <c r="M97" i="2"/>
  <c r="L97" i="2"/>
  <c r="K97" i="2"/>
  <c r="S96" i="2"/>
  <c r="R96" i="2"/>
  <c r="Q96" i="2"/>
  <c r="P96" i="2"/>
  <c r="O96" i="2"/>
  <c r="N96" i="2"/>
  <c r="M96" i="2"/>
  <c r="L96" i="2"/>
  <c r="K96" i="2"/>
  <c r="S95" i="2"/>
  <c r="R95" i="2"/>
  <c r="Q95" i="2"/>
  <c r="P95" i="2"/>
  <c r="O95" i="2"/>
  <c r="N95" i="2"/>
  <c r="M95" i="2"/>
  <c r="L95" i="2"/>
  <c r="K95" i="2"/>
  <c r="S94" i="2"/>
  <c r="R94" i="2"/>
  <c r="Q94" i="2"/>
  <c r="P94" i="2"/>
  <c r="O94" i="2"/>
  <c r="N94" i="2"/>
  <c r="M94" i="2"/>
  <c r="L94" i="2"/>
  <c r="K94" i="2"/>
  <c r="S93" i="2"/>
  <c r="R93" i="2"/>
  <c r="Q93" i="2"/>
  <c r="P93" i="2"/>
  <c r="O93" i="2"/>
  <c r="N93" i="2"/>
  <c r="M93" i="2"/>
  <c r="L93" i="2"/>
  <c r="K93" i="2"/>
  <c r="S92" i="2"/>
  <c r="R92" i="2"/>
  <c r="Q92" i="2"/>
  <c r="P92" i="2"/>
  <c r="O92" i="2"/>
  <c r="N92" i="2"/>
  <c r="M92" i="2"/>
  <c r="L92" i="2"/>
  <c r="K92" i="2"/>
  <c r="S91" i="2"/>
  <c r="R91" i="2"/>
  <c r="Q91" i="2"/>
  <c r="P91" i="2"/>
  <c r="O91" i="2"/>
  <c r="N91" i="2"/>
  <c r="M91" i="2"/>
  <c r="L91" i="2"/>
  <c r="K91" i="2"/>
  <c r="S90" i="2"/>
  <c r="R90" i="2"/>
  <c r="Q90" i="2"/>
  <c r="P90" i="2"/>
  <c r="O90" i="2"/>
  <c r="N90" i="2"/>
  <c r="M90" i="2"/>
  <c r="L90" i="2"/>
  <c r="K90" i="2"/>
  <c r="S89" i="2"/>
  <c r="R89" i="2"/>
  <c r="Q89" i="2"/>
  <c r="P89" i="2"/>
  <c r="O89" i="2"/>
  <c r="N89" i="2"/>
  <c r="M89" i="2"/>
  <c r="L89" i="2"/>
  <c r="K89" i="2"/>
  <c r="S88" i="2"/>
  <c r="R88" i="2"/>
  <c r="Q88" i="2"/>
  <c r="P88" i="2"/>
  <c r="O88" i="2"/>
  <c r="N88" i="2"/>
  <c r="M88" i="2"/>
  <c r="L88" i="2"/>
  <c r="K88" i="2"/>
  <c r="S87" i="2"/>
  <c r="R87" i="2"/>
  <c r="Q87" i="2"/>
  <c r="P87" i="2"/>
  <c r="O87" i="2"/>
  <c r="N87" i="2"/>
  <c r="M87" i="2"/>
  <c r="L87" i="2"/>
  <c r="K87" i="2"/>
  <c r="S86" i="2"/>
  <c r="R86" i="2"/>
  <c r="Q86" i="2"/>
  <c r="P86" i="2"/>
  <c r="O86" i="2"/>
  <c r="N86" i="2"/>
  <c r="M86" i="2"/>
  <c r="L86" i="2"/>
  <c r="K86" i="2"/>
  <c r="S85" i="2"/>
  <c r="R85" i="2"/>
  <c r="Q85" i="2"/>
  <c r="P85" i="2"/>
  <c r="O85" i="2"/>
  <c r="N85" i="2"/>
  <c r="M85" i="2"/>
  <c r="L85" i="2"/>
  <c r="K85" i="2"/>
  <c r="S84" i="2"/>
  <c r="R84" i="2"/>
  <c r="Q84" i="2"/>
  <c r="P84" i="2"/>
  <c r="O84" i="2"/>
  <c r="N84" i="2"/>
  <c r="M84" i="2"/>
  <c r="L84" i="2"/>
  <c r="K84" i="2"/>
  <c r="S83" i="2"/>
  <c r="R83" i="2"/>
  <c r="Q83" i="2"/>
  <c r="P83" i="2"/>
  <c r="O83" i="2"/>
  <c r="N83" i="2"/>
  <c r="M83" i="2"/>
  <c r="L83" i="2"/>
  <c r="K83" i="2"/>
  <c r="S82" i="2"/>
  <c r="R82" i="2"/>
  <c r="Q82" i="2"/>
  <c r="P82" i="2"/>
  <c r="O82" i="2"/>
  <c r="N82" i="2"/>
  <c r="M82" i="2"/>
  <c r="L82" i="2"/>
  <c r="K82" i="2"/>
  <c r="A3" i="6"/>
  <c r="A2" i="7"/>
  <c r="D2" i="7" s="1"/>
  <c r="S81" i="2"/>
  <c r="R81" i="2"/>
  <c r="Q81" i="2"/>
  <c r="P81" i="2"/>
  <c r="O81" i="2"/>
  <c r="N81" i="2"/>
  <c r="M81" i="2"/>
  <c r="L81" i="2"/>
  <c r="K81" i="2"/>
  <c r="S80" i="2"/>
  <c r="R80" i="2"/>
  <c r="Q80" i="2"/>
  <c r="P80" i="2"/>
  <c r="O80" i="2"/>
  <c r="N80" i="2"/>
  <c r="M80" i="2"/>
  <c r="L80" i="2"/>
  <c r="K80" i="2"/>
  <c r="S79" i="2"/>
  <c r="R79" i="2"/>
  <c r="Q79" i="2"/>
  <c r="P79" i="2"/>
  <c r="O79" i="2"/>
  <c r="N79" i="2"/>
  <c r="M79" i="2"/>
  <c r="L79" i="2"/>
  <c r="K79" i="2"/>
  <c r="S78" i="2"/>
  <c r="R78" i="2"/>
  <c r="Q78" i="2"/>
  <c r="P78" i="2"/>
  <c r="O78" i="2"/>
  <c r="N78" i="2"/>
  <c r="M78" i="2"/>
  <c r="L78" i="2"/>
  <c r="K78" i="2"/>
  <c r="S77" i="2"/>
  <c r="R77" i="2"/>
  <c r="Q77" i="2"/>
  <c r="P77" i="2"/>
  <c r="O77" i="2"/>
  <c r="N77" i="2"/>
  <c r="M77" i="2"/>
  <c r="L77" i="2"/>
  <c r="K77" i="2"/>
  <c r="S76" i="2"/>
  <c r="R76" i="2"/>
  <c r="Q76" i="2"/>
  <c r="P76" i="2"/>
  <c r="O76" i="2"/>
  <c r="N76" i="2"/>
  <c r="M76" i="2"/>
  <c r="L76" i="2"/>
  <c r="K76" i="2"/>
  <c r="S75" i="2"/>
  <c r="R75" i="2"/>
  <c r="Q75" i="2"/>
  <c r="P75" i="2"/>
  <c r="O75" i="2"/>
  <c r="N75" i="2"/>
  <c r="M75" i="2"/>
  <c r="L75" i="2"/>
  <c r="K75" i="2"/>
  <c r="S74" i="2"/>
  <c r="R74" i="2"/>
  <c r="Q74" i="2"/>
  <c r="P74" i="2"/>
  <c r="O74" i="2"/>
  <c r="N74" i="2"/>
  <c r="M74" i="2"/>
  <c r="L74" i="2"/>
  <c r="K74" i="2"/>
  <c r="S73" i="2"/>
  <c r="R73" i="2"/>
  <c r="Q73" i="2"/>
  <c r="P73" i="2"/>
  <c r="O73" i="2"/>
  <c r="N73" i="2"/>
  <c r="M73" i="2"/>
  <c r="L73" i="2"/>
  <c r="K73" i="2"/>
  <c r="S72" i="2"/>
  <c r="R72" i="2"/>
  <c r="Q72" i="2"/>
  <c r="P72" i="2"/>
  <c r="O72" i="2"/>
  <c r="N72" i="2"/>
  <c r="M72" i="2"/>
  <c r="L72" i="2"/>
  <c r="K72" i="2"/>
  <c r="S71" i="2"/>
  <c r="R71" i="2"/>
  <c r="Q71" i="2"/>
  <c r="P71" i="2"/>
  <c r="O71" i="2"/>
  <c r="N71" i="2"/>
  <c r="M71" i="2"/>
  <c r="L71" i="2"/>
  <c r="K71" i="2"/>
  <c r="S70" i="2"/>
  <c r="R70" i="2"/>
  <c r="Q70" i="2"/>
  <c r="P70" i="2"/>
  <c r="O70" i="2"/>
  <c r="N70" i="2"/>
  <c r="M70" i="2"/>
  <c r="L70" i="2"/>
  <c r="K70" i="2"/>
  <c r="S69" i="2"/>
  <c r="R69" i="2"/>
  <c r="Q69" i="2"/>
  <c r="P69" i="2"/>
  <c r="O69" i="2"/>
  <c r="N69" i="2"/>
  <c r="M69" i="2"/>
  <c r="L69" i="2"/>
  <c r="K69" i="2"/>
  <c r="S68" i="2"/>
  <c r="R68" i="2"/>
  <c r="Q68" i="2"/>
  <c r="P68" i="2"/>
  <c r="O68" i="2"/>
  <c r="N68" i="2"/>
  <c r="M68" i="2"/>
  <c r="L68" i="2"/>
  <c r="K68" i="2"/>
  <c r="S67" i="2"/>
  <c r="R67" i="2"/>
  <c r="Q67" i="2"/>
  <c r="P67" i="2"/>
  <c r="O67" i="2"/>
  <c r="N67" i="2"/>
  <c r="M67" i="2"/>
  <c r="L67" i="2"/>
  <c r="K67" i="2"/>
  <c r="S66" i="2"/>
  <c r="R66" i="2"/>
  <c r="Q66" i="2"/>
  <c r="P66" i="2"/>
  <c r="O66" i="2"/>
  <c r="N66" i="2"/>
  <c r="M66" i="2"/>
  <c r="L66" i="2"/>
  <c r="K66" i="2"/>
  <c r="S65" i="2"/>
  <c r="R65" i="2"/>
  <c r="Q65" i="2"/>
  <c r="P65" i="2"/>
  <c r="O65" i="2"/>
  <c r="N65" i="2"/>
  <c r="M65" i="2"/>
  <c r="L65" i="2"/>
  <c r="K65" i="2"/>
  <c r="S64" i="2"/>
  <c r="R64" i="2"/>
  <c r="Q64" i="2"/>
  <c r="P64" i="2"/>
  <c r="O64" i="2"/>
  <c r="N64" i="2"/>
  <c r="M64" i="2"/>
  <c r="L64" i="2"/>
  <c r="K64" i="2"/>
  <c r="S63" i="2"/>
  <c r="R63" i="2"/>
  <c r="Q63" i="2"/>
  <c r="P63" i="2"/>
  <c r="O63" i="2"/>
  <c r="N63" i="2"/>
  <c r="M63" i="2"/>
  <c r="L63" i="2"/>
  <c r="K63" i="2"/>
  <c r="S62" i="2"/>
  <c r="R62" i="2"/>
  <c r="Q62" i="2"/>
  <c r="P62" i="2"/>
  <c r="O62" i="2"/>
  <c r="N62" i="2"/>
  <c r="M62" i="2"/>
  <c r="L62" i="2"/>
  <c r="K62" i="2"/>
  <c r="S61" i="2"/>
  <c r="R61" i="2"/>
  <c r="Q61" i="2"/>
  <c r="P61" i="2"/>
  <c r="O61" i="2"/>
  <c r="N61" i="2"/>
  <c r="M61" i="2"/>
  <c r="L61" i="2"/>
  <c r="K61" i="2"/>
  <c r="S60" i="2"/>
  <c r="R60" i="2"/>
  <c r="Q60" i="2"/>
  <c r="P60" i="2"/>
  <c r="O60" i="2"/>
  <c r="N60" i="2"/>
  <c r="M60" i="2"/>
  <c r="L60" i="2"/>
  <c r="K60" i="2"/>
  <c r="S59" i="2"/>
  <c r="R59" i="2"/>
  <c r="Q59" i="2"/>
  <c r="P59" i="2"/>
  <c r="O59" i="2"/>
  <c r="N59" i="2"/>
  <c r="M59" i="2"/>
  <c r="L59" i="2"/>
  <c r="K59" i="2"/>
  <c r="S58" i="2"/>
  <c r="R58" i="2"/>
  <c r="Q58" i="2"/>
  <c r="P58" i="2"/>
  <c r="O58" i="2"/>
  <c r="N58" i="2"/>
  <c r="M58" i="2"/>
  <c r="L58" i="2"/>
  <c r="K58" i="2"/>
  <c r="S57" i="2"/>
  <c r="R57" i="2"/>
  <c r="Q57" i="2"/>
  <c r="P57" i="2"/>
  <c r="O57" i="2"/>
  <c r="N57" i="2"/>
  <c r="M57" i="2"/>
  <c r="L57" i="2"/>
  <c r="K57" i="2"/>
  <c r="S56" i="2"/>
  <c r="R56" i="2"/>
  <c r="Q56" i="2"/>
  <c r="P56" i="2"/>
  <c r="O56" i="2"/>
  <c r="N56" i="2"/>
  <c r="M56" i="2"/>
  <c r="L56" i="2"/>
  <c r="K56" i="2"/>
  <c r="S55" i="2"/>
  <c r="R55" i="2"/>
  <c r="Q55" i="2"/>
  <c r="P55" i="2"/>
  <c r="O55" i="2"/>
  <c r="N55" i="2"/>
  <c r="M55" i="2"/>
  <c r="L55" i="2"/>
  <c r="K55" i="2"/>
  <c r="S54" i="2"/>
  <c r="R54" i="2"/>
  <c r="Q54" i="2"/>
  <c r="P54" i="2"/>
  <c r="O54" i="2"/>
  <c r="N54" i="2"/>
  <c r="M54" i="2"/>
  <c r="L54" i="2"/>
  <c r="K54" i="2"/>
  <c r="S53" i="2"/>
  <c r="R53" i="2"/>
  <c r="Q53" i="2"/>
  <c r="P53" i="2"/>
  <c r="O53" i="2"/>
  <c r="N53" i="2"/>
  <c r="M53" i="2"/>
  <c r="L53" i="2"/>
  <c r="K53" i="2"/>
  <c r="S52" i="2"/>
  <c r="R52" i="2"/>
  <c r="Q52" i="2"/>
  <c r="P52" i="2"/>
  <c r="O52" i="2"/>
  <c r="N52" i="2"/>
  <c r="M52" i="2"/>
  <c r="L52" i="2"/>
  <c r="K52" i="2"/>
  <c r="S51" i="2"/>
  <c r="R51" i="2"/>
  <c r="Q51" i="2"/>
  <c r="P51" i="2"/>
  <c r="O51" i="2"/>
  <c r="N51" i="2"/>
  <c r="M51" i="2"/>
  <c r="L51" i="2"/>
  <c r="K51" i="2"/>
  <c r="S50" i="2"/>
  <c r="R50" i="2"/>
  <c r="Q50" i="2"/>
  <c r="P50" i="2"/>
  <c r="O50" i="2"/>
  <c r="N50" i="2"/>
  <c r="M50" i="2"/>
  <c r="L50" i="2"/>
  <c r="K50" i="2"/>
  <c r="S49" i="2"/>
  <c r="R49" i="2"/>
  <c r="Q49" i="2"/>
  <c r="P49" i="2"/>
  <c r="O49" i="2"/>
  <c r="N49" i="2"/>
  <c r="M49" i="2"/>
  <c r="L49" i="2"/>
  <c r="K49" i="2"/>
  <c r="S48" i="2"/>
  <c r="R48" i="2"/>
  <c r="Q48" i="2"/>
  <c r="P48" i="2"/>
  <c r="O48" i="2"/>
  <c r="N48" i="2"/>
  <c r="M48" i="2"/>
  <c r="L48" i="2"/>
  <c r="K48" i="2"/>
  <c r="S47" i="2"/>
  <c r="R47" i="2"/>
  <c r="Q47" i="2"/>
  <c r="P47" i="2"/>
  <c r="O47" i="2"/>
  <c r="N47" i="2"/>
  <c r="M47" i="2"/>
  <c r="L47" i="2"/>
  <c r="K47" i="2"/>
  <c r="S46" i="2"/>
  <c r="R46" i="2"/>
  <c r="Q46" i="2"/>
  <c r="P46" i="2"/>
  <c r="O46" i="2"/>
  <c r="N46" i="2"/>
  <c r="M46" i="2"/>
  <c r="L46" i="2"/>
  <c r="K46" i="2"/>
  <c r="S45" i="2"/>
  <c r="R45" i="2"/>
  <c r="Q45" i="2"/>
  <c r="P45" i="2"/>
  <c r="O45" i="2"/>
  <c r="N45" i="2"/>
  <c r="M45" i="2"/>
  <c r="L45" i="2"/>
  <c r="K45" i="2"/>
  <c r="S44" i="2"/>
  <c r="R44" i="2"/>
  <c r="Q44" i="2"/>
  <c r="P44" i="2"/>
  <c r="O44" i="2"/>
  <c r="N44" i="2"/>
  <c r="M44" i="2"/>
  <c r="L44" i="2"/>
  <c r="K44" i="2"/>
  <c r="S43" i="2"/>
  <c r="R43" i="2"/>
  <c r="Q43" i="2"/>
  <c r="P43" i="2"/>
  <c r="O43" i="2"/>
  <c r="N43" i="2"/>
  <c r="M43" i="2"/>
  <c r="L43" i="2"/>
  <c r="K43" i="2"/>
  <c r="S42" i="2"/>
  <c r="R42" i="2"/>
  <c r="Q42" i="2"/>
  <c r="P42" i="2"/>
  <c r="O42" i="2"/>
  <c r="N42" i="2"/>
  <c r="M42" i="2"/>
  <c r="L42" i="2"/>
  <c r="K42" i="2"/>
  <c r="S41" i="2"/>
  <c r="R41" i="2"/>
  <c r="Q41" i="2"/>
  <c r="P41" i="2"/>
  <c r="O41" i="2"/>
  <c r="N41" i="2"/>
  <c r="M41" i="2"/>
  <c r="L41" i="2"/>
  <c r="K41" i="2"/>
  <c r="S40" i="2"/>
  <c r="R40" i="2"/>
  <c r="Q40" i="2"/>
  <c r="P40" i="2"/>
  <c r="O40" i="2"/>
  <c r="N40" i="2"/>
  <c r="M40" i="2"/>
  <c r="L40" i="2"/>
  <c r="K40" i="2"/>
  <c r="S39" i="2"/>
  <c r="R39" i="2"/>
  <c r="Q39" i="2"/>
  <c r="P39" i="2"/>
  <c r="O39" i="2"/>
  <c r="N39" i="2"/>
  <c r="M39" i="2"/>
  <c r="L39" i="2"/>
  <c r="K39" i="2"/>
  <c r="S38" i="2"/>
  <c r="R38" i="2"/>
  <c r="Q38" i="2"/>
  <c r="P38" i="2"/>
  <c r="O38" i="2"/>
  <c r="N38" i="2"/>
  <c r="M38" i="2"/>
  <c r="L38" i="2"/>
  <c r="K38" i="2"/>
  <c r="S37" i="2"/>
  <c r="R37" i="2"/>
  <c r="Q37" i="2"/>
  <c r="P37" i="2"/>
  <c r="O37" i="2"/>
  <c r="N37" i="2"/>
  <c r="M37" i="2"/>
  <c r="L37" i="2"/>
  <c r="K37" i="2"/>
  <c r="S36" i="2"/>
  <c r="R36" i="2"/>
  <c r="Q36" i="2"/>
  <c r="P36" i="2"/>
  <c r="O36" i="2"/>
  <c r="N36" i="2"/>
  <c r="M36" i="2"/>
  <c r="L36" i="2"/>
  <c r="K36" i="2"/>
  <c r="S35" i="2"/>
  <c r="R35" i="2"/>
  <c r="Q35" i="2"/>
  <c r="P35" i="2"/>
  <c r="O35" i="2"/>
  <c r="N35" i="2"/>
  <c r="M35" i="2"/>
  <c r="L35" i="2"/>
  <c r="K35" i="2"/>
  <c r="S34" i="2"/>
  <c r="R34" i="2"/>
  <c r="Q34" i="2"/>
  <c r="P34" i="2"/>
  <c r="O34" i="2"/>
  <c r="N34" i="2"/>
  <c r="M34" i="2"/>
  <c r="L34" i="2"/>
  <c r="K34" i="2"/>
  <c r="S33" i="2"/>
  <c r="R33" i="2"/>
  <c r="Q33" i="2"/>
  <c r="P33" i="2"/>
  <c r="O33" i="2"/>
  <c r="N33" i="2"/>
  <c r="M33" i="2"/>
  <c r="L33" i="2"/>
  <c r="K33" i="2"/>
  <c r="S32" i="2"/>
  <c r="R32" i="2"/>
  <c r="Q32" i="2"/>
  <c r="P32" i="2"/>
  <c r="O32" i="2"/>
  <c r="N32" i="2"/>
  <c r="M32" i="2"/>
  <c r="L32" i="2"/>
  <c r="K32" i="2"/>
  <c r="S31" i="2"/>
  <c r="R31" i="2"/>
  <c r="Q31" i="2"/>
  <c r="P31" i="2"/>
  <c r="O31" i="2"/>
  <c r="N31" i="2"/>
  <c r="M31" i="2"/>
  <c r="L31" i="2"/>
  <c r="K31" i="2"/>
  <c r="S30" i="2"/>
  <c r="R30" i="2"/>
  <c r="Q30" i="2"/>
  <c r="P30" i="2"/>
  <c r="O30" i="2"/>
  <c r="N30" i="2"/>
  <c r="M30" i="2"/>
  <c r="L30" i="2"/>
  <c r="K30" i="2"/>
  <c r="S29" i="2"/>
  <c r="R29" i="2"/>
  <c r="Q29" i="2"/>
  <c r="P29" i="2"/>
  <c r="O29" i="2"/>
  <c r="N29" i="2"/>
  <c r="M29" i="2"/>
  <c r="L29" i="2"/>
  <c r="K29" i="2"/>
  <c r="S28" i="2"/>
  <c r="R28" i="2"/>
  <c r="Q28" i="2"/>
  <c r="P28" i="2"/>
  <c r="O28" i="2"/>
  <c r="N28" i="2"/>
  <c r="M28" i="2"/>
  <c r="L28" i="2"/>
  <c r="K28" i="2"/>
  <c r="S27" i="2"/>
  <c r="R27" i="2"/>
  <c r="Q27" i="2"/>
  <c r="P27" i="2"/>
  <c r="O27" i="2"/>
  <c r="N27" i="2"/>
  <c r="M27" i="2"/>
  <c r="L27" i="2"/>
  <c r="K27" i="2"/>
  <c r="S26" i="2"/>
  <c r="R26" i="2"/>
  <c r="Q26" i="2"/>
  <c r="P26" i="2"/>
  <c r="O26" i="2"/>
  <c r="N26" i="2"/>
  <c r="M26" i="2"/>
  <c r="L26" i="2"/>
  <c r="K26" i="2"/>
  <c r="S25" i="2"/>
  <c r="R25" i="2"/>
  <c r="Q25" i="2"/>
  <c r="P25" i="2"/>
  <c r="O25" i="2"/>
  <c r="N25" i="2"/>
  <c r="M25" i="2"/>
  <c r="L25" i="2"/>
  <c r="K25" i="2"/>
  <c r="S24" i="2"/>
  <c r="R24" i="2"/>
  <c r="Q24" i="2"/>
  <c r="P24" i="2"/>
  <c r="O24" i="2"/>
  <c r="N24" i="2"/>
  <c r="M24" i="2"/>
  <c r="L24" i="2"/>
  <c r="K24" i="2"/>
  <c r="S23" i="2"/>
  <c r="R23" i="2"/>
  <c r="Q23" i="2"/>
  <c r="P23" i="2"/>
  <c r="O23" i="2"/>
  <c r="N23" i="2"/>
  <c r="M23" i="2"/>
  <c r="L23" i="2"/>
  <c r="K23" i="2"/>
  <c r="S22" i="2"/>
  <c r="R22" i="2"/>
  <c r="Q22" i="2"/>
  <c r="P22" i="2"/>
  <c r="O22" i="2"/>
  <c r="N22" i="2"/>
  <c r="M22" i="2"/>
  <c r="L22" i="2"/>
  <c r="K22" i="2"/>
  <c r="S21" i="2"/>
  <c r="R21" i="2"/>
  <c r="Q21" i="2"/>
  <c r="P21" i="2"/>
  <c r="O21" i="2"/>
  <c r="N21" i="2"/>
  <c r="M21" i="2"/>
  <c r="L21" i="2"/>
  <c r="K21" i="2"/>
  <c r="S20" i="2"/>
  <c r="R20" i="2"/>
  <c r="Q20" i="2"/>
  <c r="P20" i="2"/>
  <c r="O20" i="2"/>
  <c r="N20" i="2"/>
  <c r="M20" i="2"/>
  <c r="L20" i="2"/>
  <c r="K20" i="2"/>
  <c r="S19" i="2"/>
  <c r="R19" i="2"/>
  <c r="Q19" i="2"/>
  <c r="P19" i="2"/>
  <c r="O19" i="2"/>
  <c r="N19" i="2"/>
  <c r="M19" i="2"/>
  <c r="L19" i="2"/>
  <c r="K19" i="2"/>
  <c r="S18" i="2"/>
  <c r="R18" i="2"/>
  <c r="Q18" i="2"/>
  <c r="P18" i="2"/>
  <c r="O18" i="2"/>
  <c r="N18" i="2"/>
  <c r="M18" i="2"/>
  <c r="L18" i="2"/>
  <c r="K18" i="2"/>
  <c r="S17" i="2"/>
  <c r="R17" i="2"/>
  <c r="Q17" i="2"/>
  <c r="P17" i="2"/>
  <c r="O17" i="2"/>
  <c r="N17" i="2"/>
  <c r="M17" i="2"/>
  <c r="L17" i="2"/>
  <c r="K17" i="2"/>
  <c r="S16" i="2"/>
  <c r="R16" i="2"/>
  <c r="Q16" i="2"/>
  <c r="P16" i="2"/>
  <c r="O16" i="2"/>
  <c r="N16" i="2"/>
  <c r="M16" i="2"/>
  <c r="L16" i="2"/>
  <c r="K16" i="2"/>
  <c r="S15" i="2"/>
  <c r="R15" i="2"/>
  <c r="Q15" i="2"/>
  <c r="P15" i="2"/>
  <c r="O15" i="2"/>
  <c r="N15" i="2"/>
  <c r="M15" i="2"/>
  <c r="L15" i="2"/>
  <c r="K15" i="2"/>
  <c r="S14" i="2"/>
  <c r="R14" i="2"/>
  <c r="Q14" i="2"/>
  <c r="P14" i="2"/>
  <c r="O14" i="2"/>
  <c r="N14" i="2"/>
  <c r="M14" i="2"/>
  <c r="L14" i="2"/>
  <c r="K14" i="2"/>
  <c r="S13" i="2"/>
  <c r="R13" i="2"/>
  <c r="Q13" i="2"/>
  <c r="P13" i="2"/>
  <c r="O13" i="2"/>
  <c r="N13" i="2"/>
  <c r="M13" i="2"/>
  <c r="L13" i="2"/>
  <c r="K13" i="2"/>
  <c r="S12" i="2"/>
  <c r="R12" i="2"/>
  <c r="Q12" i="2"/>
  <c r="P12" i="2"/>
  <c r="O12" i="2"/>
  <c r="N12" i="2"/>
  <c r="M12" i="2"/>
  <c r="L12" i="2"/>
  <c r="K12" i="2"/>
  <c r="S11" i="2"/>
  <c r="R11" i="2"/>
  <c r="Q11" i="2"/>
  <c r="P11" i="2"/>
  <c r="O11" i="2"/>
  <c r="N11" i="2"/>
  <c r="M11" i="2"/>
  <c r="L11" i="2"/>
  <c r="K11" i="2"/>
  <c r="S10" i="2"/>
  <c r="R10" i="2"/>
  <c r="Q10" i="2"/>
  <c r="P10" i="2"/>
  <c r="O10" i="2"/>
  <c r="N10" i="2"/>
  <c r="M10" i="2"/>
  <c r="L10" i="2"/>
  <c r="K10" i="2"/>
  <c r="S9" i="2"/>
  <c r="R9" i="2"/>
  <c r="Q9" i="2"/>
  <c r="P9" i="2"/>
  <c r="O9" i="2"/>
  <c r="N9" i="2"/>
  <c r="M9" i="2"/>
  <c r="L9" i="2"/>
  <c r="K9" i="2"/>
  <c r="S8" i="2"/>
  <c r="R8" i="2"/>
  <c r="Q8" i="2"/>
  <c r="P8" i="2"/>
  <c r="O8" i="2"/>
  <c r="N8" i="2"/>
  <c r="M8" i="2"/>
  <c r="L8" i="2"/>
  <c r="K8" i="2"/>
  <c r="S7" i="2"/>
  <c r="R7" i="2"/>
  <c r="Q7" i="2"/>
  <c r="P7" i="2"/>
  <c r="O7" i="2"/>
  <c r="N7" i="2"/>
  <c r="M7" i="2"/>
  <c r="L7" i="2"/>
  <c r="K7" i="2"/>
  <c r="S6" i="2"/>
  <c r="R6" i="2"/>
  <c r="Q6" i="2"/>
  <c r="P6" i="2"/>
  <c r="O6" i="2"/>
  <c r="N6" i="2"/>
  <c r="M6" i="2"/>
  <c r="L6" i="2"/>
  <c r="K6" i="2"/>
  <c r="S5" i="2"/>
  <c r="R5" i="2"/>
  <c r="Q5" i="2"/>
  <c r="P5" i="2"/>
  <c r="O5" i="2"/>
  <c r="N5" i="2"/>
  <c r="M5" i="2"/>
  <c r="L5" i="2"/>
  <c r="K5" i="2"/>
  <c r="S4" i="2"/>
  <c r="R4" i="2"/>
  <c r="Q4" i="2"/>
  <c r="P4" i="2"/>
  <c r="O4" i="2"/>
  <c r="N4" i="2"/>
  <c r="M4" i="2"/>
  <c r="L4" i="2"/>
  <c r="K4" i="2"/>
  <c r="S3" i="2"/>
  <c r="R3" i="2"/>
  <c r="Q3" i="2"/>
  <c r="P3" i="2"/>
  <c r="O3" i="2"/>
  <c r="N3" i="2"/>
  <c r="M3" i="2"/>
  <c r="L3" i="2"/>
  <c r="K3" i="2"/>
  <c r="S2" i="2"/>
  <c r="R2" i="2"/>
  <c r="Q2" i="2"/>
  <c r="P2" i="2"/>
  <c r="O2" i="2"/>
  <c r="N2" i="2"/>
  <c r="M2" i="2"/>
  <c r="L2" i="2"/>
  <c r="K2" i="2"/>
  <c r="S1" i="2"/>
  <c r="R1" i="2"/>
  <c r="Q1" i="2"/>
  <c r="P1" i="2"/>
  <c r="O1" i="2"/>
  <c r="N1" i="2"/>
  <c r="M1" i="2"/>
  <c r="L1" i="2"/>
  <c r="G115" i="2"/>
  <c r="G112" i="2"/>
  <c r="G117" i="2"/>
  <c r="G114" i="2"/>
  <c r="G111" i="2"/>
  <c r="G116" i="2"/>
  <c r="G113" i="2"/>
  <c r="G29" i="2"/>
  <c r="G110" i="2"/>
  <c r="G4" i="2"/>
  <c r="G3" i="2"/>
  <c r="G10" i="2"/>
  <c r="G68" i="2"/>
  <c r="G36" i="2"/>
  <c r="G26" i="2"/>
  <c r="G43" i="2"/>
  <c r="G99" i="2"/>
  <c r="G59" i="2"/>
  <c r="G23" i="2"/>
  <c r="G14" i="2"/>
  <c r="G52" i="2"/>
  <c r="G24" i="2"/>
  <c r="G84" i="2"/>
  <c r="G48" i="2"/>
  <c r="G60" i="2"/>
  <c r="G55" i="2"/>
  <c r="G76" i="2"/>
  <c r="G8" i="2"/>
  <c r="G21" i="2"/>
  <c r="G41" i="2"/>
  <c r="G19" i="2"/>
  <c r="G75" i="2"/>
  <c r="G108" i="2"/>
  <c r="G69" i="2"/>
  <c r="G31" i="2"/>
  <c r="G51" i="2"/>
  <c r="G38" i="2"/>
  <c r="G66" i="2"/>
  <c r="G47" i="2"/>
  <c r="G57" i="2"/>
  <c r="G73" i="2"/>
  <c r="G71" i="2"/>
  <c r="G78" i="2"/>
  <c r="G95" i="2"/>
  <c r="G53" i="2"/>
  <c r="G62" i="2"/>
  <c r="G72" i="2"/>
  <c r="G74" i="2"/>
  <c r="G107" i="2"/>
  <c r="G93" i="2"/>
  <c r="G79" i="2"/>
  <c r="G45" i="2"/>
  <c r="G22" i="2"/>
  <c r="G67" i="2"/>
  <c r="G30" i="2"/>
  <c r="G85" i="2"/>
  <c r="G16" i="2"/>
  <c r="G25" i="2"/>
  <c r="G98" i="2"/>
  <c r="G97" i="2"/>
  <c r="G81" i="2"/>
  <c r="G9" i="2"/>
  <c r="G94" i="2"/>
  <c r="G42" i="2"/>
  <c r="G96" i="2"/>
  <c r="G82" i="2"/>
  <c r="G77" i="2"/>
  <c r="G90" i="2"/>
  <c r="G102" i="2"/>
  <c r="G88" i="2"/>
  <c r="G100" i="2"/>
  <c r="G63" i="2"/>
  <c r="G27" i="2"/>
  <c r="G80" i="2"/>
  <c r="G32" i="2"/>
  <c r="G13" i="2"/>
  <c r="G86" i="2"/>
  <c r="G28" i="2"/>
  <c r="G92" i="2"/>
  <c r="G64" i="2"/>
  <c r="G89" i="2"/>
  <c r="G33" i="2"/>
  <c r="G7" i="2"/>
  <c r="G46" i="2"/>
  <c r="G39" i="2"/>
  <c r="G56" i="2"/>
  <c r="G70" i="2"/>
  <c r="G109" i="2"/>
  <c r="G58" i="2"/>
  <c r="G54" i="2"/>
  <c r="G6" i="2"/>
  <c r="G104" i="2"/>
  <c r="G65" i="2"/>
  <c r="G12" i="2"/>
  <c r="G5" i="2"/>
  <c r="G20" i="2"/>
  <c r="G50" i="2"/>
  <c r="G11" i="2"/>
  <c r="G101" i="2"/>
  <c r="G15" i="2"/>
  <c r="G105" i="2"/>
  <c r="G37" i="2"/>
  <c r="G35" i="2"/>
  <c r="G61" i="2"/>
  <c r="G91" i="2"/>
  <c r="G17" i="2"/>
  <c r="G106" i="2"/>
  <c r="G2" i="2"/>
  <c r="G49" i="2"/>
  <c r="G34" i="2"/>
  <c r="G87" i="2"/>
  <c r="G83" i="2"/>
  <c r="G44" i="2"/>
  <c r="G40" i="2"/>
  <c r="G103" i="2"/>
  <c r="G18" i="2"/>
  <c r="D83" i="3" l="1" a="1"/>
  <c r="D83" i="3" s="1"/>
  <c r="H70" i="3" a="1"/>
  <c r="H70" i="3" s="1"/>
  <c r="H83" i="3" a="1"/>
  <c r="H83" i="3" s="1"/>
  <c r="H69" i="3" a="1"/>
  <c r="H69" i="3" s="1"/>
  <c r="H77" i="3" a="1"/>
  <c r="H77" i="3" s="1"/>
  <c r="H68" i="3" a="1"/>
  <c r="H68" i="3" s="1"/>
  <c r="F69" i="3"/>
  <c r="D69" i="3" s="1" a="1"/>
  <c r="D69" i="3" s="1"/>
  <c r="F77" i="3"/>
  <c r="D77" i="3" s="1" a="1"/>
  <c r="D77" i="3" s="1"/>
  <c r="F68" i="3"/>
  <c r="D68" i="3" s="1" a="1"/>
  <c r="D68" i="3" s="1"/>
  <c r="F70" i="3"/>
  <c r="D70" i="3" s="1" a="1"/>
  <c r="D70" i="3" s="1"/>
  <c r="I11" i="3"/>
  <c r="I5" i="3"/>
  <c r="I41" i="3"/>
  <c r="I24" i="3"/>
  <c r="I31" i="3"/>
  <c r="I13" i="3"/>
  <c r="I2" i="3"/>
  <c r="I14" i="3"/>
  <c r="I6" i="3"/>
  <c r="I4" i="3"/>
  <c r="I63" i="3"/>
  <c r="I9" i="3"/>
  <c r="I44" i="3"/>
  <c r="F42" i="3"/>
  <c r="F37" i="3"/>
  <c r="F65" i="3"/>
  <c r="F8" i="3"/>
  <c r="F7" i="3"/>
  <c r="F61" i="3"/>
  <c r="F38" i="3"/>
  <c r="F41" i="3"/>
  <c r="F34" i="3"/>
  <c r="F14" i="3"/>
  <c r="F28" i="3"/>
  <c r="F47" i="3"/>
  <c r="F74" i="3"/>
  <c r="F9" i="3"/>
  <c r="F35" i="3"/>
  <c r="F33" i="3"/>
  <c r="F25" i="3"/>
  <c r="F21" i="3"/>
  <c r="F23" i="3"/>
  <c r="F43" i="3"/>
  <c r="F63" i="3"/>
  <c r="F4" i="3"/>
  <c r="F11" i="3"/>
  <c r="F12" i="3"/>
  <c r="F16" i="3"/>
  <c r="F19" i="3"/>
  <c r="F20" i="3"/>
  <c r="F13" i="3"/>
  <c r="F73" i="3"/>
  <c r="F49" i="3"/>
  <c r="F22" i="3"/>
  <c r="H82" i="3" a="1"/>
  <c r="H82" i="3" s="1"/>
  <c r="D74" i="3" a="1"/>
  <c r="D74" i="3" s="1"/>
  <c r="H60" i="3" a="1"/>
  <c r="H60" i="3" s="1"/>
  <c r="H43" i="3" a="1"/>
  <c r="H43" i="3" s="1"/>
  <c r="H38" i="3" a="1"/>
  <c r="H38" i="3" s="1"/>
  <c r="H40" i="3" a="1"/>
  <c r="H40" i="3" s="1"/>
  <c r="H25" i="3" a="1"/>
  <c r="H25" i="3" s="1"/>
  <c r="H16" i="3" a="1"/>
  <c r="H16" i="3" s="1"/>
  <c r="D19" i="3" a="1"/>
  <c r="D19" i="3" s="1"/>
  <c r="D22" i="3" a="1"/>
  <c r="D22" i="3" s="1"/>
  <c r="H9" i="3" a="1"/>
  <c r="H9" i="3" s="1"/>
  <c r="D8" i="3" a="1"/>
  <c r="D8" i="3" s="1"/>
  <c r="H5" i="3" a="1"/>
  <c r="H5" i="3" s="1"/>
  <c r="D4" i="3" a="1"/>
  <c r="D4" i="3" s="1"/>
  <c r="H8" i="3" a="1"/>
  <c r="H8" i="3" s="1"/>
  <c r="H4" i="3" a="1"/>
  <c r="H4" i="3" s="1"/>
  <c r="D81" i="3" a="1"/>
  <c r="D81" i="3" s="1"/>
  <c r="H79" i="3" a="1"/>
  <c r="H79" i="3" s="1"/>
  <c r="H76" i="3" a="1"/>
  <c r="H76" i="3" s="1"/>
  <c r="H66" i="3" a="1"/>
  <c r="H66" i="3" s="1"/>
  <c r="H59" i="3" a="1"/>
  <c r="H59" i="3" s="1"/>
  <c r="D53" i="3" a="1"/>
  <c r="D53" i="3" s="1"/>
  <c r="D52" i="3" a="1"/>
  <c r="D52" i="3" s="1"/>
  <c r="D49" i="3" a="1"/>
  <c r="D49" i="3" s="1"/>
  <c r="H41" i="3" a="1"/>
  <c r="H41" i="3" s="1"/>
  <c r="D33" i="3" a="1"/>
  <c r="D33" i="3" s="1"/>
  <c r="H26" i="3" a="1"/>
  <c r="H26" i="3" s="1"/>
  <c r="H10" i="3" a="1"/>
  <c r="H10" i="3" s="1"/>
  <c r="F6" i="3"/>
  <c r="D35" i="3" a="1"/>
  <c r="D35" i="3" s="1"/>
  <c r="H29" i="3" a="1"/>
  <c r="H29" i="3" s="1"/>
  <c r="H11" i="3" a="1"/>
  <c r="H11" i="3" s="1"/>
  <c r="H13" i="3" a="1"/>
  <c r="H13" i="3" s="1"/>
  <c r="D7" i="3" a="1"/>
  <c r="D7" i="3" s="1"/>
  <c r="H72" i="3" a="1"/>
  <c r="H72" i="3" s="1"/>
  <c r="D73" i="3" a="1"/>
  <c r="D73" i="3" s="1"/>
  <c r="D65" i="3" a="1"/>
  <c r="D65" i="3" s="1"/>
  <c r="H56" i="3" a="1"/>
  <c r="H56" i="3" s="1"/>
  <c r="D55" i="3" a="1"/>
  <c r="D55" i="3" s="1"/>
  <c r="D54" i="3" a="1"/>
  <c r="D54" i="3" s="1"/>
  <c r="D51" i="3" a="1"/>
  <c r="D51" i="3" s="1"/>
  <c r="D50" i="3" a="1"/>
  <c r="D50" i="3" s="1"/>
  <c r="H47" i="3" a="1"/>
  <c r="H47" i="3" s="1"/>
  <c r="H46" i="3" a="1"/>
  <c r="H46" i="3" s="1"/>
  <c r="H42" i="3" a="1"/>
  <c r="H42" i="3" s="1"/>
  <c r="D37" i="3" a="1"/>
  <c r="D37" i="3" s="1"/>
  <c r="H28" i="3" a="1"/>
  <c r="H28" i="3" s="1"/>
  <c r="H24" i="3" a="1"/>
  <c r="H24" i="3" s="1"/>
  <c r="D23" i="3" a="1"/>
  <c r="D23" i="3" s="1"/>
  <c r="H12" i="3" a="1"/>
  <c r="H12" i="3" s="1"/>
  <c r="D82" i="3" a="1"/>
  <c r="D82" i="3" s="1"/>
  <c r="H80" i="3" a="1"/>
  <c r="H80" i="3" s="1"/>
  <c r="D78" i="3" a="1"/>
  <c r="D78" i="3" s="1"/>
  <c r="H67" i="3" a="1"/>
  <c r="H67" i="3" s="1"/>
  <c r="H63" i="3" a="1"/>
  <c r="H63" i="3" s="1"/>
  <c r="H45" i="3" a="1"/>
  <c r="H45" i="3" s="1"/>
  <c r="D34" i="3" a="1"/>
  <c r="D34" i="3" s="1"/>
  <c r="H31" i="3" a="1"/>
  <c r="H31" i="3" s="1"/>
  <c r="D20" i="3" a="1"/>
  <c r="D20" i="3" s="1"/>
  <c r="H22" i="3" a="1"/>
  <c r="H22" i="3" s="1"/>
  <c r="H30" i="3" a="1"/>
  <c r="H30" i="3" s="1"/>
  <c r="D16" i="3" a="1"/>
  <c r="D16" i="3" s="1"/>
  <c r="H19" i="3" a="1"/>
  <c r="H19" i="3" s="1"/>
  <c r="H7" i="3" a="1"/>
  <c r="H7" i="3" s="1"/>
  <c r="D6" i="3" a="1"/>
  <c r="D6" i="3" s="1"/>
  <c r="H3" i="3" a="1"/>
  <c r="H3" i="3" s="1"/>
  <c r="H71" i="3" a="1"/>
  <c r="H71" i="3" s="1"/>
  <c r="H64" i="3" a="1"/>
  <c r="H64" i="3" s="1"/>
  <c r="H61" i="3" a="1"/>
  <c r="H61" i="3" s="1"/>
  <c r="H53" i="3" a="1"/>
  <c r="H53" i="3" s="1"/>
  <c r="H52" i="3" a="1"/>
  <c r="H52" i="3" s="1"/>
  <c r="H49" i="3" a="1"/>
  <c r="H49" i="3" s="1"/>
  <c r="H48" i="3" a="1"/>
  <c r="H48" i="3" s="1"/>
  <c r="H44" i="3" a="1"/>
  <c r="H44" i="3" s="1"/>
  <c r="D38" i="3" a="1"/>
  <c r="D38" i="3" s="1"/>
  <c r="H33" i="3" a="1"/>
  <c r="H33" i="3" s="1"/>
  <c r="H32" i="3" a="1"/>
  <c r="H32" i="3" s="1"/>
  <c r="D14" i="3" a="1"/>
  <c r="D14" i="3" s="1"/>
  <c r="D21" i="3" a="1"/>
  <c r="D21" i="3" s="1"/>
  <c r="H27" i="3" a="1"/>
  <c r="H27" i="3" s="1"/>
  <c r="H18" i="3" a="1"/>
  <c r="H18" i="3" s="1"/>
  <c r="H81" i="3" a="1"/>
  <c r="H81" i="3" s="1"/>
  <c r="D79" i="3" a="1"/>
  <c r="D79" i="3" s="1"/>
  <c r="H74" i="3" a="1"/>
  <c r="H74" i="3" s="1"/>
  <c r="D66" i="3" a="1"/>
  <c r="D66" i="3" s="1"/>
  <c r="H62" i="3" a="1"/>
  <c r="H62" i="3" s="1"/>
  <c r="H55" i="3" a="1"/>
  <c r="H55" i="3" s="1"/>
  <c r="H54" i="3" a="1"/>
  <c r="H54" i="3" s="1"/>
  <c r="H51" i="3" a="1"/>
  <c r="H51" i="3" s="1"/>
  <c r="H50" i="3" a="1"/>
  <c r="H50" i="3" s="1"/>
  <c r="D43" i="3" a="1"/>
  <c r="D43" i="3" s="1"/>
  <c r="H36" i="3" a="1"/>
  <c r="H36" i="3" s="1"/>
  <c r="D25" i="3" a="1"/>
  <c r="D25" i="3" s="1"/>
  <c r="H23" i="3" a="1"/>
  <c r="H23" i="3" s="1"/>
  <c r="H34" i="3" a="1"/>
  <c r="H34" i="3" s="1"/>
  <c r="H35" i="3" a="1"/>
  <c r="H35" i="3" s="1"/>
  <c r="H20" i="3" a="1"/>
  <c r="H20" i="3" s="1"/>
  <c r="H15" i="3" a="1"/>
  <c r="H15" i="3" s="1"/>
  <c r="D11" i="3" a="1"/>
  <c r="D11" i="3" s="1"/>
  <c r="H75" i="3" a="1"/>
  <c r="H75" i="3" s="1"/>
  <c r="D63" i="3" a="1"/>
  <c r="D63" i="3" s="1"/>
  <c r="H58" i="3" a="1"/>
  <c r="H58" i="3" s="1"/>
  <c r="D42" i="3" a="1"/>
  <c r="D42" i="3" s="1"/>
  <c r="D41" i="3" a="1"/>
  <c r="D41" i="3" s="1"/>
  <c r="H37" i="3" a="1"/>
  <c r="H37" i="3" s="1"/>
  <c r="H17" i="3" a="1"/>
  <c r="H17" i="3" s="1"/>
  <c r="D13" i="3" a="1"/>
  <c r="D13" i="3" s="1"/>
  <c r="D9" i="3" a="1"/>
  <c r="D9" i="3" s="1"/>
  <c r="H6" i="3" a="1"/>
  <c r="H6" i="3" s="1"/>
  <c r="D80" i="3" a="1"/>
  <c r="D80" i="3" s="1"/>
  <c r="H78" i="3" a="1"/>
  <c r="H78" i="3" s="1"/>
  <c r="H73" i="3" a="1"/>
  <c r="H73" i="3" s="1"/>
  <c r="D67" i="3" a="1"/>
  <c r="D67" i="3" s="1"/>
  <c r="H65" i="3" a="1"/>
  <c r="H65" i="3" s="1"/>
  <c r="H57" i="3" a="1"/>
  <c r="H57" i="3" s="1"/>
  <c r="D61" i="3" a="1"/>
  <c r="D61" i="3" s="1"/>
  <c r="D47" i="3" a="1"/>
  <c r="D47" i="3" s="1"/>
  <c r="H39" i="3" a="1"/>
  <c r="H39" i="3" s="1"/>
  <c r="D28" i="3" a="1"/>
  <c r="D28" i="3" s="1"/>
  <c r="H21" i="3" a="1"/>
  <c r="H21" i="3" s="1"/>
  <c r="D12" i="3" a="1"/>
  <c r="D12" i="3" s="1"/>
  <c r="H14" i="3" a="1"/>
  <c r="H14" i="3" s="1"/>
  <c r="F18" i="3"/>
  <c r="D18" i="3" s="1" a="1"/>
  <c r="D18" i="3" s="1"/>
  <c r="F36" i="3"/>
  <c r="D36" i="3" s="1" a="1"/>
  <c r="D36" i="3" s="1"/>
  <c r="F62" i="3"/>
  <c r="D62" i="3" s="1" a="1"/>
  <c r="D62" i="3" s="1"/>
  <c r="F29" i="3"/>
  <c r="D29" i="3" s="1" a="1"/>
  <c r="D29" i="3" s="1"/>
  <c r="F75" i="3"/>
  <c r="D75" i="3" s="1" a="1"/>
  <c r="D75" i="3" s="1"/>
  <c r="F57" i="3"/>
  <c r="D57" i="3" s="1" a="1"/>
  <c r="D57" i="3" s="1"/>
  <c r="F17" i="3"/>
  <c r="D17" i="3" s="1" a="1"/>
  <c r="D17" i="3" s="1"/>
  <c r="F64" i="3"/>
  <c r="D64" i="3" s="1" a="1"/>
  <c r="D64" i="3" s="1"/>
  <c r="F26" i="3"/>
  <c r="D26" i="3" s="1" a="1"/>
  <c r="D26" i="3" s="1"/>
  <c r="F71" i="3"/>
  <c r="D71" i="3" s="1" a="1"/>
  <c r="D71" i="3" s="1"/>
  <c r="F5" i="3"/>
  <c r="D5" i="3" s="1" a="1"/>
  <c r="D5" i="3" s="1"/>
  <c r="F31" i="3"/>
  <c r="D31" i="3" s="1" a="1"/>
  <c r="D31" i="3" s="1"/>
  <c r="F30" i="3"/>
  <c r="D30" i="3" s="1" a="1"/>
  <c r="D30" i="3" s="1"/>
  <c r="F10" i="3"/>
  <c r="D10" i="3" s="1" a="1"/>
  <c r="D10" i="3" s="1"/>
  <c r="F76" i="3"/>
  <c r="D76" i="3" s="1" a="1"/>
  <c r="D76" i="3" s="1"/>
  <c r="F48" i="3"/>
  <c r="D48" i="3" s="1" a="1"/>
  <c r="D48" i="3" s="1"/>
  <c r="F59" i="3"/>
  <c r="D59" i="3" s="1" a="1"/>
  <c r="D59" i="3" s="1"/>
  <c r="F72" i="3"/>
  <c r="D72" i="3" s="1" a="1"/>
  <c r="D72" i="3" s="1"/>
  <c r="F24" i="3"/>
  <c r="D24" i="3" s="1" a="1"/>
  <c r="D24" i="3" s="1"/>
  <c r="F3" i="3"/>
  <c r="D3" i="3" s="1" a="1"/>
  <c r="D3" i="3" s="1"/>
  <c r="F45" i="3"/>
  <c r="D45" i="3" s="1" a="1"/>
  <c r="D45" i="3" s="1"/>
  <c r="F27" i="3"/>
  <c r="D27" i="3" s="1" a="1"/>
  <c r="D27" i="3" s="1"/>
  <c r="F39" i="3"/>
  <c r="D39" i="3" s="1" a="1"/>
  <c r="D39" i="3" s="1"/>
  <c r="F58" i="3"/>
  <c r="D58" i="3" s="1" a="1"/>
  <c r="D58" i="3" s="1"/>
  <c r="F46" i="3"/>
  <c r="D46" i="3" s="1" a="1"/>
  <c r="D46" i="3" s="1"/>
  <c r="F60" i="3"/>
  <c r="D60" i="3" s="1" a="1"/>
  <c r="D60" i="3" s="1"/>
  <c r="F32" i="3"/>
  <c r="D32" i="3" s="1" a="1"/>
  <c r="D32" i="3" s="1"/>
  <c r="F15" i="3"/>
  <c r="D15" i="3" s="1" a="1"/>
  <c r="D15" i="3" s="1"/>
  <c r="F56" i="3"/>
  <c r="D56" i="3" s="1" a="1"/>
  <c r="D56" i="3" s="1"/>
  <c r="F40" i="3"/>
  <c r="D40" i="3" s="1" a="1"/>
  <c r="D40" i="3" s="1"/>
  <c r="F44" i="3"/>
  <c r="D44" i="3" s="1" a="1"/>
  <c r="D44" i="3" s="1"/>
  <c r="H2" i="3" a="1"/>
  <c r="H2" i="3" s="1"/>
  <c r="C2" i="7"/>
  <c r="A1" i="6"/>
  <c r="K1" i="2"/>
  <c r="A3" i="1"/>
  <c r="A4" i="1" l="1"/>
  <c r="A3" i="7"/>
  <c r="D3" i="7" l="1"/>
  <c r="C3" i="7"/>
  <c r="A5" i="1"/>
  <c r="A4" i="7"/>
  <c r="F2" i="3"/>
  <c r="D2" i="3" l="1" a="1"/>
  <c r="D2" i="3" s="1"/>
  <c r="C7" i="5"/>
  <c r="D4" i="7"/>
  <c r="C4" i="7"/>
  <c r="A2" i="6"/>
  <c r="A6" i="1"/>
  <c r="A5" i="7"/>
  <c r="C5" i="7" l="1"/>
  <c r="D5" i="7" s="1"/>
  <c r="A7" i="1"/>
  <c r="A6" i="7"/>
  <c r="C6" i="7" l="1"/>
  <c r="D6" i="7" s="1"/>
  <c r="A8" i="1"/>
  <c r="A7" i="7"/>
  <c r="C7" i="7" l="1"/>
  <c r="D7" i="7" s="1"/>
  <c r="A9" i="1"/>
  <c r="A8" i="7"/>
  <c r="C8" i="7" s="1"/>
  <c r="D8" i="7" s="1"/>
  <c r="A10" i="1" l="1"/>
  <c r="A9" i="7"/>
  <c r="C9" i="7" l="1"/>
  <c r="D9" i="7" s="1"/>
  <c r="A11" i="1"/>
  <c r="A10" i="7"/>
  <c r="C10" i="7" l="1"/>
  <c r="D10" i="7" s="1"/>
  <c r="A12" i="1"/>
  <c r="A11" i="7"/>
  <c r="C11" i="7" l="1"/>
  <c r="D11" i="7" s="1"/>
  <c r="A13" i="1"/>
  <c r="A12" i="7"/>
  <c r="C12" i="7" l="1"/>
  <c r="D12" i="7" s="1"/>
  <c r="A14" i="1"/>
  <c r="A13" i="7"/>
  <c r="C13" i="7" l="1"/>
  <c r="D13" i="7" s="1"/>
  <c r="A15" i="1"/>
  <c r="A14" i="7"/>
  <c r="C14" i="7" l="1"/>
  <c r="D14" i="7" s="1"/>
  <c r="A16" i="1"/>
  <c r="A15" i="7"/>
  <c r="C15" i="7" l="1"/>
  <c r="D15" i="7" s="1"/>
  <c r="A17" i="1"/>
  <c r="A16" i="7"/>
  <c r="C16" i="7" l="1"/>
  <c r="D16" i="7" s="1"/>
  <c r="A18" i="1"/>
  <c r="A17" i="7"/>
  <c r="C17" i="7" l="1"/>
  <c r="D17" i="7" s="1"/>
  <c r="A19" i="1"/>
  <c r="A18" i="7"/>
  <c r="C18" i="7" l="1"/>
  <c r="D18" i="7" s="1"/>
  <c r="A20" i="1"/>
  <c r="A19" i="7"/>
  <c r="C19" i="7" l="1"/>
  <c r="D19" i="7" s="1"/>
  <c r="A21" i="1"/>
  <c r="A20" i="7"/>
  <c r="C20" i="7" l="1"/>
  <c r="D20" i="7" s="1"/>
  <c r="A22" i="1"/>
  <c r="A21" i="7"/>
  <c r="C21" i="7" l="1"/>
  <c r="D21" i="7" s="1"/>
  <c r="A23" i="1"/>
  <c r="A22" i="7"/>
  <c r="C22" i="7" l="1"/>
  <c r="D22" i="7" s="1"/>
  <c r="A24" i="1"/>
  <c r="A23" i="7"/>
  <c r="C23" i="7" l="1"/>
  <c r="D23" i="7" s="1"/>
  <c r="A25" i="1"/>
  <c r="A24" i="7"/>
  <c r="C24" i="7" l="1"/>
  <c r="D24" i="7" s="1"/>
  <c r="A26" i="1"/>
  <c r="A25" i="7"/>
  <c r="C25" i="7" l="1"/>
  <c r="D25" i="7" s="1"/>
  <c r="A27" i="1"/>
  <c r="A26" i="7"/>
  <c r="C26" i="7" l="1"/>
  <c r="D26" i="7" s="1"/>
  <c r="A28" i="1"/>
  <c r="A27" i="7"/>
  <c r="C27" i="7" l="1"/>
  <c r="D27" i="7" s="1"/>
  <c r="A29" i="1"/>
  <c r="A28" i="7"/>
  <c r="C28" i="7" l="1"/>
  <c r="D28" i="7" s="1"/>
  <c r="A30" i="1"/>
  <c r="A29" i="7"/>
  <c r="C29" i="7" l="1"/>
  <c r="D29" i="7" s="1"/>
  <c r="A31" i="1"/>
  <c r="A30" i="7"/>
  <c r="C30" i="7" l="1"/>
  <c r="D30" i="7" s="1"/>
  <c r="A32" i="1"/>
  <c r="A31" i="7"/>
  <c r="C31" i="7" l="1"/>
  <c r="D31" i="7" s="1"/>
  <c r="A33" i="1"/>
  <c r="A32" i="7"/>
  <c r="C32" i="7" l="1"/>
  <c r="D32" i="7" s="1"/>
  <c r="A34" i="1"/>
  <c r="A33" i="7"/>
  <c r="C33" i="7" l="1"/>
  <c r="D33" i="7" s="1"/>
  <c r="A35" i="1"/>
  <c r="A34" i="7"/>
  <c r="C34" i="7" l="1"/>
  <c r="D34" i="7" s="1"/>
  <c r="A36" i="1"/>
  <c r="A35" i="7"/>
  <c r="C35" i="7" l="1"/>
  <c r="D35" i="7" s="1"/>
  <c r="A37" i="1"/>
  <c r="A36" i="7"/>
  <c r="C36" i="7" l="1"/>
  <c r="D36" i="7" s="1"/>
  <c r="A38" i="1"/>
  <c r="A37" i="7"/>
  <c r="C37" i="7" l="1"/>
  <c r="D37" i="7" s="1"/>
  <c r="A39" i="1"/>
  <c r="A38" i="7"/>
  <c r="C38" i="7" l="1"/>
  <c r="D38" i="7" s="1"/>
  <c r="A40" i="1"/>
  <c r="A39" i="7"/>
  <c r="C39" i="7" l="1"/>
  <c r="D39" i="7" s="1"/>
  <c r="A41" i="1"/>
  <c r="A40" i="7"/>
  <c r="C40" i="7" l="1"/>
  <c r="D40" i="7" s="1"/>
  <c r="A42" i="1"/>
  <c r="A41" i="7"/>
  <c r="C41" i="7" l="1"/>
  <c r="D41" i="7" s="1"/>
  <c r="A43" i="1"/>
  <c r="A42" i="7"/>
  <c r="C42" i="7" l="1"/>
  <c r="D42" i="7" s="1"/>
  <c r="A44" i="1"/>
  <c r="A43" i="7"/>
  <c r="C43" i="7" l="1"/>
  <c r="D43" i="7" s="1"/>
  <c r="A45" i="1"/>
  <c r="A44" i="7"/>
  <c r="C44" i="7" l="1"/>
  <c r="D44" i="7" s="1"/>
  <c r="A46" i="1"/>
  <c r="A45" i="7"/>
  <c r="C45" i="7" l="1"/>
  <c r="D45" i="7" s="1"/>
  <c r="A47" i="1"/>
  <c r="A46" i="7"/>
  <c r="C46" i="7" l="1"/>
  <c r="D46" i="7" s="1"/>
  <c r="A48" i="1"/>
  <c r="A47" i="7"/>
  <c r="C47" i="7" l="1"/>
  <c r="D47" i="7" s="1"/>
  <c r="A49" i="1"/>
  <c r="A48" i="7"/>
  <c r="C48" i="7" l="1"/>
  <c r="D48" i="7" s="1"/>
  <c r="A50" i="1"/>
  <c r="A49" i="7"/>
  <c r="C49" i="7" l="1"/>
  <c r="D49" i="7" s="1"/>
  <c r="A51" i="1"/>
  <c r="A51" i="7" s="1"/>
  <c r="A50" i="7"/>
  <c r="C50" i="7" l="1"/>
  <c r="D50" i="7" s="1"/>
  <c r="C51" i="7"/>
  <c r="D51" i="7" s="1"/>
  <c r="C2" i="3" l="1" a="1"/>
  <c r="C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tc={B5B21C98-5BCD-4725-A3A9-259A8102E35A}</author>
    <author>tc={ED16F660-A4ED-4E43-830F-3DA46108A534}</author>
    <author>tc={74339D18-5F4B-479A-B7DF-FA9118CC8F83}</author>
  </authors>
  <commentList>
    <comment ref="A1" authorId="0" shapeId="0" xr:uid="{B5B21C98-5BCD-4725-A3A9-259A8102E35A}">
      <text>
        <t>[Threaded comment]
Your version of Excel allows you to read this threaded comment; however, any edits to it will get removed if the file is opened in a newer version of Excel. Learn more: https://go.microsoft.com/fwlink/?linkid=870924
Comment:
    A song is defined by name for now, should be name plus artists eventually assuming all versions of a song named exactly the same with exactly the same artists count as the same for the Billboard</t>
      </text>
    </comment>
    <comment ref="E1" authorId="1" shapeId="0" xr:uid="{ED16F660-A4ED-4E43-830F-3DA46108A534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disambiguation between same-named songs</t>
      </text>
    </comment>
    <comment ref="A117" authorId="2" shapeId="0" xr:uid="{74339D18-5F4B-479A-B7DF-FA9118CC8F83}">
      <text>
        <t>[Threaded comment]
Your version of Excel allows you to read this threaded comment; however, any edits to it will get removed if the file is opened in a newer version of Excel. Learn more: https://go.microsoft.com/fwlink/?linkid=870924
Comment:
    (2024) is my addition to differentiate from Toby Keith version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tc={C5AFF4B1-CA15-43E7-8E21-82D997A5DC10}</author>
    <author>tc={22BABF1F-8FCB-4152-B25B-D8807486F95E}</author>
    <author>tc={4059C269-0C9F-4CAA-921B-16EF0FC8F978}</author>
  </authors>
  <commentList>
    <comment ref="A1" authorId="0" shapeId="0" xr:uid="{C5AFF4B1-CA15-43E7-8E21-82D997A5DC10}">
      <text>
        <t>[Threaded comment]
Your version of Excel allows you to read this threaded comment; however, any edits to it will get removed if the file is opened in a newer version of Excel. Learn more: https://go.microsoft.com/fwlink/?linkid=870924
Comment:
    Artist name is working for now to define an artist, but if there is ever a duplicate, will need to switch to Artist ID or dates active or something</t>
      </text>
    </comment>
    <comment ref="G1" authorId="1" shapeId="0" xr:uid="{22BABF1F-8FCB-4152-B25B-D8807486F95E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Needs to switch to list parsing once there is a song featuring multiple artists</t>
      </text>
    </comment>
    <comment ref="J74" authorId="2" shapeId="0" xr:uid="{4059C269-0C9F-4CAA-921B-16EF0FC8F978}">
      <text>
        <t>[Threaded comment]
Your version of Excel allows you to read this threaded comment; however, any edits to it will get removed if the file is opened in a newer version of Excel. Learn more: https://go.microsoft.com/fwlink/?linkid=870924
Comment:
    As of 2022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<sst xmlns="http://schemas.openxmlformats.org/spreadsheetml/2006/main" count="1238" uniqueCount="261">
  <si>
    <t>I Remember Everything</t>
  </si>
  <si>
    <t>Texas Hold 'Em</t>
  </si>
  <si>
    <t>Last Night</t>
  </si>
  <si>
    <t>Fast Car</t>
  </si>
  <si>
    <t>Thinkin' Bout Me</t>
  </si>
  <si>
    <t>White Horse</t>
  </si>
  <si>
    <t>Spin You Around (1/24)</t>
  </si>
  <si>
    <t>Pretty Little Poison</t>
  </si>
  <si>
    <t>World On Fire</t>
  </si>
  <si>
    <t>Where The Wild Things Are</t>
  </si>
  <si>
    <t>Need A Favor</t>
  </si>
  <si>
    <t>The Painter</t>
  </si>
  <si>
    <t>Save Me</t>
  </si>
  <si>
    <t>Wild Ones</t>
  </si>
  <si>
    <t>16 Carriages</t>
  </si>
  <si>
    <t>WIld Ones</t>
  </si>
  <si>
    <t>Truck Bed</t>
  </si>
  <si>
    <t>Should've Been A Cowboy</t>
  </si>
  <si>
    <t>No Caller ID</t>
  </si>
  <si>
    <t>Burn It Down</t>
  </si>
  <si>
    <t>Man Made A Bar</t>
  </si>
  <si>
    <t>Different 'Round Here</t>
  </si>
  <si>
    <t>Courtesy Of The Red, White And Blue</t>
  </si>
  <si>
    <t>Hey Driver</t>
  </si>
  <si>
    <t>I Can Feel It</t>
  </si>
  <si>
    <t>23</t>
  </si>
  <si>
    <t>Save Me The Trouble</t>
  </si>
  <si>
    <t>We Don't Fight Anymore</t>
  </si>
  <si>
    <t>As Good As I Once Was</t>
  </si>
  <si>
    <t>Mamaw's House</t>
  </si>
  <si>
    <t>Wondering Why</t>
  </si>
  <si>
    <t>Coal</t>
  </si>
  <si>
    <t>Don't Let The Old Man In</t>
  </si>
  <si>
    <t>Rich Men North Of Richmond</t>
  </si>
  <si>
    <t>Creek Will Rise</t>
  </si>
  <si>
    <t>How Do You Like Me Now?!</t>
  </si>
  <si>
    <t>Wildflowers And Wild Horses</t>
  </si>
  <si>
    <t>Mind On You</t>
  </si>
  <si>
    <t>All I Need Is You</t>
  </si>
  <si>
    <t>Deeper Well</t>
  </si>
  <si>
    <t>In Your Love</t>
  </si>
  <si>
    <t>We Ride</t>
  </si>
  <si>
    <t>Back Then Right Now</t>
  </si>
  <si>
    <t>Bulletproof</t>
  </si>
  <si>
    <t>Tucson Too Late</t>
  </si>
  <si>
    <t>Dirt Cheap</t>
  </si>
  <si>
    <t>I'm Not Pretty</t>
  </si>
  <si>
    <t>Sarah's Place</t>
  </si>
  <si>
    <t>Fearless (The Echo)</t>
  </si>
  <si>
    <t>Glory Days</t>
  </si>
  <si>
    <t>Halfway To Hell</t>
  </si>
  <si>
    <t>Please Don't Go</t>
  </si>
  <si>
    <t>Outskirts</t>
  </si>
  <si>
    <t>I Think I'm In Love With You</t>
  </si>
  <si>
    <t>This Heart</t>
  </si>
  <si>
    <t>Your Place</t>
  </si>
  <si>
    <t>Three Little Birds</t>
  </si>
  <si>
    <t>Boys Back Home</t>
  </si>
  <si>
    <t>This Town's Been Too Good To Us</t>
  </si>
  <si>
    <t>Purple Irises</t>
  </si>
  <si>
    <t>El Dorado</t>
  </si>
  <si>
    <t>Heartbreaker</t>
  </si>
  <si>
    <t>Cab In A Solo</t>
  </si>
  <si>
    <t>Love You Again</t>
  </si>
  <si>
    <t>Strangers</t>
  </si>
  <si>
    <t>Can't Break Up Now</t>
  </si>
  <si>
    <t>Let Your Boys Be Country</t>
  </si>
  <si>
    <t>Something's Gonna Kill Me</t>
  </si>
  <si>
    <t>Out Of That Truck</t>
  </si>
  <si>
    <t>Song name</t>
  </si>
  <si>
    <t>Weeks on chart 1/27/24</t>
  </si>
  <si>
    <t>Lead Main Artist</t>
  </si>
  <si>
    <t>Other Main Artists</t>
  </si>
  <si>
    <t>Featured Artists</t>
  </si>
  <si>
    <t>Zach Bryan</t>
  </si>
  <si>
    <t>Kacey Musgraves</t>
  </si>
  <si>
    <t>Morgan Wallen</t>
  </si>
  <si>
    <t>Luke Combs</t>
  </si>
  <si>
    <t>Chris Stapleton</t>
  </si>
  <si>
    <t>Nate Smith</t>
  </si>
  <si>
    <t>Jelly Roll</t>
  </si>
  <si>
    <t>Warren Zeiders</t>
  </si>
  <si>
    <t>Jessie Murph</t>
  </si>
  <si>
    <t>HARDY</t>
  </si>
  <si>
    <t>Cody Johnson</t>
  </si>
  <si>
    <t>Parker McCollum</t>
  </si>
  <si>
    <t>Riley Green</t>
  </si>
  <si>
    <t>Eric Church</t>
  </si>
  <si>
    <t>The War And The Treaty</t>
  </si>
  <si>
    <t>Kane Brown</t>
  </si>
  <si>
    <t>Dan + Shay</t>
  </si>
  <si>
    <t>Chayce Beckham</t>
  </si>
  <si>
    <t>Carly Pearce</t>
  </si>
  <si>
    <t>The Red Clay Strays</t>
  </si>
  <si>
    <t>Oliver Anthony Music</t>
  </si>
  <si>
    <t>Thomas Rhett</t>
  </si>
  <si>
    <t>Dylan Gossett</t>
  </si>
  <si>
    <t>George Birge</t>
  </si>
  <si>
    <t>Lainey Wilson</t>
  </si>
  <si>
    <t>Chris Janson</t>
  </si>
  <si>
    <t>Tyler Childers</t>
  </si>
  <si>
    <t>Bryan Martin</t>
  </si>
  <si>
    <t>Conner Smith</t>
  </si>
  <si>
    <t>Jordan Davis</t>
  </si>
  <si>
    <t>Megan Moroney</t>
  </si>
  <si>
    <t>Jackson Dean</t>
  </si>
  <si>
    <t>Noah Kahan</t>
  </si>
  <si>
    <t>Gabby Barrett</t>
  </si>
  <si>
    <t>Sam Hunt</t>
  </si>
  <si>
    <t>Wyatt Flores</t>
  </si>
  <si>
    <t>Dylan Marlowe</t>
  </si>
  <si>
    <t>Tyler Hubbard</t>
  </si>
  <si>
    <t>Ashley Cooke</t>
  </si>
  <si>
    <t>Dylan Scott</t>
  </si>
  <si>
    <t>Chase Matthew</t>
  </si>
  <si>
    <t>Scotty McCreery</t>
  </si>
  <si>
    <t>Corey Kent</t>
  </si>
  <si>
    <t>Jason Aldean</t>
  </si>
  <si>
    <t>Old Dominion</t>
  </si>
  <si>
    <t>Carrie Underwood</t>
  </si>
  <si>
    <t>Kameron Marlowe</t>
  </si>
  <si>
    <t>Beyonce</t>
  </si>
  <si>
    <t>Gwen Stefani</t>
  </si>
  <si>
    <t>Rank start</t>
  </si>
  <si>
    <t>Rank end</t>
  </si>
  <si>
    <t>Weeks on chart</t>
  </si>
  <si>
    <t>"Descending songs are removed from Hot Country Songs after..."</t>
  </si>
  <si>
    <t>Weeks on chart is the final eligible week</t>
  </si>
  <si>
    <t>Take Her Home</t>
  </si>
  <si>
    <t>Chevrolet</t>
  </si>
  <si>
    <t>Kenny Chesney</t>
  </si>
  <si>
    <t>Dustin Lynch</t>
  </si>
  <si>
    <t>Sparklines for each song, even better with variable length</t>
  </si>
  <si>
    <t>Song eligibility category (ex. Rising only below rank 20)</t>
  </si>
  <si>
    <t>Artist peak position</t>
  </si>
  <si>
    <t>Artist median charted song weeks on chart (consider not punishing for new songs)</t>
  </si>
  <si>
    <t>Holy Smokes</t>
  </si>
  <si>
    <t>Wine Into Whiskey</t>
  </si>
  <si>
    <t>Ranks can be lost without being considered removed as "descending".  This is true with or without an star icon for "awards"</t>
  </si>
  <si>
    <t>Maybe descending is whether rank or airtime was lost in the previous week (or previous number of weeks)?</t>
  </si>
  <si>
    <t>American Girl</t>
  </si>
  <si>
    <t>See World On Fire and maybe others: descending in rank is insufficient and perhaps not considered</t>
  </si>
  <si>
    <t>Bailey Zimmerman</t>
  </si>
  <si>
    <t>Tucker Wetmore</t>
  </si>
  <si>
    <t>Dierks Bentley</t>
  </si>
  <si>
    <t>Austin</t>
  </si>
  <si>
    <t>Messed Up As Me</t>
  </si>
  <si>
    <t>Too Good To Be True</t>
  </si>
  <si>
    <t>The One (Pero No Como Yo)</t>
  </si>
  <si>
    <t>Dasha</t>
  </si>
  <si>
    <t>Keith Urban</t>
  </si>
  <si>
    <t>Carin Leon</t>
  </si>
  <si>
    <t>See Hey Driver for example of exceeding weeks on chart (twice) while rising in rankings</t>
  </si>
  <si>
    <t>Damn Near Normal</t>
  </si>
  <si>
    <t>Smoke &amp; A Light</t>
  </si>
  <si>
    <t>Nine Ball</t>
  </si>
  <si>
    <t>Koe Wetzel</t>
  </si>
  <si>
    <t>Ole 60</t>
  </si>
  <si>
    <t>Weeks on Chart</t>
  </si>
  <si>
    <t>Artist ID</t>
  </si>
  <si>
    <t>Artist Name</t>
  </si>
  <si>
    <t># Main Artist</t>
  </si>
  <si>
    <t># Lead Artist</t>
  </si>
  <si>
    <t># Featured Artist</t>
  </si>
  <si>
    <t>Toby Keith</t>
  </si>
  <si>
    <t>Total weeks as Lead Artist</t>
  </si>
  <si>
    <t>Total Weeks as a Main Artist</t>
  </si>
  <si>
    <t>Ella Langley</t>
  </si>
  <si>
    <t>Blake Shelton</t>
  </si>
  <si>
    <t>Rank</t>
  </si>
  <si>
    <t>Song</t>
  </si>
  <si>
    <t>Weeks remaining at this rank (if not "rising")</t>
  </si>
  <si>
    <t>Trend</t>
  </si>
  <si>
    <t>Weeks of data</t>
  </si>
  <si>
    <t>Number of ranks</t>
  </si>
  <si>
    <t>Green if all lead artists in data sheet are covered in artists sheet</t>
  </si>
  <si>
    <t>Green if all songs in the data sheet are covered in the songs sheet</t>
  </si>
  <si>
    <t>Cardinal</t>
  </si>
  <si>
    <t>The Architect</t>
  </si>
  <si>
    <t>Tie Up</t>
  </si>
  <si>
    <t>28th Of June</t>
  </si>
  <si>
    <t>Young Love &amp; Saturday Nights</t>
  </si>
  <si>
    <t>Chris Young</t>
  </si>
  <si>
    <t>Zac Brown Band</t>
  </si>
  <si>
    <t>II Most Wanted</t>
  </si>
  <si>
    <t>Jolene</t>
  </si>
  <si>
    <t>Levii's Jeans</t>
  </si>
  <si>
    <t>Blackbiird</t>
  </si>
  <si>
    <t>Ameriican Requiem</t>
  </si>
  <si>
    <t>Daughter</t>
  </si>
  <si>
    <t>Protector</t>
  </si>
  <si>
    <t>Tyrant</t>
  </si>
  <si>
    <t>Riiverdance</t>
  </si>
  <si>
    <t>Alliigator Tears</t>
  </si>
  <si>
    <t>Chart Entry Date</t>
  </si>
  <si>
    <t>My Rose</t>
  </si>
  <si>
    <t>Just For Fun</t>
  </si>
  <si>
    <t>Oh Louisiana</t>
  </si>
  <si>
    <t>Amen</t>
  </si>
  <si>
    <t>Wind Up Missin' You</t>
  </si>
  <si>
    <t>What He'll Never Have</t>
  </si>
  <si>
    <t>[With : Lainey Wilson]</t>
  </si>
  <si>
    <t>[&amp; : Jelly Roll]</t>
  </si>
  <si>
    <t>[&amp; : Dylan Scott]</t>
  </si>
  <si>
    <t>[&amp; : Megan Moroney]</t>
  </si>
  <si>
    <t>[&amp; : Ella Langley]</t>
  </si>
  <si>
    <t>[&amp; : Blake Shelton]</t>
  </si>
  <si>
    <t>[+ : Kane Brown]</t>
  </si>
  <si>
    <t>[&amp; : Miley Cyrus]</t>
  </si>
  <si>
    <t>[&amp; : Post Malone]</t>
  </si>
  <si>
    <t>[&amp; : Tanner Adell, &amp; : Brittney Spencer, &amp; : Tiera Kennedy, &amp; : Reyna Roberts]</t>
  </si>
  <si>
    <t>[&amp; : Rumi Carter]</t>
  </si>
  <si>
    <t>[&amp; : Dolly Parton]</t>
  </si>
  <si>
    <t>[&amp; : Willie Jones]</t>
  </si>
  <si>
    <t>&lt;-- get sparklines dynamically with MATCH</t>
  </si>
  <si>
    <t>Where It Ends</t>
  </si>
  <si>
    <t>Cowgirls</t>
  </si>
  <si>
    <t>Love You, Miss You, Mean It</t>
  </si>
  <si>
    <t>Artist heat L12W, L52W</t>
  </si>
  <si>
    <t>ERNEST</t>
  </si>
  <si>
    <t>Luke Bryan</t>
  </si>
  <si>
    <t>Miley Cyrus</t>
  </si>
  <si>
    <t>Post Malone</t>
  </si>
  <si>
    <t>Tanner Adell</t>
  </si>
  <si>
    <t>Brittney Spencer</t>
  </si>
  <si>
    <t>Tiera Kennedy</t>
  </si>
  <si>
    <t>Reyna Roberts</t>
  </si>
  <si>
    <t>Rumi Carter</t>
  </si>
  <si>
    <t>Dolly Parton</t>
  </si>
  <si>
    <t>Willie Jones</t>
  </si>
  <si>
    <t>A Bar Song (Tipsy)</t>
  </si>
  <si>
    <t>Worst Way</t>
  </si>
  <si>
    <t>Devil You Know</t>
  </si>
  <si>
    <t>Hangin' On</t>
  </si>
  <si>
    <t>Shaboozey</t>
  </si>
  <si>
    <t>Tyler Braden</t>
  </si>
  <si>
    <t>[&amp; : Morgan Wallen]</t>
  </si>
  <si>
    <t>Weekly biggest risers</t>
  </si>
  <si>
    <t>I'm Gonna Miss Her</t>
  </si>
  <si>
    <t>//TODO color scale across all similar weeks 1-to-max, zero hidden</t>
  </si>
  <si>
    <t>Absolute Trend</t>
  </si>
  <si>
    <t>Relative Trend</t>
  </si>
  <si>
    <t>Max Position</t>
  </si>
  <si>
    <t>Peak Position as Lead Artist</t>
  </si>
  <si>
    <t>Miles On It</t>
  </si>
  <si>
    <t>Indifferent</t>
  </si>
  <si>
    <t>Wranglers</t>
  </si>
  <si>
    <t>Where That Came From</t>
  </si>
  <si>
    <t>I Had Some Help</t>
  </si>
  <si>
    <t>Life With You</t>
  </si>
  <si>
    <t>Should've Been A Cowboy (2024)</t>
  </si>
  <si>
    <t>Marshmello</t>
  </si>
  <si>
    <t>[&amp; : Kane Brown]</t>
  </si>
  <si>
    <t>Miranda Lambert</t>
  </si>
  <si>
    <t>Randy Travis</t>
  </si>
  <si>
    <t>Kelsey Hart</t>
  </si>
  <si>
    <t>T-Pain</t>
  </si>
  <si>
    <t>% female by week</t>
  </si>
  <si>
    <t>% Female</t>
  </si>
  <si>
    <t>&lt;-- Overall</t>
  </si>
  <si>
    <t>Total weeks as Featured Artist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</si>
</sst>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0" tint="-0.14999847407452621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0" fontId="1" fillId="0" borderId="0" xfId="0" quotePrefix="1" applyFont="1"/>
    <xf numFmtId="14" fontId="0" fillId="0" borderId="0" xfId="0" applyNumberFormat="1"/>
    <xf numFmtId="0" fontId="3" fillId="0" borderId="0" xfId="0" applyFont="1"/>
    <xf numFmtId="0" fontId="3" fillId="0" borderId="0" xfId="0" quotePrefix="1" applyFont="1"/>
    <xf numFmtId="0" fontId="4" fillId="0" borderId="0" xfId="0" applyFont="1"/>
    <xf numFmtId="14" fontId="2" fillId="0" borderId="0" xfId="0" applyNumberFormat="1" applyFont="1"/>
    <xf numFmtId="0" fontId="5" fillId="0" borderId="0" xfId="0" applyFont="1"/>
    <xf numFmtId="0" fontId="6" fillId="0" borderId="0" xfId="0" applyFont="1"/>
    <xf numFmtId="14" fontId="6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ill>
        <patternFill>
          <bgColor theme="2"/>
        </patternFill>
      </fill>
    </dxf>
    <dxf>
      <font>
        <color theme="0"/>
      </font>
    </dxf>
    <dxf>
      <font>
        <b/>
        <i val="0"/>
      </font>
    </dxf>
    <dxf>
      <font>
        <b val="0"/>
        <i/>
        <color rgb="FFFF0000"/>
      </font>
      <fill>
        <patternFill patternType="none"/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 MO" id="{9C2BE807-745A-4FB9-BC41-6FB4BD8152CD}" userId="ed933e75b407492c" providerId="Windows Live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03-23T23:56:56.62" personId="{9C2BE807-745A-4FB9-BC41-6FB4BD8152CD}" id="{B5B21C98-5BCD-4725-A3A9-259A8102E35A}">
    <text>A song is defined by name for now, should be name plus artists eventually assuming all versions of a song named exactly the same with exactly the same artists count as the same for the Billboard</text>
  </threadedComment>
  <threadedComment ref="E1" dT="2024-04-10T00:40:30.55" personId="{9C2BE807-745A-4FB9-BC41-6FB4BD8152CD}" id="{ED16F660-A4ED-4E43-830F-3DA46108A534}">
    <text>For disambiguation between same-named songs</text>
  </threadedComment>
  <threadedComment ref="A117" dT="2024-05-16T02:56:46.15" personId="{9C2BE807-745A-4FB9-BC41-6FB4BD8152CD}" id="{74339D18-5F4B-479A-B7DF-FA9118CC8F83}">
    <text>(2024) is my addition to differentiate from Toby Keith version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4-03-23T23:58:02.18" personId="{9C2BE807-745A-4FB9-BC41-6FB4BD8152CD}" id="{C5AFF4B1-CA15-43E7-8E21-82D997A5DC10}">
    <text>Artist name is working for now to define an artist, but if there is ever a duplicate, will need to switch to Artist ID or dates active or something</text>
  </threadedComment>
  <threadedComment ref="G1" dT="2024-03-23T23:38:20.24" personId="{9C2BE807-745A-4FB9-BC41-6FB4BD8152CD}" id="{22BABF1F-8FCB-4152-B25B-D8807486F95E}">
    <text>Needs to switch to list parsing once there is a song featuring multiple artists</text>
  </threadedComment>
  <threadedComment ref="J74" dT="2024-05-16T03:12:50.86" personId="{9C2BE807-745A-4FB9-BC41-6FB4BD8152CD}" id="{4059C269-0C9F-4CAA-921B-16EF0FC8F978}">
    <text>As of 2022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R51"/>
  <sheetViews>
    <sheetView workbookViewId="0">
      <pane xSplit="1" ySplit="1" topLeftCell="P28" activePane="bottomRight" state="frozen"/>
      <selection pane="topRight" activeCell="B1" sqref="B1"/>
      <selection pane="bottomLeft" activeCell="A2" sqref="A2"/>
      <selection pane="bottomRight" activeCell="R41" sqref="R41"/>
    </sheetView>
  </sheetViews>
  <sheetFormatPr defaultColWidth="12.6640625" defaultRowHeight="15.75" customHeight="1" x14ac:dyDescent="0.25"/>
  <cols>
    <col min="2" max="3" width="25.77734375" customWidth="1"/>
    <col min="4" max="4" width="25.44140625" customWidth="1"/>
    <col min="5" max="5" width="28.6640625" customWidth="1"/>
    <col min="6" max="6" width="32.44140625" bestFit="1" customWidth="1"/>
    <col min="7" max="10" width="29.21875" bestFit="1" customWidth="1"/>
    <col min="11" max="11" width="29.21875" customWidth="1"/>
    <col min="12" max="13" width="29.21875" bestFit="1" customWidth="1"/>
    <col min="14" max="14" width="28.33203125" bestFit="1" customWidth="1"/>
    <col min="15" max="16" width="26.21875" bestFit="1" customWidth="1"/>
    <col min="17" max="17" width="31.88671875" bestFit="1" customWidth="1"/>
    <col min="18" max="18" width="30.44140625" bestFit="1" customWidth="1"/>
  </cols>
  <sheetData>
    <row r="1" spans="1:18" x14ac:dyDescent="0.25">
      <c r="B1" s="1">
        <v>45318</v>
      </c>
      <c r="C1" s="1">
        <v>45325</v>
      </c>
      <c r="D1" s="1">
        <v>45332</v>
      </c>
      <c r="E1" s="1">
        <v>45339</v>
      </c>
      <c r="F1" s="1">
        <v>45343</v>
      </c>
      <c r="G1" s="5">
        <v>45349</v>
      </c>
      <c r="H1" s="5">
        <v>45356</v>
      </c>
      <c r="I1" s="5">
        <v>45364</v>
      </c>
      <c r="J1" s="5">
        <v>45370</v>
      </c>
      <c r="K1" s="5">
        <v>45377</v>
      </c>
      <c r="L1" s="5">
        <v>45384</v>
      </c>
      <c r="M1" s="5">
        <v>45391</v>
      </c>
      <c r="N1" s="5">
        <v>45398</v>
      </c>
      <c r="O1" s="5">
        <v>45408</v>
      </c>
      <c r="P1" s="5">
        <v>45412</v>
      </c>
      <c r="Q1" s="5">
        <v>45420</v>
      </c>
      <c r="R1" s="5">
        <v>45427</v>
      </c>
    </row>
    <row r="2" spans="1:18" x14ac:dyDescent="0.25">
      <c r="A2" s="2">
        <v>1</v>
      </c>
      <c r="B2" s="2" t="s">
        <v>0</v>
      </c>
      <c r="C2" s="2" t="s">
        <v>0</v>
      </c>
      <c r="D2" s="2" t="s">
        <v>0</v>
      </c>
      <c r="E2" s="2" t="s">
        <v>0</v>
      </c>
      <c r="F2" s="2" t="s">
        <v>1</v>
      </c>
      <c r="G2" s="6" t="s">
        <v>1</v>
      </c>
      <c r="H2" s="2" t="s">
        <v>1</v>
      </c>
      <c r="I2" s="2" t="s">
        <v>1</v>
      </c>
      <c r="J2" s="2" t="s">
        <v>1</v>
      </c>
      <c r="K2" s="2" t="s">
        <v>1</v>
      </c>
      <c r="L2" s="2" t="s">
        <v>1</v>
      </c>
      <c r="M2" s="2" t="s">
        <v>1</v>
      </c>
      <c r="N2" s="2" t="s">
        <v>1</v>
      </c>
      <c r="O2" s="2" t="s">
        <v>1</v>
      </c>
      <c r="P2" s="2" t="s">
        <v>230</v>
      </c>
      <c r="Q2" s="2" t="s">
        <v>230</v>
      </c>
      <c r="R2" s="2" t="s">
        <v>230</v>
      </c>
    </row>
    <row r="3" spans="1:18" x14ac:dyDescent="0.25">
      <c r="A3" s="2">
        <f t="shared" ref="A3:A51" si="0">A2+1</f>
        <v>2</v>
      </c>
      <c r="B3" s="2" t="s">
        <v>2</v>
      </c>
      <c r="C3" s="2" t="s">
        <v>2</v>
      </c>
      <c r="D3" s="2" t="s">
        <v>2</v>
      </c>
      <c r="E3" s="2" t="s">
        <v>3</v>
      </c>
      <c r="F3" s="2" t="s">
        <v>0</v>
      </c>
      <c r="G3" s="6" t="s">
        <v>0</v>
      </c>
      <c r="H3" s="2" t="s">
        <v>0</v>
      </c>
      <c r="I3" s="2" t="s">
        <v>0</v>
      </c>
      <c r="J3" s="2" t="s">
        <v>0</v>
      </c>
      <c r="K3" s="2" t="s">
        <v>0</v>
      </c>
      <c r="L3" s="2" t="s">
        <v>0</v>
      </c>
      <c r="M3" s="2" t="s">
        <v>184</v>
      </c>
      <c r="N3" s="2" t="s">
        <v>0</v>
      </c>
      <c r="O3" s="2" t="s">
        <v>0</v>
      </c>
      <c r="P3" s="2" t="s">
        <v>1</v>
      </c>
      <c r="Q3" s="2" t="s">
        <v>0</v>
      </c>
      <c r="R3" s="2" t="s">
        <v>0</v>
      </c>
    </row>
    <row r="4" spans="1:18" x14ac:dyDescent="0.25">
      <c r="A4" s="2">
        <f t="shared" si="0"/>
        <v>3</v>
      </c>
      <c r="B4" s="2" t="s">
        <v>4</v>
      </c>
      <c r="C4" s="2" t="s">
        <v>4</v>
      </c>
      <c r="D4" s="2" t="s">
        <v>4</v>
      </c>
      <c r="E4" s="2" t="s">
        <v>2</v>
      </c>
      <c r="F4" s="2" t="s">
        <v>3</v>
      </c>
      <c r="G4" s="6" t="s">
        <v>3</v>
      </c>
      <c r="H4" s="2" t="s">
        <v>3</v>
      </c>
      <c r="I4" s="2" t="s">
        <v>3</v>
      </c>
      <c r="J4" s="2" t="s">
        <v>2</v>
      </c>
      <c r="K4" s="2" t="s">
        <v>2</v>
      </c>
      <c r="L4" s="2" t="s">
        <v>3</v>
      </c>
      <c r="M4" s="2" t="s">
        <v>185</v>
      </c>
      <c r="N4" s="2" t="s">
        <v>20</v>
      </c>
      <c r="O4" s="2" t="s">
        <v>145</v>
      </c>
      <c r="P4" s="2" t="s">
        <v>0</v>
      </c>
      <c r="Q4" s="2" t="s">
        <v>1</v>
      </c>
      <c r="R4" s="2" t="s">
        <v>145</v>
      </c>
    </row>
    <row r="5" spans="1:18" x14ac:dyDescent="0.25">
      <c r="A5" s="2">
        <f t="shared" si="0"/>
        <v>4</v>
      </c>
      <c r="B5" s="2" t="s">
        <v>3</v>
      </c>
      <c r="C5" s="2" t="s">
        <v>3</v>
      </c>
      <c r="D5" s="2" t="s">
        <v>3</v>
      </c>
      <c r="E5" s="2" t="s">
        <v>4</v>
      </c>
      <c r="F5" s="2" t="s">
        <v>2</v>
      </c>
      <c r="G5" s="6" t="s">
        <v>2</v>
      </c>
      <c r="H5" s="2" t="s">
        <v>2</v>
      </c>
      <c r="I5" s="2" t="s">
        <v>2</v>
      </c>
      <c r="J5" s="2" t="s">
        <v>3</v>
      </c>
      <c r="K5" s="2" t="s">
        <v>3</v>
      </c>
      <c r="L5" s="2" t="s">
        <v>2</v>
      </c>
      <c r="M5" s="2" t="s">
        <v>0</v>
      </c>
      <c r="N5" s="2" t="s">
        <v>184</v>
      </c>
      <c r="O5" s="2" t="s">
        <v>9</v>
      </c>
      <c r="P5" s="2" t="s">
        <v>145</v>
      </c>
      <c r="Q5" s="2" t="s">
        <v>9</v>
      </c>
      <c r="R5" s="2" t="s">
        <v>1</v>
      </c>
    </row>
    <row r="6" spans="1:18" x14ac:dyDescent="0.25">
      <c r="A6" s="2">
        <f t="shared" si="0"/>
        <v>5</v>
      </c>
      <c r="B6" s="2" t="s">
        <v>5</v>
      </c>
      <c r="C6" s="2" t="s">
        <v>5</v>
      </c>
      <c r="D6" s="2" t="s">
        <v>6</v>
      </c>
      <c r="E6" s="2" t="s">
        <v>7</v>
      </c>
      <c r="F6" s="2" t="s">
        <v>4</v>
      </c>
      <c r="G6" s="6" t="s">
        <v>4</v>
      </c>
      <c r="H6" s="2" t="s">
        <v>4</v>
      </c>
      <c r="I6" s="2" t="s">
        <v>4</v>
      </c>
      <c r="J6" s="2" t="s">
        <v>4</v>
      </c>
      <c r="K6" s="2" t="s">
        <v>4</v>
      </c>
      <c r="L6" s="2" t="s">
        <v>4</v>
      </c>
      <c r="M6" s="2" t="s">
        <v>186</v>
      </c>
      <c r="N6" s="2" t="s">
        <v>145</v>
      </c>
      <c r="O6" s="2" t="s">
        <v>20</v>
      </c>
      <c r="P6" s="2" t="s">
        <v>9</v>
      </c>
      <c r="Q6" s="2" t="s">
        <v>145</v>
      </c>
      <c r="R6" s="2" t="s">
        <v>244</v>
      </c>
    </row>
    <row r="7" spans="1:18" x14ac:dyDescent="0.25">
      <c r="A7" s="2">
        <f t="shared" si="0"/>
        <v>6</v>
      </c>
      <c r="B7" s="2" t="s">
        <v>8</v>
      </c>
      <c r="C7" s="2" t="s">
        <v>7</v>
      </c>
      <c r="D7" s="2" t="s">
        <v>5</v>
      </c>
      <c r="E7" s="2" t="s">
        <v>9</v>
      </c>
      <c r="F7" s="2" t="s">
        <v>7</v>
      </c>
      <c r="G7" s="6" t="s">
        <v>7</v>
      </c>
      <c r="H7" s="2" t="s">
        <v>7</v>
      </c>
      <c r="I7" s="2" t="s">
        <v>7</v>
      </c>
      <c r="J7" s="2" t="s">
        <v>16</v>
      </c>
      <c r="K7" s="2" t="s">
        <v>16</v>
      </c>
      <c r="L7" s="2" t="s">
        <v>20</v>
      </c>
      <c r="M7" s="2" t="s">
        <v>187</v>
      </c>
      <c r="N7" s="2" t="s">
        <v>9</v>
      </c>
      <c r="O7" s="2" t="s">
        <v>230</v>
      </c>
      <c r="P7" s="2" t="s">
        <v>215</v>
      </c>
      <c r="Q7" s="2" t="s">
        <v>215</v>
      </c>
      <c r="R7" s="2" t="s">
        <v>216</v>
      </c>
    </row>
    <row r="8" spans="1:18" x14ac:dyDescent="0.25">
      <c r="A8" s="2">
        <f t="shared" si="0"/>
        <v>7</v>
      </c>
      <c r="B8" s="2" t="s">
        <v>10</v>
      </c>
      <c r="C8" s="2" t="s">
        <v>9</v>
      </c>
      <c r="D8" s="2" t="s">
        <v>7</v>
      </c>
      <c r="E8" s="2" t="s">
        <v>11</v>
      </c>
      <c r="F8" s="2" t="s">
        <v>9</v>
      </c>
      <c r="G8" s="6" t="s">
        <v>9</v>
      </c>
      <c r="H8" s="2" t="s">
        <v>11</v>
      </c>
      <c r="I8" s="2" t="s">
        <v>9</v>
      </c>
      <c r="J8" s="2" t="s">
        <v>7</v>
      </c>
      <c r="K8" s="2" t="s">
        <v>20</v>
      </c>
      <c r="L8" s="2" t="s">
        <v>16</v>
      </c>
      <c r="M8" s="2" t="s">
        <v>188</v>
      </c>
      <c r="N8" s="2" t="s">
        <v>19</v>
      </c>
      <c r="O8" s="2" t="s">
        <v>215</v>
      </c>
      <c r="P8" s="2" t="s">
        <v>13</v>
      </c>
      <c r="Q8" s="2" t="s">
        <v>216</v>
      </c>
      <c r="R8" s="2" t="s">
        <v>9</v>
      </c>
    </row>
    <row r="9" spans="1:18" x14ac:dyDescent="0.25">
      <c r="A9" s="2">
        <f t="shared" si="0"/>
        <v>8</v>
      </c>
      <c r="B9" s="2" t="s">
        <v>7</v>
      </c>
      <c r="C9" s="2" t="s">
        <v>10</v>
      </c>
      <c r="D9" s="2" t="s">
        <v>9</v>
      </c>
      <c r="E9" s="2" t="s">
        <v>5</v>
      </c>
      <c r="F9" s="2" t="s">
        <v>11</v>
      </c>
      <c r="G9" s="6" t="s">
        <v>11</v>
      </c>
      <c r="H9" s="2" t="s">
        <v>9</v>
      </c>
      <c r="I9" s="2" t="s">
        <v>16</v>
      </c>
      <c r="J9" s="2" t="s">
        <v>13</v>
      </c>
      <c r="K9" s="2" t="s">
        <v>13</v>
      </c>
      <c r="L9" s="4" t="s">
        <v>25</v>
      </c>
      <c r="M9" s="2" t="s">
        <v>20</v>
      </c>
      <c r="N9" s="2" t="s">
        <v>215</v>
      </c>
      <c r="O9" s="2" t="s">
        <v>13</v>
      </c>
      <c r="P9" s="2" t="s">
        <v>36</v>
      </c>
      <c r="Q9" s="2" t="s">
        <v>36</v>
      </c>
      <c r="R9" s="2" t="s">
        <v>215</v>
      </c>
    </row>
    <row r="10" spans="1:18" x14ac:dyDescent="0.25">
      <c r="A10" s="2">
        <f t="shared" si="0"/>
        <v>9</v>
      </c>
      <c r="B10" s="2" t="s">
        <v>12</v>
      </c>
      <c r="C10" s="2" t="s">
        <v>13</v>
      </c>
      <c r="D10" s="2" t="s">
        <v>13</v>
      </c>
      <c r="E10" s="2" t="s">
        <v>13</v>
      </c>
      <c r="F10" s="2" t="s">
        <v>14</v>
      </c>
      <c r="G10" s="6" t="s">
        <v>16</v>
      </c>
      <c r="H10" s="2" t="s">
        <v>16</v>
      </c>
      <c r="I10" s="2" t="s">
        <v>11</v>
      </c>
      <c r="J10" s="2" t="s">
        <v>9</v>
      </c>
      <c r="K10" s="2" t="s">
        <v>7</v>
      </c>
      <c r="L10" s="2" t="s">
        <v>9</v>
      </c>
      <c r="M10" s="2" t="s">
        <v>189</v>
      </c>
      <c r="N10" s="2" t="s">
        <v>13</v>
      </c>
      <c r="O10" s="2" t="s">
        <v>184</v>
      </c>
      <c r="P10" s="2" t="s">
        <v>42</v>
      </c>
      <c r="Q10" s="2" t="s">
        <v>13</v>
      </c>
      <c r="R10" s="2" t="s">
        <v>13</v>
      </c>
    </row>
    <row r="11" spans="1:18" x14ac:dyDescent="0.25">
      <c r="A11" s="2">
        <f t="shared" si="0"/>
        <v>10</v>
      </c>
      <c r="B11" s="2" t="s">
        <v>15</v>
      </c>
      <c r="C11" s="2" t="s">
        <v>8</v>
      </c>
      <c r="D11" s="2" t="s">
        <v>11</v>
      </c>
      <c r="E11" s="2" t="s">
        <v>8</v>
      </c>
      <c r="F11" s="2" t="s">
        <v>13</v>
      </c>
      <c r="G11" s="6" t="s">
        <v>13</v>
      </c>
      <c r="H11" s="2" t="s">
        <v>13</v>
      </c>
      <c r="I11" s="2" t="s">
        <v>13</v>
      </c>
      <c r="J11" s="2" t="s">
        <v>11</v>
      </c>
      <c r="K11" s="2" t="s">
        <v>9</v>
      </c>
      <c r="L11" s="2" t="s">
        <v>19</v>
      </c>
      <c r="M11" s="2" t="s">
        <v>14</v>
      </c>
      <c r="N11" s="2" t="s">
        <v>185</v>
      </c>
      <c r="O11" s="2" t="s">
        <v>36</v>
      </c>
      <c r="P11" s="2" t="s">
        <v>216</v>
      </c>
      <c r="Q11" s="2" t="s">
        <v>42</v>
      </c>
      <c r="R11" s="2" t="s">
        <v>36</v>
      </c>
    </row>
    <row r="12" spans="1:18" x14ac:dyDescent="0.25">
      <c r="A12" s="2">
        <f t="shared" si="0"/>
        <v>11</v>
      </c>
      <c r="B12" s="2" t="s">
        <v>16</v>
      </c>
      <c r="C12" s="2" t="s">
        <v>16</v>
      </c>
      <c r="D12" s="2" t="s">
        <v>8</v>
      </c>
      <c r="E12" s="2" t="s">
        <v>16</v>
      </c>
      <c r="F12" s="2" t="s">
        <v>16</v>
      </c>
      <c r="G12" s="6" t="s">
        <v>19</v>
      </c>
      <c r="H12" s="2" t="s">
        <v>20</v>
      </c>
      <c r="I12" s="2" t="s">
        <v>19</v>
      </c>
      <c r="J12" s="2" t="s">
        <v>20</v>
      </c>
      <c r="K12" s="2" t="s">
        <v>19</v>
      </c>
      <c r="L12" s="2" t="s">
        <v>145</v>
      </c>
      <c r="M12" s="2" t="s">
        <v>190</v>
      </c>
      <c r="N12" s="2" t="s">
        <v>36</v>
      </c>
      <c r="O12" s="2" t="s">
        <v>216</v>
      </c>
      <c r="P12" s="2" t="s">
        <v>199</v>
      </c>
      <c r="Q12" s="2" t="s">
        <v>43</v>
      </c>
      <c r="R12" s="2" t="s">
        <v>43</v>
      </c>
    </row>
    <row r="13" spans="1:18" x14ac:dyDescent="0.25">
      <c r="A13" s="2">
        <f t="shared" si="0"/>
        <v>12</v>
      </c>
      <c r="B13" s="2" t="s">
        <v>9</v>
      </c>
      <c r="C13" s="2" t="s">
        <v>11</v>
      </c>
      <c r="D13" s="2" t="s">
        <v>16</v>
      </c>
      <c r="E13" s="2" t="s">
        <v>17</v>
      </c>
      <c r="F13" s="2" t="s">
        <v>8</v>
      </c>
      <c r="G13" s="6" t="s">
        <v>20</v>
      </c>
      <c r="H13" s="2" t="s">
        <v>19</v>
      </c>
      <c r="I13" s="2" t="s">
        <v>20</v>
      </c>
      <c r="J13" s="4" t="s">
        <v>25</v>
      </c>
      <c r="K13" s="4" t="s">
        <v>25</v>
      </c>
      <c r="L13" s="2" t="s">
        <v>13</v>
      </c>
      <c r="M13" s="2" t="s">
        <v>191</v>
      </c>
      <c r="N13" s="2" t="s">
        <v>186</v>
      </c>
      <c r="O13" s="2" t="s">
        <v>42</v>
      </c>
      <c r="P13" s="2" t="s">
        <v>43</v>
      </c>
      <c r="Q13" s="2" t="s">
        <v>199</v>
      </c>
      <c r="R13" s="2" t="s">
        <v>42</v>
      </c>
    </row>
    <row r="14" spans="1:18" x14ac:dyDescent="0.25">
      <c r="A14" s="2">
        <f t="shared" si="0"/>
        <v>13</v>
      </c>
      <c r="B14" s="2" t="s">
        <v>11</v>
      </c>
      <c r="C14" s="3" t="s">
        <v>18</v>
      </c>
      <c r="D14" s="2" t="s">
        <v>19</v>
      </c>
      <c r="E14" s="2" t="s">
        <v>6</v>
      </c>
      <c r="F14" s="2" t="s">
        <v>19</v>
      </c>
      <c r="G14" s="6" t="s">
        <v>14</v>
      </c>
      <c r="H14" s="2" t="s">
        <v>136</v>
      </c>
      <c r="I14" s="2" t="s">
        <v>24</v>
      </c>
      <c r="J14" s="2" t="s">
        <v>19</v>
      </c>
      <c r="K14" s="2" t="s">
        <v>36</v>
      </c>
      <c r="L14" s="2" t="s">
        <v>36</v>
      </c>
      <c r="M14" s="2" t="s">
        <v>9</v>
      </c>
      <c r="N14" s="2" t="s">
        <v>216</v>
      </c>
      <c r="O14" s="2" t="s">
        <v>43</v>
      </c>
      <c r="P14" s="2" t="s">
        <v>184</v>
      </c>
      <c r="Q14" s="2" t="s">
        <v>50</v>
      </c>
      <c r="R14" s="2" t="s">
        <v>44</v>
      </c>
    </row>
    <row r="15" spans="1:18" x14ac:dyDescent="0.25">
      <c r="A15" s="2">
        <f t="shared" si="0"/>
        <v>14</v>
      </c>
      <c r="B15" s="2" t="s">
        <v>19</v>
      </c>
      <c r="C15" s="2" t="s">
        <v>19</v>
      </c>
      <c r="D15" s="2" t="s">
        <v>20</v>
      </c>
      <c r="E15" s="2" t="s">
        <v>19</v>
      </c>
      <c r="F15" s="2" t="s">
        <v>20</v>
      </c>
      <c r="G15" s="7" t="s">
        <v>25</v>
      </c>
      <c r="H15" s="2" t="s">
        <v>24</v>
      </c>
      <c r="I15" s="4" t="s">
        <v>25</v>
      </c>
      <c r="J15" s="2" t="s">
        <v>24</v>
      </c>
      <c r="K15" s="2" t="s">
        <v>29</v>
      </c>
      <c r="L15" s="2" t="s">
        <v>29</v>
      </c>
      <c r="M15" s="2" t="s">
        <v>19</v>
      </c>
      <c r="N15" s="2" t="s">
        <v>52</v>
      </c>
      <c r="O15" s="2" t="s">
        <v>52</v>
      </c>
      <c r="P15" s="2" t="s">
        <v>52</v>
      </c>
      <c r="Q15" s="2" t="s">
        <v>184</v>
      </c>
      <c r="R15" s="2" t="s">
        <v>50</v>
      </c>
    </row>
    <row r="16" spans="1:18" x14ac:dyDescent="0.25">
      <c r="A16" s="2">
        <f t="shared" si="0"/>
        <v>15</v>
      </c>
      <c r="B16" s="2" t="s">
        <v>21</v>
      </c>
      <c r="C16" s="2" t="s">
        <v>20</v>
      </c>
      <c r="D16" s="2" t="s">
        <v>21</v>
      </c>
      <c r="E16" s="2" t="s">
        <v>22</v>
      </c>
      <c r="F16" s="2" t="s">
        <v>17</v>
      </c>
      <c r="G16" s="6" t="s">
        <v>24</v>
      </c>
      <c r="H16" s="4" t="s">
        <v>25</v>
      </c>
      <c r="I16" s="2" t="s">
        <v>29</v>
      </c>
      <c r="J16" s="2" t="s">
        <v>36</v>
      </c>
      <c r="K16" s="2" t="s">
        <v>145</v>
      </c>
      <c r="L16" s="2" t="s">
        <v>6</v>
      </c>
      <c r="M16" s="2" t="s">
        <v>192</v>
      </c>
      <c r="N16" s="2" t="s">
        <v>44</v>
      </c>
      <c r="O16" s="2" t="s">
        <v>199</v>
      </c>
      <c r="P16" s="2" t="s">
        <v>44</v>
      </c>
      <c r="Q16" s="2" t="s">
        <v>44</v>
      </c>
      <c r="R16" s="2" t="s">
        <v>199</v>
      </c>
    </row>
    <row r="17" spans="1:18" x14ac:dyDescent="0.25">
      <c r="A17" s="2">
        <f t="shared" si="0"/>
        <v>16</v>
      </c>
      <c r="B17" s="2" t="s">
        <v>20</v>
      </c>
      <c r="C17" s="2" t="s">
        <v>21</v>
      </c>
      <c r="D17" s="2" t="s">
        <v>23</v>
      </c>
      <c r="E17" s="2" t="s">
        <v>20</v>
      </c>
      <c r="F17" s="2" t="s">
        <v>6</v>
      </c>
      <c r="G17" s="6" t="s">
        <v>6</v>
      </c>
      <c r="H17" s="2" t="s">
        <v>23</v>
      </c>
      <c r="I17" s="2" t="s">
        <v>36</v>
      </c>
      <c r="J17" s="2" t="s">
        <v>29</v>
      </c>
      <c r="K17" s="2" t="s">
        <v>24</v>
      </c>
      <c r="L17" s="2" t="s">
        <v>44</v>
      </c>
      <c r="M17" s="2" t="s">
        <v>193</v>
      </c>
      <c r="N17" s="2" t="s">
        <v>137</v>
      </c>
      <c r="O17" s="2" t="s">
        <v>44</v>
      </c>
      <c r="P17" s="2" t="s">
        <v>50</v>
      </c>
      <c r="Q17" s="2" t="s">
        <v>41</v>
      </c>
      <c r="R17" s="2" t="s">
        <v>41</v>
      </c>
    </row>
    <row r="18" spans="1:18" x14ac:dyDescent="0.25">
      <c r="A18" s="2">
        <f t="shared" si="0"/>
        <v>17</v>
      </c>
      <c r="B18" s="2" t="s">
        <v>23</v>
      </c>
      <c r="C18" s="2" t="s">
        <v>23</v>
      </c>
      <c r="D18" s="2" t="s">
        <v>24</v>
      </c>
      <c r="E18" s="2" t="s">
        <v>21</v>
      </c>
      <c r="F18" s="4" t="s">
        <v>25</v>
      </c>
      <c r="G18" s="6" t="s">
        <v>29</v>
      </c>
      <c r="H18" s="2" t="s">
        <v>29</v>
      </c>
      <c r="I18" s="2" t="s">
        <v>6</v>
      </c>
      <c r="J18" s="2" t="s">
        <v>145</v>
      </c>
      <c r="K18" s="2" t="s">
        <v>39</v>
      </c>
      <c r="L18" s="2" t="s">
        <v>52</v>
      </c>
      <c r="M18" s="2" t="s">
        <v>195</v>
      </c>
      <c r="N18" s="2" t="s">
        <v>50</v>
      </c>
      <c r="O18" s="2" t="s">
        <v>137</v>
      </c>
      <c r="P18" s="2" t="s">
        <v>137</v>
      </c>
      <c r="Q18" s="2" t="s">
        <v>45</v>
      </c>
      <c r="R18" s="2" t="s">
        <v>45</v>
      </c>
    </row>
    <row r="19" spans="1:18" x14ac:dyDescent="0.25">
      <c r="A19" s="2">
        <f t="shared" si="0"/>
        <v>18</v>
      </c>
      <c r="B19" s="2" t="s">
        <v>24</v>
      </c>
      <c r="C19" s="2" t="s">
        <v>24</v>
      </c>
      <c r="D19" s="4" t="s">
        <v>25</v>
      </c>
      <c r="E19" s="2" t="s">
        <v>23</v>
      </c>
      <c r="F19" s="2" t="s">
        <v>24</v>
      </c>
      <c r="G19" s="6" t="s">
        <v>23</v>
      </c>
      <c r="H19" s="2" t="s">
        <v>36</v>
      </c>
      <c r="I19" s="2" t="s">
        <v>136</v>
      </c>
      <c r="J19" s="2" t="s">
        <v>6</v>
      </c>
      <c r="K19" s="2" t="s">
        <v>6</v>
      </c>
      <c r="L19" s="2" t="s">
        <v>42</v>
      </c>
      <c r="M19" s="2" t="s">
        <v>145</v>
      </c>
      <c r="N19" s="2" t="s">
        <v>42</v>
      </c>
      <c r="O19" s="2" t="s">
        <v>50</v>
      </c>
      <c r="P19" s="2" t="s">
        <v>6</v>
      </c>
      <c r="Q19" s="2" t="s">
        <v>137</v>
      </c>
      <c r="R19" s="2" t="s">
        <v>137</v>
      </c>
    </row>
    <row r="20" spans="1:18" x14ac:dyDescent="0.25">
      <c r="A20" s="2">
        <f t="shared" si="0"/>
        <v>19</v>
      </c>
      <c r="B20" s="2" t="s">
        <v>26</v>
      </c>
      <c r="C20" s="4" t="s">
        <v>25</v>
      </c>
      <c r="D20" s="2" t="s">
        <v>27</v>
      </c>
      <c r="E20" s="2" t="s">
        <v>28</v>
      </c>
      <c r="F20" s="2" t="s">
        <v>29</v>
      </c>
      <c r="G20" s="6" t="s">
        <v>36</v>
      </c>
      <c r="H20" s="2" t="s">
        <v>6</v>
      </c>
      <c r="I20" s="2" t="s">
        <v>31</v>
      </c>
      <c r="J20" s="2" t="s">
        <v>136</v>
      </c>
      <c r="K20" s="2" t="s">
        <v>44</v>
      </c>
      <c r="L20" s="2" t="s">
        <v>128</v>
      </c>
      <c r="M20" s="2" t="s">
        <v>13</v>
      </c>
      <c r="N20" s="2" t="s">
        <v>6</v>
      </c>
      <c r="O20" s="2" t="s">
        <v>185</v>
      </c>
      <c r="P20" s="2" t="s">
        <v>41</v>
      </c>
      <c r="Q20" s="2" t="s">
        <v>6</v>
      </c>
      <c r="R20" s="2" t="s">
        <v>184</v>
      </c>
    </row>
    <row r="21" spans="1:18" x14ac:dyDescent="0.25">
      <c r="A21" s="2">
        <f t="shared" si="0"/>
        <v>20</v>
      </c>
      <c r="B21" s="4" t="s">
        <v>25</v>
      </c>
      <c r="C21" s="2" t="s">
        <v>27</v>
      </c>
      <c r="D21" s="2" t="s">
        <v>29</v>
      </c>
      <c r="E21" s="2" t="s">
        <v>24</v>
      </c>
      <c r="F21" s="2" t="s">
        <v>23</v>
      </c>
      <c r="G21" s="6" t="s">
        <v>31</v>
      </c>
      <c r="H21" s="2" t="s">
        <v>31</v>
      </c>
      <c r="I21" s="2" t="s">
        <v>44</v>
      </c>
      <c r="J21" s="2" t="s">
        <v>31</v>
      </c>
      <c r="K21" s="2" t="s">
        <v>42</v>
      </c>
      <c r="L21" s="2" t="s">
        <v>31</v>
      </c>
      <c r="M21" s="2" t="s">
        <v>196</v>
      </c>
      <c r="N21" s="2" t="s">
        <v>191</v>
      </c>
      <c r="O21" s="2" t="s">
        <v>6</v>
      </c>
      <c r="P21" s="2" t="s">
        <v>62</v>
      </c>
      <c r="Q21" s="2" t="s">
        <v>53</v>
      </c>
      <c r="R21" s="2" t="s">
        <v>6</v>
      </c>
    </row>
    <row r="22" spans="1:18" x14ac:dyDescent="0.25">
      <c r="A22" s="2">
        <f t="shared" si="0"/>
        <v>21</v>
      </c>
      <c r="B22" s="2" t="s">
        <v>27</v>
      </c>
      <c r="C22" s="2" t="s">
        <v>30</v>
      </c>
      <c r="D22" s="2" t="s">
        <v>31</v>
      </c>
      <c r="E22" s="4" t="s">
        <v>25</v>
      </c>
      <c r="F22" s="2" t="s">
        <v>21</v>
      </c>
      <c r="G22" s="6" t="s">
        <v>30</v>
      </c>
      <c r="H22" s="2" t="s">
        <v>14</v>
      </c>
      <c r="I22" s="2" t="s">
        <v>27</v>
      </c>
      <c r="J22" s="2" t="s">
        <v>44</v>
      </c>
      <c r="K22" s="2" t="s">
        <v>31</v>
      </c>
      <c r="L22" s="2" t="s">
        <v>137</v>
      </c>
      <c r="M22" s="2" t="s">
        <v>36</v>
      </c>
      <c r="N22" s="2" t="s">
        <v>187</v>
      </c>
      <c r="O22" s="2" t="s">
        <v>53</v>
      </c>
      <c r="P22" s="2" t="s">
        <v>45</v>
      </c>
      <c r="Q22" s="2" t="s">
        <v>128</v>
      </c>
      <c r="R22" s="2" t="s">
        <v>128</v>
      </c>
    </row>
    <row r="23" spans="1:18" x14ac:dyDescent="0.25">
      <c r="A23" s="2">
        <f t="shared" si="0"/>
        <v>22</v>
      </c>
      <c r="B23" s="2" t="s">
        <v>30</v>
      </c>
      <c r="C23" s="2" t="s">
        <v>31</v>
      </c>
      <c r="D23" s="2" t="s">
        <v>18</v>
      </c>
      <c r="E23" s="2" t="s">
        <v>32</v>
      </c>
      <c r="F23" s="2" t="s">
        <v>27</v>
      </c>
      <c r="G23" s="6" t="s">
        <v>17</v>
      </c>
      <c r="H23" s="2" t="s">
        <v>137</v>
      </c>
      <c r="I23" s="2" t="s">
        <v>34</v>
      </c>
      <c r="J23" s="2" t="s">
        <v>42</v>
      </c>
      <c r="K23" s="2" t="s">
        <v>52</v>
      </c>
      <c r="L23" s="2" t="s">
        <v>154</v>
      </c>
      <c r="M23" s="2" t="s">
        <v>197</v>
      </c>
      <c r="N23" s="2" t="s">
        <v>199</v>
      </c>
      <c r="O23" s="2" t="s">
        <v>45</v>
      </c>
      <c r="P23" s="2" t="s">
        <v>53</v>
      </c>
      <c r="Q23" s="2" t="s">
        <v>30</v>
      </c>
      <c r="R23" s="2" t="s">
        <v>30</v>
      </c>
    </row>
    <row r="24" spans="1:18" x14ac:dyDescent="0.25">
      <c r="A24" s="2">
        <f t="shared" si="0"/>
        <v>23</v>
      </c>
      <c r="B24" s="2" t="s">
        <v>33</v>
      </c>
      <c r="C24" s="2" t="s">
        <v>29</v>
      </c>
      <c r="D24" s="2" t="s">
        <v>34</v>
      </c>
      <c r="E24" s="2" t="s">
        <v>35</v>
      </c>
      <c r="F24" s="2" t="s">
        <v>31</v>
      </c>
      <c r="G24" s="6" t="s">
        <v>18</v>
      </c>
      <c r="H24" s="2" t="s">
        <v>30</v>
      </c>
      <c r="I24" s="2" t="s">
        <v>14</v>
      </c>
      <c r="J24" s="2" t="s">
        <v>52</v>
      </c>
      <c r="K24" s="2" t="s">
        <v>136</v>
      </c>
      <c r="L24" s="2" t="s">
        <v>41</v>
      </c>
      <c r="M24" s="2" t="s">
        <v>198</v>
      </c>
      <c r="N24" s="2" t="s">
        <v>43</v>
      </c>
      <c r="O24" s="2" t="s">
        <v>41</v>
      </c>
      <c r="P24" s="2" t="s">
        <v>128</v>
      </c>
      <c r="Q24" s="2" t="s">
        <v>27</v>
      </c>
      <c r="R24" s="2" t="s">
        <v>53</v>
      </c>
    </row>
    <row r="25" spans="1:18" x14ac:dyDescent="0.25">
      <c r="A25" s="2">
        <f t="shared" si="0"/>
        <v>24</v>
      </c>
      <c r="B25" s="2" t="s">
        <v>29</v>
      </c>
      <c r="C25" s="2" t="s">
        <v>33</v>
      </c>
      <c r="D25" s="2" t="s">
        <v>30</v>
      </c>
      <c r="E25" s="2" t="s">
        <v>29</v>
      </c>
      <c r="F25" s="2" t="s">
        <v>22</v>
      </c>
      <c r="G25" s="6" t="s">
        <v>34</v>
      </c>
      <c r="H25" s="2" t="s">
        <v>34</v>
      </c>
      <c r="I25" s="2" t="s">
        <v>30</v>
      </c>
      <c r="J25" s="2" t="s">
        <v>41</v>
      </c>
      <c r="K25" s="2" t="s">
        <v>41</v>
      </c>
      <c r="L25" s="2" t="s">
        <v>50</v>
      </c>
      <c r="M25" s="2" t="s">
        <v>199</v>
      </c>
      <c r="N25" s="2" t="s">
        <v>41</v>
      </c>
      <c r="O25" s="2" t="s">
        <v>186</v>
      </c>
      <c r="P25" s="2" t="s">
        <v>27</v>
      </c>
      <c r="Q25" s="2" t="s">
        <v>55</v>
      </c>
      <c r="R25" s="2" t="s">
        <v>55</v>
      </c>
    </row>
    <row r="26" spans="1:18" x14ac:dyDescent="0.25">
      <c r="A26" s="2">
        <f t="shared" si="0"/>
        <v>25</v>
      </c>
      <c r="B26" s="2" t="s">
        <v>31</v>
      </c>
      <c r="C26" s="2" t="s">
        <v>26</v>
      </c>
      <c r="D26" s="2" t="s">
        <v>36</v>
      </c>
      <c r="E26" s="2" t="s">
        <v>27</v>
      </c>
      <c r="F26" s="2" t="s">
        <v>36</v>
      </c>
      <c r="G26" s="6" t="s">
        <v>42</v>
      </c>
      <c r="H26" s="2" t="s">
        <v>42</v>
      </c>
      <c r="I26" s="2" t="s">
        <v>137</v>
      </c>
      <c r="J26" s="2" t="s">
        <v>30</v>
      </c>
      <c r="K26" s="2" t="s">
        <v>27</v>
      </c>
      <c r="L26" s="2" t="s">
        <v>30</v>
      </c>
      <c r="M26" s="2" t="s">
        <v>6</v>
      </c>
      <c r="N26" s="2" t="s">
        <v>14</v>
      </c>
      <c r="O26" s="2" t="s">
        <v>128</v>
      </c>
      <c r="P26" s="2" t="s">
        <v>30</v>
      </c>
      <c r="Q26" s="2" t="s">
        <v>62</v>
      </c>
      <c r="R26" s="2" t="s">
        <v>27</v>
      </c>
    </row>
    <row r="27" spans="1:18" x14ac:dyDescent="0.25">
      <c r="A27" s="2">
        <f t="shared" si="0"/>
        <v>26</v>
      </c>
      <c r="B27" s="2" t="s">
        <v>37</v>
      </c>
      <c r="C27" s="2" t="s">
        <v>37</v>
      </c>
      <c r="D27" s="2" t="s">
        <v>38</v>
      </c>
      <c r="E27" s="2" t="s">
        <v>31</v>
      </c>
      <c r="F27" s="2" t="s">
        <v>39</v>
      </c>
      <c r="G27" s="6" t="s">
        <v>27</v>
      </c>
      <c r="H27" s="2" t="s">
        <v>44</v>
      </c>
      <c r="I27" s="2" t="s">
        <v>42</v>
      </c>
      <c r="J27" s="2" t="s">
        <v>34</v>
      </c>
      <c r="K27" s="2" t="s">
        <v>137</v>
      </c>
      <c r="L27" s="2" t="s">
        <v>27</v>
      </c>
      <c r="M27" s="2" t="s">
        <v>52</v>
      </c>
      <c r="N27" s="2" t="s">
        <v>45</v>
      </c>
      <c r="O27" s="2" t="s">
        <v>31</v>
      </c>
      <c r="P27" s="2" t="s">
        <v>185</v>
      </c>
      <c r="Q27" s="2" t="s">
        <v>66</v>
      </c>
      <c r="R27" s="2" t="s">
        <v>245</v>
      </c>
    </row>
    <row r="28" spans="1:18" x14ac:dyDescent="0.25">
      <c r="A28" s="2">
        <f t="shared" si="0"/>
        <v>27</v>
      </c>
      <c r="B28" s="2" t="s">
        <v>36</v>
      </c>
      <c r="C28" s="2" t="s">
        <v>38</v>
      </c>
      <c r="D28" s="2" t="s">
        <v>40</v>
      </c>
      <c r="E28" s="2" t="s">
        <v>30</v>
      </c>
      <c r="F28" s="2" t="s">
        <v>30</v>
      </c>
      <c r="G28" s="6" t="s">
        <v>44</v>
      </c>
      <c r="H28" s="2" t="s">
        <v>43</v>
      </c>
      <c r="I28" s="2" t="s">
        <v>41</v>
      </c>
      <c r="J28" s="2" t="s">
        <v>27</v>
      </c>
      <c r="K28" s="2" t="s">
        <v>30</v>
      </c>
      <c r="L28" s="2" t="s">
        <v>136</v>
      </c>
      <c r="M28" s="2" t="s">
        <v>42</v>
      </c>
      <c r="N28" s="2" t="s">
        <v>31</v>
      </c>
      <c r="O28" s="2" t="s">
        <v>30</v>
      </c>
      <c r="P28" s="2" t="s">
        <v>55</v>
      </c>
      <c r="Q28" s="2" t="s">
        <v>154</v>
      </c>
      <c r="R28" s="2" t="s">
        <v>66</v>
      </c>
    </row>
    <row r="29" spans="1:18" x14ac:dyDescent="0.25">
      <c r="A29" s="2">
        <f t="shared" si="0"/>
        <v>28</v>
      </c>
      <c r="B29" s="2" t="s">
        <v>38</v>
      </c>
      <c r="C29" s="2" t="s">
        <v>36</v>
      </c>
      <c r="D29" s="2" t="s">
        <v>41</v>
      </c>
      <c r="E29" s="2" t="s">
        <v>36</v>
      </c>
      <c r="F29" s="2" t="s">
        <v>34</v>
      </c>
      <c r="G29" s="6" t="s">
        <v>41</v>
      </c>
      <c r="H29" s="2" t="s">
        <v>27</v>
      </c>
      <c r="I29" s="2" t="s">
        <v>18</v>
      </c>
      <c r="J29" s="2" t="s">
        <v>18</v>
      </c>
      <c r="K29" s="2" t="s">
        <v>50</v>
      </c>
      <c r="L29" s="2" t="s">
        <v>62</v>
      </c>
      <c r="M29" s="2" t="s">
        <v>44</v>
      </c>
      <c r="N29" s="2" t="s">
        <v>62</v>
      </c>
      <c r="O29" s="2" t="s">
        <v>62</v>
      </c>
      <c r="P29" s="2" t="s">
        <v>154</v>
      </c>
      <c r="Q29" s="2" t="s">
        <v>136</v>
      </c>
      <c r="R29" s="2" t="s">
        <v>136</v>
      </c>
    </row>
    <row r="30" spans="1:18" x14ac:dyDescent="0.25">
      <c r="A30" s="2">
        <f t="shared" si="0"/>
        <v>29</v>
      </c>
      <c r="B30" s="2" t="s">
        <v>40</v>
      </c>
      <c r="C30" s="2" t="s">
        <v>41</v>
      </c>
      <c r="D30" s="2" t="s">
        <v>37</v>
      </c>
      <c r="E30" s="2" t="s">
        <v>18</v>
      </c>
      <c r="F30" s="2" t="s">
        <v>18</v>
      </c>
      <c r="G30" s="6" t="s">
        <v>43</v>
      </c>
      <c r="H30" s="2" t="s">
        <v>18</v>
      </c>
      <c r="I30" s="2" t="s">
        <v>43</v>
      </c>
      <c r="J30" s="2" t="s">
        <v>153</v>
      </c>
      <c r="K30" s="2" t="s">
        <v>147</v>
      </c>
      <c r="L30" s="2" t="s">
        <v>39</v>
      </c>
      <c r="M30" s="2" t="s">
        <v>137</v>
      </c>
      <c r="N30" s="2" t="s">
        <v>189</v>
      </c>
      <c r="O30" s="2" t="s">
        <v>27</v>
      </c>
      <c r="P30" s="2" t="s">
        <v>66</v>
      </c>
      <c r="Q30" s="2" t="s">
        <v>63</v>
      </c>
      <c r="R30" s="2" t="s">
        <v>63</v>
      </c>
    </row>
    <row r="31" spans="1:18" x14ac:dyDescent="0.25">
      <c r="A31" s="2">
        <f t="shared" si="0"/>
        <v>30</v>
      </c>
      <c r="B31" s="2" t="s">
        <v>41</v>
      </c>
      <c r="C31" s="2" t="s">
        <v>40</v>
      </c>
      <c r="D31" s="2" t="s">
        <v>42</v>
      </c>
      <c r="E31" s="2" t="s">
        <v>34</v>
      </c>
      <c r="F31" s="2" t="s">
        <v>43</v>
      </c>
      <c r="G31" s="6" t="s">
        <v>40</v>
      </c>
      <c r="H31" s="2" t="s">
        <v>41</v>
      </c>
      <c r="I31" s="2" t="s">
        <v>52</v>
      </c>
      <c r="J31" s="2" t="s">
        <v>45</v>
      </c>
      <c r="K31" s="2" t="s">
        <v>62</v>
      </c>
      <c r="L31" s="2" t="s">
        <v>45</v>
      </c>
      <c r="M31" s="2" t="s">
        <v>41</v>
      </c>
      <c r="N31" s="2" t="s">
        <v>27</v>
      </c>
      <c r="O31" s="2" t="s">
        <v>154</v>
      </c>
      <c r="P31" s="2" t="s">
        <v>181</v>
      </c>
      <c r="Q31" s="2" t="s">
        <v>232</v>
      </c>
      <c r="R31" s="2" t="s">
        <v>154</v>
      </c>
    </row>
    <row r="32" spans="1:18" x14ac:dyDescent="0.25">
      <c r="A32" s="2">
        <f t="shared" si="0"/>
        <v>31</v>
      </c>
      <c r="B32" s="2" t="s">
        <v>34</v>
      </c>
      <c r="C32" s="2" t="s">
        <v>34</v>
      </c>
      <c r="D32" s="2" t="s">
        <v>44</v>
      </c>
      <c r="E32" s="2" t="s">
        <v>40</v>
      </c>
      <c r="F32" s="2" t="s">
        <v>44</v>
      </c>
      <c r="G32" s="6" t="s">
        <v>39</v>
      </c>
      <c r="H32" s="2" t="s">
        <v>39</v>
      </c>
      <c r="I32" s="2" t="s">
        <v>145</v>
      </c>
      <c r="J32" s="2" t="s">
        <v>137</v>
      </c>
      <c r="K32" s="2" t="s">
        <v>18</v>
      </c>
      <c r="L32" s="2" t="s">
        <v>55</v>
      </c>
      <c r="M32" s="2" t="s">
        <v>50</v>
      </c>
      <c r="N32" s="2" t="s">
        <v>192</v>
      </c>
      <c r="O32" s="2" t="s">
        <v>55</v>
      </c>
      <c r="P32" s="2" t="s">
        <v>136</v>
      </c>
      <c r="Q32" s="2" t="s">
        <v>48</v>
      </c>
      <c r="R32" s="2" t="s">
        <v>246</v>
      </c>
    </row>
    <row r="33" spans="1:18" x14ac:dyDescent="0.25">
      <c r="A33" s="2">
        <f t="shared" si="0"/>
        <v>32</v>
      </c>
      <c r="B33" s="2" t="s">
        <v>44</v>
      </c>
      <c r="C33" s="2" t="s">
        <v>44</v>
      </c>
      <c r="D33" s="2" t="s">
        <v>45</v>
      </c>
      <c r="E33" s="2" t="s">
        <v>41</v>
      </c>
      <c r="F33" s="2" t="s">
        <v>42</v>
      </c>
      <c r="G33" s="6" t="s">
        <v>50</v>
      </c>
      <c r="H33" s="2" t="s">
        <v>52</v>
      </c>
      <c r="I33" s="2" t="s">
        <v>39</v>
      </c>
      <c r="J33" s="2" t="s">
        <v>62</v>
      </c>
      <c r="K33" s="2" t="s">
        <v>128</v>
      </c>
      <c r="L33" s="2" t="s">
        <v>43</v>
      </c>
      <c r="M33" s="2" t="s">
        <v>31</v>
      </c>
      <c r="N33" s="2" t="s">
        <v>128</v>
      </c>
      <c r="O33" s="2" t="s">
        <v>136</v>
      </c>
      <c r="P33" s="2" t="s">
        <v>186</v>
      </c>
      <c r="Q33" s="2" t="s">
        <v>46</v>
      </c>
      <c r="R33" s="2" t="s">
        <v>46</v>
      </c>
    </row>
    <row r="34" spans="1:18" x14ac:dyDescent="0.25">
      <c r="A34" s="2">
        <f t="shared" si="0"/>
        <v>33</v>
      </c>
      <c r="B34" s="2" t="s">
        <v>46</v>
      </c>
      <c r="C34" s="2" t="s">
        <v>47</v>
      </c>
      <c r="D34" s="2" t="s">
        <v>47</v>
      </c>
      <c r="E34" s="2" t="s">
        <v>44</v>
      </c>
      <c r="F34" s="2" t="s">
        <v>41</v>
      </c>
      <c r="G34" s="6" t="s">
        <v>46</v>
      </c>
      <c r="H34" s="2" t="s">
        <v>50</v>
      </c>
      <c r="I34" s="2" t="s">
        <v>45</v>
      </c>
      <c r="J34" s="2" t="s">
        <v>50</v>
      </c>
      <c r="K34" s="2" t="s">
        <v>177</v>
      </c>
      <c r="L34" s="2" t="s">
        <v>18</v>
      </c>
      <c r="M34" s="2" t="s">
        <v>128</v>
      </c>
      <c r="N34" s="2" t="s">
        <v>188</v>
      </c>
      <c r="O34" s="2" t="s">
        <v>191</v>
      </c>
      <c r="P34" s="2" t="s">
        <v>232</v>
      </c>
      <c r="Q34" s="2" t="s">
        <v>181</v>
      </c>
      <c r="R34" s="2" t="s">
        <v>247</v>
      </c>
    </row>
    <row r="35" spans="1:18" x14ac:dyDescent="0.25">
      <c r="A35" s="2">
        <f t="shared" si="0"/>
        <v>34</v>
      </c>
      <c r="B35" s="2" t="s">
        <v>48</v>
      </c>
      <c r="C35" s="2" t="s">
        <v>45</v>
      </c>
      <c r="D35" s="2" t="s">
        <v>46</v>
      </c>
      <c r="E35" s="2" t="s">
        <v>37</v>
      </c>
      <c r="F35" s="2" t="s">
        <v>40</v>
      </c>
      <c r="G35" s="6" t="s">
        <v>52</v>
      </c>
      <c r="H35" s="2" t="s">
        <v>128</v>
      </c>
      <c r="I35" s="2" t="s">
        <v>40</v>
      </c>
      <c r="J35" s="2" t="s">
        <v>53</v>
      </c>
      <c r="K35" s="2" t="s">
        <v>55</v>
      </c>
      <c r="L35" s="2" t="s">
        <v>46</v>
      </c>
      <c r="M35" s="2" t="s">
        <v>45</v>
      </c>
      <c r="N35" s="2" t="s">
        <v>53</v>
      </c>
      <c r="O35" s="2" t="s">
        <v>66</v>
      </c>
      <c r="P35" s="2" t="s">
        <v>63</v>
      </c>
      <c r="Q35" s="2" t="s">
        <v>185</v>
      </c>
      <c r="R35" s="2" t="s">
        <v>232</v>
      </c>
    </row>
    <row r="36" spans="1:18" x14ac:dyDescent="0.25">
      <c r="A36" s="2">
        <f t="shared" si="0"/>
        <v>35</v>
      </c>
      <c r="B36" s="2" t="s">
        <v>47</v>
      </c>
      <c r="C36" s="2" t="s">
        <v>46</v>
      </c>
      <c r="D36" s="2" t="s">
        <v>49</v>
      </c>
      <c r="E36" s="2" t="s">
        <v>42</v>
      </c>
      <c r="F36" s="2" t="s">
        <v>50</v>
      </c>
      <c r="G36" s="6" t="s">
        <v>55</v>
      </c>
      <c r="H36" s="2" t="s">
        <v>45</v>
      </c>
      <c r="I36" s="2" t="s">
        <v>55</v>
      </c>
      <c r="J36" s="2" t="s">
        <v>43</v>
      </c>
      <c r="K36" s="2" t="s">
        <v>45</v>
      </c>
      <c r="L36" s="2" t="s">
        <v>40</v>
      </c>
      <c r="M36" s="2" t="s">
        <v>62</v>
      </c>
      <c r="N36" s="2" t="s">
        <v>30</v>
      </c>
      <c r="O36" s="2" t="s">
        <v>187</v>
      </c>
      <c r="P36" s="2" t="s">
        <v>48</v>
      </c>
      <c r="Q36" s="2" t="s">
        <v>18</v>
      </c>
      <c r="R36" s="2" t="s">
        <v>181</v>
      </c>
    </row>
    <row r="37" spans="1:18" x14ac:dyDescent="0.25">
      <c r="A37" s="2">
        <f t="shared" si="0"/>
        <v>36</v>
      </c>
      <c r="B37" s="2" t="s">
        <v>49</v>
      </c>
      <c r="C37" s="2" t="s">
        <v>49</v>
      </c>
      <c r="D37" s="2" t="s">
        <v>51</v>
      </c>
      <c r="E37" s="2" t="s">
        <v>46</v>
      </c>
      <c r="F37" s="2" t="s">
        <v>37</v>
      </c>
      <c r="G37" s="6" t="s">
        <v>57</v>
      </c>
      <c r="H37" s="2" t="s">
        <v>62</v>
      </c>
      <c r="I37" s="2" t="s">
        <v>50</v>
      </c>
      <c r="J37" s="2" t="s">
        <v>128</v>
      </c>
      <c r="K37" s="2" t="s">
        <v>154</v>
      </c>
      <c r="L37" s="2" t="s">
        <v>48</v>
      </c>
      <c r="M37" s="2" t="s">
        <v>43</v>
      </c>
      <c r="N37" s="2" t="s">
        <v>190</v>
      </c>
      <c r="O37" s="2" t="s">
        <v>18</v>
      </c>
      <c r="P37" s="2" t="s">
        <v>231</v>
      </c>
      <c r="Q37" s="2" t="s">
        <v>129</v>
      </c>
      <c r="R37" s="2" t="s">
        <v>129</v>
      </c>
    </row>
    <row r="38" spans="1:18" x14ac:dyDescent="0.25">
      <c r="A38" s="2">
        <f t="shared" si="0"/>
        <v>37</v>
      </c>
      <c r="B38" s="2" t="s">
        <v>52</v>
      </c>
      <c r="C38" s="2" t="s">
        <v>53</v>
      </c>
      <c r="D38" s="2" t="s">
        <v>54</v>
      </c>
      <c r="E38" s="2" t="s">
        <v>47</v>
      </c>
      <c r="F38" s="2" t="s">
        <v>46</v>
      </c>
      <c r="G38" s="6" t="s">
        <v>62</v>
      </c>
      <c r="H38" s="2" t="s">
        <v>40</v>
      </c>
      <c r="I38" s="2" t="s">
        <v>62</v>
      </c>
      <c r="J38" s="2" t="s">
        <v>39</v>
      </c>
      <c r="K38" s="2" t="s">
        <v>46</v>
      </c>
      <c r="L38" s="2" t="s">
        <v>53</v>
      </c>
      <c r="M38" s="2" t="s">
        <v>30</v>
      </c>
      <c r="N38" s="2" t="s">
        <v>154</v>
      </c>
      <c r="O38" s="2" t="s">
        <v>48</v>
      </c>
      <c r="P38" s="2" t="s">
        <v>46</v>
      </c>
      <c r="Q38" s="2" t="s">
        <v>233</v>
      </c>
      <c r="R38" s="2" t="s">
        <v>18</v>
      </c>
    </row>
    <row r="39" spans="1:18" x14ac:dyDescent="0.25">
      <c r="A39" s="2">
        <f t="shared" si="0"/>
        <v>38</v>
      </c>
      <c r="B39" s="2" t="s">
        <v>51</v>
      </c>
      <c r="C39" s="2" t="s">
        <v>55</v>
      </c>
      <c r="D39" s="2" t="s">
        <v>56</v>
      </c>
      <c r="E39" s="2" t="s">
        <v>38</v>
      </c>
      <c r="F39" s="2" t="s">
        <v>55</v>
      </c>
      <c r="G39" s="6" t="s">
        <v>37</v>
      </c>
      <c r="H39" s="2" t="s">
        <v>55</v>
      </c>
      <c r="I39" s="2" t="s">
        <v>46</v>
      </c>
      <c r="J39" s="2" t="s">
        <v>154</v>
      </c>
      <c r="K39" s="2" t="s">
        <v>178</v>
      </c>
      <c r="L39" s="2" t="s">
        <v>181</v>
      </c>
      <c r="M39" s="2" t="s">
        <v>27</v>
      </c>
      <c r="N39" s="2" t="s">
        <v>55</v>
      </c>
      <c r="O39" s="2" t="s">
        <v>231</v>
      </c>
      <c r="P39" s="2" t="s">
        <v>18</v>
      </c>
      <c r="Q39" s="2" t="s">
        <v>186</v>
      </c>
      <c r="R39" s="2" t="s">
        <v>155</v>
      </c>
    </row>
    <row r="40" spans="1:18" x14ac:dyDescent="0.25">
      <c r="A40" s="2">
        <f t="shared" si="0"/>
        <v>39</v>
      </c>
      <c r="B40" s="2" t="s">
        <v>57</v>
      </c>
      <c r="C40" s="2" t="s">
        <v>42</v>
      </c>
      <c r="D40" s="2" t="s">
        <v>55</v>
      </c>
      <c r="E40" s="2" t="s">
        <v>45</v>
      </c>
      <c r="F40" s="2" t="s">
        <v>45</v>
      </c>
      <c r="G40" s="6" t="s">
        <v>53</v>
      </c>
      <c r="H40" s="2" t="s">
        <v>53</v>
      </c>
      <c r="I40" s="2" t="s">
        <v>128</v>
      </c>
      <c r="J40" s="2" t="s">
        <v>46</v>
      </c>
      <c r="K40" s="2" t="s">
        <v>43</v>
      </c>
      <c r="L40" s="2" t="s">
        <v>147</v>
      </c>
      <c r="M40" s="2" t="s">
        <v>154</v>
      </c>
      <c r="N40" s="2" t="s">
        <v>136</v>
      </c>
      <c r="O40" s="2" t="s">
        <v>232</v>
      </c>
      <c r="P40" s="2" t="s">
        <v>191</v>
      </c>
      <c r="Q40" s="2" t="s">
        <v>200</v>
      </c>
      <c r="R40" s="2" t="s">
        <v>40</v>
      </c>
    </row>
    <row r="41" spans="1:18" x14ac:dyDescent="0.25">
      <c r="A41" s="2">
        <f t="shared" si="0"/>
        <v>40</v>
      </c>
      <c r="B41" s="2" t="s">
        <v>42</v>
      </c>
      <c r="C41" s="2" t="s">
        <v>51</v>
      </c>
      <c r="D41" s="2" t="s">
        <v>58</v>
      </c>
      <c r="E41" s="2" t="s">
        <v>49</v>
      </c>
      <c r="F41" s="2" t="s">
        <v>59</v>
      </c>
      <c r="G41" s="6" t="s">
        <v>48</v>
      </c>
      <c r="H41" s="2" t="s">
        <v>46</v>
      </c>
      <c r="I41" s="2" t="s">
        <v>146</v>
      </c>
      <c r="J41" s="2" t="s">
        <v>55</v>
      </c>
      <c r="K41" s="2" t="s">
        <v>53</v>
      </c>
      <c r="L41" s="2" t="s">
        <v>66</v>
      </c>
      <c r="M41" s="2" t="s">
        <v>55</v>
      </c>
      <c r="N41" s="2" t="s">
        <v>217</v>
      </c>
      <c r="O41" s="2" t="s">
        <v>14</v>
      </c>
      <c r="P41" s="2" t="s">
        <v>200</v>
      </c>
      <c r="Q41" s="2" t="s">
        <v>155</v>
      </c>
      <c r="R41" s="2" t="s">
        <v>57</v>
      </c>
    </row>
    <row r="42" spans="1:18" x14ac:dyDescent="0.25">
      <c r="A42" s="2">
        <f t="shared" si="0"/>
        <v>41</v>
      </c>
      <c r="B42" s="2" t="s">
        <v>60</v>
      </c>
      <c r="C42" s="2" t="s">
        <v>48</v>
      </c>
      <c r="D42" s="2" t="s">
        <v>50</v>
      </c>
      <c r="E42" s="2" t="s">
        <v>61</v>
      </c>
      <c r="F42" s="2" t="s">
        <v>62</v>
      </c>
      <c r="G42" s="6" t="s">
        <v>45</v>
      </c>
      <c r="H42" s="2" t="s">
        <v>58</v>
      </c>
      <c r="I42" s="2" t="s">
        <v>147</v>
      </c>
      <c r="J42" s="2" t="s">
        <v>40</v>
      </c>
      <c r="K42" s="2" t="s">
        <v>40</v>
      </c>
      <c r="L42" s="2" t="s">
        <v>58</v>
      </c>
      <c r="M42" s="2" t="s">
        <v>136</v>
      </c>
      <c r="N42" s="2" t="s">
        <v>193</v>
      </c>
      <c r="O42" s="2" t="s">
        <v>181</v>
      </c>
      <c r="P42" s="2" t="s">
        <v>129</v>
      </c>
      <c r="Q42" s="2" t="s">
        <v>40</v>
      </c>
      <c r="R42" s="2" t="s">
        <v>233</v>
      </c>
    </row>
    <row r="43" spans="1:18" x14ac:dyDescent="0.25">
      <c r="A43" s="2">
        <f t="shared" si="0"/>
        <v>42</v>
      </c>
      <c r="B43" s="2" t="s">
        <v>50</v>
      </c>
      <c r="C43" s="2" t="s">
        <v>63</v>
      </c>
      <c r="D43" s="2" t="s">
        <v>48</v>
      </c>
      <c r="E43" s="2" t="s">
        <v>50</v>
      </c>
      <c r="F43" s="2" t="s">
        <v>49</v>
      </c>
      <c r="G43" s="6" t="s">
        <v>128</v>
      </c>
      <c r="H43" s="2" t="s">
        <v>37</v>
      </c>
      <c r="I43" s="2" t="s">
        <v>53</v>
      </c>
      <c r="J43" s="2" t="s">
        <v>14</v>
      </c>
      <c r="K43" s="2" t="s">
        <v>48</v>
      </c>
      <c r="L43" s="2" t="s">
        <v>63</v>
      </c>
      <c r="M43" s="2" t="s">
        <v>200</v>
      </c>
      <c r="N43" s="2" t="s">
        <v>66</v>
      </c>
      <c r="O43" s="2" t="s">
        <v>46</v>
      </c>
      <c r="P43" s="2" t="s">
        <v>233</v>
      </c>
      <c r="Q43" s="2" t="s">
        <v>57</v>
      </c>
      <c r="R43" s="2" t="s">
        <v>200</v>
      </c>
    </row>
    <row r="44" spans="1:18" x14ac:dyDescent="0.25">
      <c r="A44" s="2">
        <f t="shared" si="0"/>
        <v>43</v>
      </c>
      <c r="B44" s="2" t="s">
        <v>45</v>
      </c>
      <c r="C44" s="2" t="s">
        <v>58</v>
      </c>
      <c r="D44" s="2" t="s">
        <v>64</v>
      </c>
      <c r="E44" s="2" t="s">
        <v>55</v>
      </c>
      <c r="F44" s="2" t="s">
        <v>48</v>
      </c>
      <c r="G44" s="6" t="s">
        <v>63</v>
      </c>
      <c r="H44" s="2" t="s">
        <v>57</v>
      </c>
      <c r="I44" s="2" t="s">
        <v>48</v>
      </c>
      <c r="J44" s="2" t="s">
        <v>48</v>
      </c>
      <c r="K44" s="2" t="s">
        <v>153</v>
      </c>
      <c r="L44" s="2" t="s">
        <v>179</v>
      </c>
      <c r="M44" s="2" t="s">
        <v>46</v>
      </c>
      <c r="N44" s="2" t="s">
        <v>196</v>
      </c>
      <c r="O44" s="2" t="s">
        <v>63</v>
      </c>
      <c r="P44" s="2" t="s">
        <v>217</v>
      </c>
      <c r="Q44" s="2" t="s">
        <v>65</v>
      </c>
      <c r="R44" s="2" t="s">
        <v>62</v>
      </c>
    </row>
    <row r="45" spans="1:18" x14ac:dyDescent="0.25">
      <c r="A45" s="2">
        <f t="shared" si="0"/>
        <v>44</v>
      </c>
      <c r="B45" s="2" t="s">
        <v>55</v>
      </c>
      <c r="C45" s="3" t="s">
        <v>65</v>
      </c>
      <c r="D45" s="2" t="s">
        <v>62</v>
      </c>
      <c r="E45" s="2" t="s">
        <v>51</v>
      </c>
      <c r="F45" s="2" t="s">
        <v>53</v>
      </c>
      <c r="G45" s="6" t="s">
        <v>66</v>
      </c>
      <c r="H45" s="2" t="s">
        <v>48</v>
      </c>
      <c r="I45" s="2" t="s">
        <v>57</v>
      </c>
      <c r="J45" s="2" t="s">
        <v>57</v>
      </c>
      <c r="K45" s="2" t="s">
        <v>63</v>
      </c>
      <c r="L45" s="2" t="s">
        <v>65</v>
      </c>
      <c r="M45" s="2" t="s">
        <v>18</v>
      </c>
      <c r="N45" s="2" t="s">
        <v>18</v>
      </c>
      <c r="O45" s="2" t="s">
        <v>200</v>
      </c>
      <c r="P45" s="2" t="s">
        <v>40</v>
      </c>
      <c r="Q45" s="2" t="s">
        <v>231</v>
      </c>
      <c r="R45" s="2" t="s">
        <v>65</v>
      </c>
    </row>
    <row r="46" spans="1:18" x14ac:dyDescent="0.25">
      <c r="A46" s="2">
        <f t="shared" si="0"/>
        <v>45</v>
      </c>
      <c r="B46" s="2" t="s">
        <v>58</v>
      </c>
      <c r="C46" s="2" t="s">
        <v>57</v>
      </c>
      <c r="D46" s="2" t="s">
        <v>66</v>
      </c>
      <c r="E46" s="2" t="s">
        <v>58</v>
      </c>
      <c r="F46" s="2" t="s">
        <v>58</v>
      </c>
      <c r="G46" s="6" t="s">
        <v>58</v>
      </c>
      <c r="H46" s="2" t="s">
        <v>63</v>
      </c>
      <c r="I46" s="2" t="s">
        <v>63</v>
      </c>
      <c r="J46" s="2" t="s">
        <v>58</v>
      </c>
      <c r="K46" s="2" t="s">
        <v>58</v>
      </c>
      <c r="L46" s="2" t="s">
        <v>57</v>
      </c>
      <c r="M46" s="2" t="s">
        <v>48</v>
      </c>
      <c r="N46" s="2" t="s">
        <v>48</v>
      </c>
      <c r="O46" s="2" t="s">
        <v>217</v>
      </c>
      <c r="P46" s="2" t="s">
        <v>65</v>
      </c>
      <c r="Q46" s="2" t="s">
        <v>238</v>
      </c>
      <c r="R46" s="2" t="s">
        <v>185</v>
      </c>
    </row>
    <row r="47" spans="1:18" x14ac:dyDescent="0.25">
      <c r="A47" s="2">
        <f t="shared" si="0"/>
        <v>46</v>
      </c>
      <c r="B47" s="2" t="s">
        <v>63</v>
      </c>
      <c r="C47" s="2" t="s">
        <v>62</v>
      </c>
      <c r="D47" s="2" t="s">
        <v>57</v>
      </c>
      <c r="E47" s="2" t="s">
        <v>57</v>
      </c>
      <c r="F47" s="2" t="s">
        <v>61</v>
      </c>
      <c r="G47" s="6" t="s">
        <v>65</v>
      </c>
      <c r="H47" s="2" t="s">
        <v>65</v>
      </c>
      <c r="I47" s="2" t="s">
        <v>58</v>
      </c>
      <c r="J47" s="2" t="s">
        <v>63</v>
      </c>
      <c r="K47" s="2" t="s">
        <v>66</v>
      </c>
      <c r="L47" s="2" t="s">
        <v>178</v>
      </c>
      <c r="M47" s="2" t="s">
        <v>39</v>
      </c>
      <c r="N47" s="2" t="s">
        <v>195</v>
      </c>
      <c r="O47" s="2" t="s">
        <v>233</v>
      </c>
      <c r="P47" s="2" t="s">
        <v>187</v>
      </c>
      <c r="Q47" s="2" t="s">
        <v>217</v>
      </c>
      <c r="R47" s="2" t="s">
        <v>248</v>
      </c>
    </row>
    <row r="48" spans="1:18" x14ac:dyDescent="0.25">
      <c r="A48" s="2">
        <f t="shared" si="0"/>
        <v>47</v>
      </c>
      <c r="B48" s="2" t="s">
        <v>53</v>
      </c>
      <c r="C48" s="2" t="s">
        <v>52</v>
      </c>
      <c r="D48" s="2" t="s">
        <v>53</v>
      </c>
      <c r="E48" s="2" t="s">
        <v>62</v>
      </c>
      <c r="F48" s="2" t="s">
        <v>52</v>
      </c>
      <c r="G48" s="6" t="s">
        <v>49</v>
      </c>
      <c r="H48" s="2" t="s">
        <v>51</v>
      </c>
      <c r="I48" s="2" t="s">
        <v>65</v>
      </c>
      <c r="J48" s="2" t="s">
        <v>66</v>
      </c>
      <c r="K48" s="2" t="s">
        <v>57</v>
      </c>
      <c r="L48" s="2" t="s">
        <v>155</v>
      </c>
      <c r="M48" s="2" t="s">
        <v>53</v>
      </c>
      <c r="N48" s="2" t="s">
        <v>39</v>
      </c>
      <c r="O48" s="2" t="s">
        <v>40</v>
      </c>
      <c r="P48" s="2" t="s">
        <v>57</v>
      </c>
      <c r="Q48" s="2" t="s">
        <v>191</v>
      </c>
      <c r="R48" s="2" t="s">
        <v>231</v>
      </c>
    </row>
    <row r="49" spans="1:18" x14ac:dyDescent="0.25">
      <c r="A49" s="2">
        <f t="shared" si="0"/>
        <v>48</v>
      </c>
      <c r="B49" s="2" t="s">
        <v>62</v>
      </c>
      <c r="C49" s="2" t="s">
        <v>50</v>
      </c>
      <c r="D49" s="2" t="s">
        <v>63</v>
      </c>
      <c r="E49" s="2" t="s">
        <v>63</v>
      </c>
      <c r="F49" s="2" t="s">
        <v>57</v>
      </c>
      <c r="G49" s="6" t="s">
        <v>51</v>
      </c>
      <c r="H49" s="2" t="s">
        <v>66</v>
      </c>
      <c r="I49" s="2" t="s">
        <v>148</v>
      </c>
      <c r="J49" s="2" t="s">
        <v>129</v>
      </c>
      <c r="K49" s="2" t="s">
        <v>14</v>
      </c>
      <c r="L49" s="2" t="s">
        <v>129</v>
      </c>
      <c r="M49" s="2" t="s">
        <v>58</v>
      </c>
      <c r="N49" s="2" t="s">
        <v>63</v>
      </c>
      <c r="O49" s="2" t="s">
        <v>192</v>
      </c>
      <c r="P49" s="2" t="s">
        <v>14</v>
      </c>
      <c r="Q49" s="2" t="s">
        <v>187</v>
      </c>
      <c r="R49" s="2" t="s">
        <v>238</v>
      </c>
    </row>
    <row r="50" spans="1:18" x14ac:dyDescent="0.25">
      <c r="A50" s="2">
        <f t="shared" si="0"/>
        <v>49</v>
      </c>
      <c r="B50" s="2" t="s">
        <v>67</v>
      </c>
      <c r="C50" s="2" t="s">
        <v>66</v>
      </c>
      <c r="D50" s="2" t="s">
        <v>52</v>
      </c>
      <c r="E50" s="2" t="s">
        <v>48</v>
      </c>
      <c r="F50" s="2" t="s">
        <v>63</v>
      </c>
      <c r="G50" s="6" t="s">
        <v>68</v>
      </c>
      <c r="H50" s="2" t="s">
        <v>140</v>
      </c>
      <c r="I50" s="2" t="s">
        <v>66</v>
      </c>
      <c r="J50" s="2" t="s">
        <v>155</v>
      </c>
      <c r="K50" s="2" t="s">
        <v>129</v>
      </c>
      <c r="L50" s="2" t="s">
        <v>153</v>
      </c>
      <c r="M50" s="2" t="s">
        <v>66</v>
      </c>
      <c r="N50" s="2" t="s">
        <v>46</v>
      </c>
      <c r="O50" s="2" t="s">
        <v>129</v>
      </c>
      <c r="P50" s="2" t="s">
        <v>155</v>
      </c>
      <c r="Q50" s="2" t="s">
        <v>61</v>
      </c>
      <c r="R50" s="2" t="s">
        <v>249</v>
      </c>
    </row>
    <row r="51" spans="1:18" x14ac:dyDescent="0.25">
      <c r="A51" s="2">
        <f t="shared" si="0"/>
        <v>50</v>
      </c>
      <c r="B51" s="2" t="s">
        <v>66</v>
      </c>
      <c r="C51" s="3" t="s">
        <v>68</v>
      </c>
      <c r="D51" s="2" t="s">
        <v>65</v>
      </c>
      <c r="E51" s="2" t="s">
        <v>66</v>
      </c>
      <c r="F51" s="2" t="s">
        <v>66</v>
      </c>
      <c r="G51" s="6" t="s">
        <v>129</v>
      </c>
      <c r="H51" s="2" t="s">
        <v>49</v>
      </c>
      <c r="I51" s="2" t="s">
        <v>68</v>
      </c>
      <c r="J51" s="2" t="s">
        <v>65</v>
      </c>
      <c r="K51" s="2" t="s">
        <v>34</v>
      </c>
      <c r="L51" s="2" t="s">
        <v>180</v>
      </c>
      <c r="M51" s="2" t="s">
        <v>40</v>
      </c>
      <c r="N51" s="2" t="s">
        <v>181</v>
      </c>
      <c r="O51" s="2" t="s">
        <v>155</v>
      </c>
      <c r="P51" s="2" t="s">
        <v>39</v>
      </c>
      <c r="Q51" s="2" t="s">
        <v>58</v>
      </c>
      <c r="R51" s="2" t="s">
        <v>250</v>
      </c>
    </row>
  </sheetData>
  <conditionalFormatting sqref="B2:Q51">
    <cfRule type="expression" dxfId="4" priority="4">
      <formula>ISNA(VLOOKUP(B2,C$2:C$51,1,0))</formula>
    </cfRule>
  </conditionalFormatting>
  <conditionalFormatting sqref="C2:Z51">
    <cfRule type="expression" dxfId="3" priority="3">
      <formula>ISNA(VLOOKUP(C2,B$2:B$51,1,0))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341FD-D5C1-4D29-84DA-F91EA87E4D30}">
  <dimension ref="A1:F51"/>
  <sheetViews>
    <sheetView tabSelected="1" workbookViewId="0">
      <selection activeCell="E18" sqref="E18"/>
    </sheetView>
  </sheetViews>
  <sheetFormatPr defaultRowHeight="13.2" x14ac:dyDescent="0.25"/>
  <cols>
    <col min="2" max="2" width="29.21875" bestFit="1" customWidth="1"/>
    <col min="3" max="3" width="17.77734375" bestFit="1" customWidth="1"/>
    <col min="4" max="4" width="15.6640625" customWidth="1"/>
    <col min="5" max="5" width="15.44140625" customWidth="1"/>
  </cols>
  <sheetData>
    <row r="1" spans="1:6" s="11" customFormat="1" x14ac:dyDescent="0.25">
      <c r="A1" s="11" t="s">
        <v>169</v>
      </c>
      <c r="B1" s="12" t="s">
        <v>170</v>
      </c>
      <c r="C1" s="11" t="s">
        <v>125</v>
      </c>
      <c r="D1" s="11" t="s">
        <v>171</v>
      </c>
      <c r="E1" s="11" t="s">
        <v>172</v>
      </c>
    </row>
    <row r="2" spans="1:6" x14ac:dyDescent="0.25">
      <c r="A2">
        <f>Data!A2</f>
        <v>1</v>
      </c>
      <c r="B2" s="5" t="str" cm="1">
        <f t="array" ref="B2">INDEX(Data!$A$1:$ZZ$51,'Current Chart'!A2 + 1,COUNTA(Data!1:1) + 1)</f>
        <v>A Bar Song (Tipsy)</v>
      </c>
      <c r="C2" s="2">
        <f ca="1">VLOOKUP(B2,Songs!$A:$G,7,0)</f>
        <v>4</v>
      </c>
      <c r="D2">
        <f>VLOOKUP(A2,Rules!$A:$C,3,1)</f>
        <v>9999</v>
      </c>
    </row>
    <row r="3" spans="1:6" x14ac:dyDescent="0.25">
      <c r="A3">
        <f>Data!A3</f>
        <v>2</v>
      </c>
      <c r="B3" s="5" t="str" cm="1">
        <f t="array" ref="B3">INDEX(Data!$A$1:$ZZ$51,'Current Chart'!A3 + 1,COUNTA(Data!2:2))</f>
        <v>I Remember Everything</v>
      </c>
      <c r="C3" s="2">
        <f ca="1">VLOOKUP(B3,Songs!$A:$G,7,0)</f>
        <v>38</v>
      </c>
      <c r="D3">
        <f>VLOOKUP(A3,Rules!$A:$C,3,1)</f>
        <v>9999</v>
      </c>
    </row>
    <row r="4" spans="1:6" x14ac:dyDescent="0.25">
      <c r="A4">
        <f>Data!A4</f>
        <v>3</v>
      </c>
      <c r="B4" s="5" t="str" cm="1">
        <f t="array" ref="B4">INDEX(Data!$A$1:$ZZ$51,'Current Chart'!A4 + 1,COUNTA(Data!3:3))</f>
        <v>Austin</v>
      </c>
      <c r="C4" s="2">
        <f ca="1">VLOOKUP(B4,Songs!$A:$G,7,0)</f>
        <v>10</v>
      </c>
      <c r="D4">
        <f>VLOOKUP(A4,Rules!$A:$C,3,1)</f>
        <v>9999</v>
      </c>
    </row>
    <row r="5" spans="1:6" x14ac:dyDescent="0.25">
      <c r="A5">
        <f>Data!A5</f>
        <v>4</v>
      </c>
      <c r="B5" s="5" t="str" cm="1">
        <f t="array" ref="B5">INDEX(Data!$A$1:$ZZ$51,'Current Chart'!A5 + 1,COUNTA(Data!4:4))</f>
        <v>Texas Hold 'Em</v>
      </c>
      <c r="C5" s="2">
        <f ca="1">VLOOKUP(B5,Songs!$A:$G,7,0)</f>
        <v>13</v>
      </c>
      <c r="D5">
        <f ca="1">VLOOKUP(A5,Rules!$A:$C,3,1)-C5</f>
        <v>65</v>
      </c>
    </row>
    <row r="6" spans="1:6" x14ac:dyDescent="0.25">
      <c r="A6">
        <f>Data!A6</f>
        <v>5</v>
      </c>
      <c r="B6" s="5" t="str" cm="1">
        <f t="array" ref="B6">INDEX(Data!$A$1:$ZZ$51,'Current Chart'!A6 + 1,COUNTA(Data!5:5))</f>
        <v>Miles On It</v>
      </c>
      <c r="C6" s="2">
        <f ca="1">VLOOKUP(B6,Songs!$A:$G,7,0)</f>
        <v>1</v>
      </c>
      <c r="D6">
        <f ca="1">VLOOKUP(A6,Rules!$A:$C,3,1)-C6</f>
        <v>77</v>
      </c>
    </row>
    <row r="7" spans="1:6" x14ac:dyDescent="0.25">
      <c r="A7">
        <f>Data!A7</f>
        <v>6</v>
      </c>
      <c r="B7" s="5" t="str" cm="1">
        <f t="array" ref="B7">INDEX(Data!$A$1:$ZZ$51,'Current Chart'!A7 + 1,COUNTA(Data!6:6))</f>
        <v>Cowgirls</v>
      </c>
      <c r="C7" s="2">
        <f ca="1">VLOOKUP(B7,Songs!$A:$G,7,0)</f>
        <v>17</v>
      </c>
      <c r="D7">
        <f ca="1">VLOOKUP(A7,Rules!$A:$C,3,1)-C7</f>
        <v>35</v>
      </c>
    </row>
    <row r="8" spans="1:6" x14ac:dyDescent="0.25">
      <c r="A8">
        <f>Data!A8</f>
        <v>7</v>
      </c>
      <c r="B8" s="5" t="str" cm="1">
        <f t="array" ref="B8">INDEX(Data!$A$1:$ZZ$51,'Current Chart'!A8 + 1,COUNTA(Data!7:7))</f>
        <v>Where The Wild Things Are</v>
      </c>
      <c r="C8" s="2">
        <f ca="1">VLOOKUP(B8,Songs!$A:$G,7,0)</f>
        <v>30</v>
      </c>
      <c r="D8">
        <f ca="1">VLOOKUP(A8,Rules!$A:$C,3,1)-C8</f>
        <v>22</v>
      </c>
      <c r="E8" s="2"/>
      <c r="F8" s="8" t="s">
        <v>214</v>
      </c>
    </row>
    <row r="9" spans="1:6" x14ac:dyDescent="0.25">
      <c r="A9">
        <f>Data!A9</f>
        <v>8</v>
      </c>
      <c r="B9" s="5" t="str" cm="1">
        <f t="array" ref="B9">INDEX(Data!$A$1:$ZZ$51,'Current Chart'!A9 + 1,COUNTA(Data!8:8))</f>
        <v>Where It Ends</v>
      </c>
      <c r="C9" s="2">
        <f ca="1">VLOOKUP(B9,Songs!$A:$G,7,0)</f>
        <v>11</v>
      </c>
      <c r="D9">
        <f ca="1">VLOOKUP(A9,Rules!$A:$C,3,1)-C9</f>
        <v>41</v>
      </c>
    </row>
    <row r="10" spans="1:6" x14ac:dyDescent="0.25">
      <c r="A10">
        <f>Data!A10</f>
        <v>9</v>
      </c>
      <c r="B10" s="5" t="str" cm="1">
        <f t="array" ref="B10">INDEX(Data!$A$1:$ZZ$51,'Current Chart'!A10 + 1,COUNTA(Data!9:9))</f>
        <v>Wild Ones</v>
      </c>
      <c r="C10" s="2">
        <f ca="1">VLOOKUP(B10,Songs!$A:$G,7,0)</f>
        <v>32</v>
      </c>
      <c r="D10">
        <f ca="1">VLOOKUP(A10,Rules!$A:$C,3,1)-C10</f>
        <v>20</v>
      </c>
    </row>
    <row r="11" spans="1:6" x14ac:dyDescent="0.25">
      <c r="A11">
        <f>Data!A11</f>
        <v>10</v>
      </c>
      <c r="B11" s="5" t="str" cm="1">
        <f t="array" ref="B11">INDEX(Data!$A$1:$ZZ$51,'Current Chart'!A11 + 1,COUNTA(Data!10:10))</f>
        <v>Wildflowers And Wild Horses</v>
      </c>
      <c r="C11" s="2">
        <f ca="1">VLOOKUP(B11,Songs!$A:$G,7,0)</f>
        <v>26</v>
      </c>
      <c r="D11">
        <f ca="1">VLOOKUP(A11,Rules!$A:$C,3,1)-C11</f>
        <v>26</v>
      </c>
    </row>
    <row r="12" spans="1:6" x14ac:dyDescent="0.25">
      <c r="A12">
        <f>Data!A12</f>
        <v>11</v>
      </c>
      <c r="B12" s="5" t="str" cm="1">
        <f t="array" ref="B12">INDEX(Data!$A$1:$ZZ$51,'Current Chart'!A12 + 1,COUNTA(Data!11:11))</f>
        <v>Bulletproof</v>
      </c>
      <c r="C12" s="2">
        <f ca="1">VLOOKUP(B12,Songs!$A:$G,7,0)</f>
        <v>13</v>
      </c>
      <c r="D12">
        <f ca="1">VLOOKUP(A12,Rules!$A:$C,3,1)-C12</f>
        <v>13</v>
      </c>
    </row>
    <row r="13" spans="1:6" x14ac:dyDescent="0.25">
      <c r="A13">
        <f>Data!A13</f>
        <v>12</v>
      </c>
      <c r="B13" s="5" t="str" cm="1">
        <f t="array" ref="B13">INDEX(Data!$A$1:$ZZ$51,'Current Chart'!A13 + 1,COUNTA(Data!12:12))</f>
        <v>Back Then Right Now</v>
      </c>
      <c r="C13" s="2">
        <f ca="1">VLOOKUP(B13,Songs!$A:$G,7,0)</f>
        <v>19</v>
      </c>
      <c r="D13">
        <f ca="1">VLOOKUP(A13,Rules!$A:$C,3,1)-C13</f>
        <v>7</v>
      </c>
    </row>
    <row r="14" spans="1:6" x14ac:dyDescent="0.25">
      <c r="A14">
        <f>Data!A14</f>
        <v>13</v>
      </c>
      <c r="B14" s="5" t="str" cm="1">
        <f t="array" ref="B14">INDEX(Data!$A$1:$ZZ$51,'Current Chart'!A14 + 1,COUNTA(Data!13:13))</f>
        <v>Tucson Too Late</v>
      </c>
      <c r="C14" s="2">
        <f ca="1">VLOOKUP(B14,Songs!$A:$G,7,0)</f>
        <v>25</v>
      </c>
      <c r="D14">
        <f ca="1">VLOOKUP(A14,Rules!$A:$C,3,1)-C14</f>
        <v>1</v>
      </c>
    </row>
    <row r="15" spans="1:6" x14ac:dyDescent="0.25">
      <c r="A15">
        <f>Data!A15</f>
        <v>14</v>
      </c>
      <c r="B15" s="5" t="str" cm="1">
        <f t="array" ref="B15">INDEX(Data!$A$1:$ZZ$51,'Current Chart'!A15 + 1,COUNTA(Data!14:14))</f>
        <v>Halfway To Hell</v>
      </c>
      <c r="C15" s="2">
        <f ca="1">VLOOKUP(B15,Songs!$A:$G,7,0)</f>
        <v>19</v>
      </c>
      <c r="D15">
        <f ca="1">VLOOKUP(A15,Rules!$A:$C,3,1)-C15</f>
        <v>7</v>
      </c>
    </row>
    <row r="16" spans="1:6" x14ac:dyDescent="0.25">
      <c r="A16">
        <f>Data!A16</f>
        <v>15</v>
      </c>
      <c r="B16" s="5" t="str" cm="1">
        <f t="array" ref="B16">INDEX(Data!$A$1:$ZZ$51,'Current Chart'!A16 + 1,COUNTA(Data!15:15))</f>
        <v>Wind Up Missin' You</v>
      </c>
      <c r="C16" s="2">
        <f ca="1">VLOOKUP(B16,Songs!$A:$G,7,0)</f>
        <v>6</v>
      </c>
      <c r="D16">
        <f ca="1">VLOOKUP(A16,Rules!$A:$C,3,1)-C16</f>
        <v>20</v>
      </c>
    </row>
    <row r="17" spans="1:4" x14ac:dyDescent="0.25">
      <c r="A17">
        <f>Data!A17</f>
        <v>16</v>
      </c>
      <c r="B17" s="5" t="str" cm="1">
        <f t="array" ref="B17">INDEX(Data!$A$1:$ZZ$51,'Current Chart'!A17 + 1,COUNTA(Data!16:16))</f>
        <v>We Ride</v>
      </c>
      <c r="C17" s="2">
        <f ca="1">VLOOKUP(B17,Songs!$A:$G,7,0)</f>
        <v>43</v>
      </c>
      <c r="D17">
        <f ca="1">VLOOKUP(A17,Rules!$A:$C,3,1)-C17</f>
        <v>-17</v>
      </c>
    </row>
    <row r="18" spans="1:4" x14ac:dyDescent="0.25">
      <c r="A18">
        <f>Data!A18</f>
        <v>17</v>
      </c>
      <c r="B18" s="5" t="str" cm="1">
        <f t="array" ref="B18">INDEX(Data!$A$1:$ZZ$51,'Current Chart'!A18 + 1,COUNTA(Data!17:17))</f>
        <v>Dirt Cheap</v>
      </c>
      <c r="C18" s="2">
        <f ca="1">VLOOKUP(B18,Songs!$A:$G,7,0)</f>
        <v>28</v>
      </c>
      <c r="D18">
        <f ca="1">VLOOKUP(A18,Rules!$A:$C,3,1)-C18</f>
        <v>-2</v>
      </c>
    </row>
    <row r="19" spans="1:4" x14ac:dyDescent="0.25">
      <c r="A19">
        <f>Data!A19</f>
        <v>18</v>
      </c>
      <c r="B19" s="5" t="str" cm="1">
        <f t="array" ref="B19">INDEX(Data!$A$1:$ZZ$51,'Current Chart'!A19 + 1,COUNTA(Data!18:18))</f>
        <v>Wine Into Whiskey</v>
      </c>
      <c r="C19" s="2">
        <f ca="1">VLOOKUP(B19,Songs!$A:$G,7,0)</f>
        <v>11</v>
      </c>
      <c r="D19">
        <f ca="1">VLOOKUP(A19,Rules!$A:$C,3,1)-C19</f>
        <v>15</v>
      </c>
    </row>
    <row r="20" spans="1:4" x14ac:dyDescent="0.25">
      <c r="A20">
        <f>Data!A20</f>
        <v>19</v>
      </c>
      <c r="B20" s="5" t="str" cm="1">
        <f t="array" ref="B20">INDEX(Data!$A$1:$ZZ$51,'Current Chart'!A20 + 1,COUNTA(Data!19:19))</f>
        <v>II Most Wanted</v>
      </c>
      <c r="C20" s="2">
        <f ca="1">VLOOKUP(B20,Songs!$A:$G,7,0)</f>
        <v>6</v>
      </c>
      <c r="D20">
        <f ca="1">VLOOKUP(A20,Rules!$A:$C,3,1)-C20</f>
        <v>20</v>
      </c>
    </row>
    <row r="21" spans="1:4" x14ac:dyDescent="0.25">
      <c r="A21">
        <f>Data!A21</f>
        <v>20</v>
      </c>
      <c r="B21" s="5" t="str" cm="1">
        <f t="array" ref="B21">INDEX(Data!$A$1:$ZZ$51,'Current Chart'!A21 + 1,COUNTA(Data!20:20))</f>
        <v>Spin You Around (1/24)</v>
      </c>
      <c r="C21" s="2">
        <f ca="1">VLOOKUP(B21,Songs!$A:$G,7,0)</f>
        <v>15</v>
      </c>
      <c r="D21">
        <f ca="1">VLOOKUP(A21,Rules!$A:$C,3,1)-C21</f>
        <v>11</v>
      </c>
    </row>
    <row r="22" spans="1:4" x14ac:dyDescent="0.25">
      <c r="A22">
        <f>Data!A22</f>
        <v>21</v>
      </c>
      <c r="B22" s="5" t="str" cm="1">
        <f t="array" ref="B22">INDEX(Data!$A$1:$ZZ$51,'Current Chart'!A22 + 1,COUNTA(Data!21:21))</f>
        <v>Take Her Home</v>
      </c>
      <c r="C22" s="2">
        <f ca="1">VLOOKUP(B22,Songs!$A:$G,7,0)</f>
        <v>13</v>
      </c>
      <c r="D22">
        <f ca="1">VLOOKUP(A22,Rules!$A:$C,3,1)-C22</f>
        <v>13</v>
      </c>
    </row>
    <row r="23" spans="1:4" x14ac:dyDescent="0.25">
      <c r="A23">
        <f>Data!A23</f>
        <v>22</v>
      </c>
      <c r="B23" s="5" t="str" cm="1">
        <f t="array" ref="B23">INDEX(Data!$A$1:$ZZ$51,'Current Chart'!A23 + 1,COUNTA(Data!22:22))</f>
        <v>Wondering Why</v>
      </c>
      <c r="C23" s="2">
        <f ca="1">VLOOKUP(B23,Songs!$A:$G,7,0)</f>
        <v>24</v>
      </c>
      <c r="D23">
        <f ca="1">VLOOKUP(A23,Rules!$A:$C,3,1)-C23</f>
        <v>2</v>
      </c>
    </row>
    <row r="24" spans="1:4" x14ac:dyDescent="0.25">
      <c r="A24">
        <f>Data!A24</f>
        <v>23</v>
      </c>
      <c r="B24" s="5" t="str" cm="1">
        <f t="array" ref="B24">INDEX(Data!$A$1:$ZZ$51,'Current Chart'!A24 + 1,COUNTA(Data!23:23))</f>
        <v>I Think I'm In Love With You</v>
      </c>
      <c r="C24" s="2">
        <f ca="1">VLOOKUP(B24,Songs!$A:$G,7,0)</f>
        <v>26</v>
      </c>
      <c r="D24">
        <f ca="1">VLOOKUP(A24,Rules!$A:$C,3,1)-C24</f>
        <v>0</v>
      </c>
    </row>
    <row r="25" spans="1:4" x14ac:dyDescent="0.25">
      <c r="A25">
        <f>Data!A25</f>
        <v>24</v>
      </c>
      <c r="B25" s="5" t="str" cm="1">
        <f t="array" ref="B25">INDEX(Data!$A$1:$ZZ$51,'Current Chart'!A25 + 1,COUNTA(Data!24:24))</f>
        <v>Your Place</v>
      </c>
      <c r="C25" s="2">
        <f ca="1">VLOOKUP(B25,Songs!$A:$G,7,0)</f>
        <v>19</v>
      </c>
      <c r="D25">
        <f ca="1">VLOOKUP(A25,Rules!$A:$C,3,1)-C25</f>
        <v>7</v>
      </c>
    </row>
    <row r="26" spans="1:4" x14ac:dyDescent="0.25">
      <c r="A26">
        <f>Data!A26</f>
        <v>25</v>
      </c>
      <c r="B26" s="5" t="str" cm="1">
        <f t="array" ref="B26">INDEX(Data!$A$1:$ZZ$51,'Current Chart'!A26 + 1,COUNTA(Data!25:25))</f>
        <v>We Don't Fight Anymore</v>
      </c>
      <c r="C26" s="2">
        <f ca="1">VLOOKUP(B26,Songs!$A:$G,7,0)</f>
        <v>39</v>
      </c>
      <c r="D26">
        <f ca="1">VLOOKUP(A26,Rules!$A:$C,3,1)-C26</f>
        <v>-13</v>
      </c>
    </row>
    <row r="27" spans="1:4" x14ac:dyDescent="0.25">
      <c r="A27">
        <f>Data!A27</f>
        <v>26</v>
      </c>
      <c r="B27" s="5" t="str" cm="1">
        <f t="array" ref="B27">INDEX(Data!$A$1:$ZZ$51,'Current Chart'!A27 + 1,COUNTA(Data!26:26))</f>
        <v>Indifferent</v>
      </c>
      <c r="C27" s="2">
        <f ca="1">VLOOKUP(B27,Songs!$A:$G,7,0)</f>
        <v>1</v>
      </c>
      <c r="D27">
        <f ca="1">VLOOKUP(A27,Rules!$A:$C,3,1)-C27</f>
        <v>19</v>
      </c>
    </row>
    <row r="28" spans="1:4" x14ac:dyDescent="0.25">
      <c r="A28">
        <f>Data!A28</f>
        <v>27</v>
      </c>
      <c r="B28" s="5" t="str" cm="1">
        <f t="array" ref="B28">INDEX(Data!$A$1:$ZZ$51,'Current Chart'!A28 + 1,COUNTA(Data!27:27))</f>
        <v>Let Your Boys Be Country</v>
      </c>
      <c r="C28" s="2">
        <f ca="1">VLOOKUP(B28,Songs!$A:$G,7,0)</f>
        <v>18</v>
      </c>
      <c r="D28">
        <f ca="1">VLOOKUP(A28,Rules!$A:$C,3,1)-C28</f>
        <v>2</v>
      </c>
    </row>
    <row r="29" spans="1:4" x14ac:dyDescent="0.25">
      <c r="A29">
        <f>Data!A29</f>
        <v>28</v>
      </c>
      <c r="B29" s="5" t="str" cm="1">
        <f t="array" ref="B29">INDEX(Data!$A$1:$ZZ$51,'Current Chart'!A29 + 1,COUNTA(Data!28:28))</f>
        <v>Holy Smokes</v>
      </c>
      <c r="C29" s="2">
        <f ca="1">VLOOKUP(B29,Songs!$A:$G,7,0)</f>
        <v>11</v>
      </c>
      <c r="D29">
        <f ca="1">VLOOKUP(A29,Rules!$A:$C,3,1)-C29</f>
        <v>9</v>
      </c>
    </row>
    <row r="30" spans="1:4" x14ac:dyDescent="0.25">
      <c r="A30">
        <f>Data!A30</f>
        <v>29</v>
      </c>
      <c r="B30" s="5" t="str" cm="1">
        <f t="array" ref="B30">INDEX(Data!$A$1:$ZZ$51,'Current Chart'!A30 + 1,COUNTA(Data!29:29))</f>
        <v>Love You Again</v>
      </c>
      <c r="C30" s="2">
        <f ca="1">VLOOKUP(B30,Songs!$A:$G,7,0)</f>
        <v>29</v>
      </c>
      <c r="D30">
        <f ca="1">VLOOKUP(A30,Rules!$A:$C,3,1)-C30</f>
        <v>-9</v>
      </c>
    </row>
    <row r="31" spans="1:4" x14ac:dyDescent="0.25">
      <c r="A31">
        <f>Data!A31</f>
        <v>30</v>
      </c>
      <c r="B31" s="5" t="str" cm="1">
        <f t="array" ref="B31">INDEX(Data!$A$1:$ZZ$51,'Current Chart'!A31 + 1,COUNTA(Data!30:30))</f>
        <v>Smoke &amp; A Light</v>
      </c>
      <c r="C31" s="2">
        <f ca="1">VLOOKUP(B31,Songs!$A:$G,7,0)</f>
        <v>9</v>
      </c>
      <c r="D31">
        <f ca="1">VLOOKUP(A31,Rules!$A:$C,3,1)-C31</f>
        <v>11</v>
      </c>
    </row>
    <row r="32" spans="1:4" x14ac:dyDescent="0.25">
      <c r="A32">
        <f>Data!A32</f>
        <v>31</v>
      </c>
      <c r="B32" s="5" t="str" cm="1">
        <f t="array" ref="B32">INDEX(Data!$A$1:$ZZ$51,'Current Chart'!A32 + 1,COUNTA(Data!31:31))</f>
        <v>Wranglers</v>
      </c>
      <c r="C32" s="2">
        <f ca="1">VLOOKUP(B32,Songs!$A:$G,7,0)</f>
        <v>1</v>
      </c>
      <c r="D32">
        <f ca="1">VLOOKUP(A32,Rules!$A:$C,3,1)-C32</f>
        <v>19</v>
      </c>
    </row>
    <row r="33" spans="1:4" x14ac:dyDescent="0.25">
      <c r="A33">
        <f>Data!A33</f>
        <v>32</v>
      </c>
      <c r="B33" s="5" t="str" cm="1">
        <f t="array" ref="B33">INDEX(Data!$A$1:$ZZ$51,'Current Chart'!A33 + 1,COUNTA(Data!32:32))</f>
        <v>I'm Not Pretty</v>
      </c>
      <c r="C33" s="2">
        <f ca="1">VLOOKUP(B33,Songs!$A:$G,7,0)</f>
        <v>37</v>
      </c>
      <c r="D33">
        <f ca="1">VLOOKUP(A33,Rules!$A:$C,3,1)-C33</f>
        <v>-17</v>
      </c>
    </row>
    <row r="34" spans="1:4" x14ac:dyDescent="0.25">
      <c r="A34">
        <f>Data!A34</f>
        <v>33</v>
      </c>
      <c r="B34" s="5" t="str" cm="1">
        <f t="array" ref="B34">INDEX(Data!$A$1:$ZZ$51,'Current Chart'!A34 + 1,COUNTA(Data!33:33))</f>
        <v>Where That Came From</v>
      </c>
      <c r="C34" s="2">
        <f ca="1">VLOOKUP(B34,Songs!$A:$G,7,0)</f>
        <v>1</v>
      </c>
      <c r="D34">
        <f ca="1">VLOOKUP(A34,Rules!$A:$C,3,1)-C34</f>
        <v>19</v>
      </c>
    </row>
    <row r="35" spans="1:4" x14ac:dyDescent="0.25">
      <c r="A35">
        <f>Data!A35</f>
        <v>34</v>
      </c>
      <c r="B35" s="5" t="str" cm="1">
        <f t="array" ref="B35">INDEX(Data!$A$1:$ZZ$51,'Current Chart'!A35 + 1,COUNTA(Data!34:34))</f>
        <v>Devil You Know</v>
      </c>
      <c r="C35" s="2">
        <f ca="1">VLOOKUP(B35,Songs!$A:$G,7,0)</f>
        <v>4</v>
      </c>
      <c r="D35">
        <f ca="1">VLOOKUP(A35,Rules!$A:$C,3,1)-C35</f>
        <v>16</v>
      </c>
    </row>
    <row r="36" spans="1:4" x14ac:dyDescent="0.25">
      <c r="A36">
        <f>Data!A36</f>
        <v>35</v>
      </c>
      <c r="B36" s="5" t="str" cm="1">
        <f t="array" ref="B36">INDEX(Data!$A$1:$ZZ$51,'Current Chart'!A36 + 1,COUNTA(Data!35:35))</f>
        <v>Young Love &amp; Saturday Nights</v>
      </c>
      <c r="C36" s="2">
        <f ca="1">VLOOKUP(B36,Songs!$A:$G,7,0)</f>
        <v>6</v>
      </c>
      <c r="D36">
        <f ca="1">VLOOKUP(A36,Rules!$A:$C,3,1)-C36</f>
        <v>14</v>
      </c>
    </row>
    <row r="37" spans="1:4" x14ac:dyDescent="0.25">
      <c r="A37">
        <f>Data!A37</f>
        <v>36</v>
      </c>
      <c r="B37" s="5" t="str" cm="1">
        <f t="array" ref="B37">INDEX(Data!$A$1:$ZZ$51,'Current Chart'!A37 + 1,COUNTA(Data!36:36))</f>
        <v>Chevrolet</v>
      </c>
      <c r="C37" s="2">
        <f ca="1">VLOOKUP(B37,Songs!$A:$G,7,0)</f>
        <v>9</v>
      </c>
      <c r="D37">
        <f ca="1">VLOOKUP(A37,Rules!$A:$C,3,1)-C37</f>
        <v>11</v>
      </c>
    </row>
    <row r="38" spans="1:4" x14ac:dyDescent="0.25">
      <c r="A38">
        <f>Data!A38</f>
        <v>37</v>
      </c>
      <c r="B38" s="5" t="str" cm="1">
        <f t="array" ref="B38">INDEX(Data!$A$1:$ZZ$51,'Current Chart'!A38 + 1,COUNTA(Data!37:37))</f>
        <v>No Caller ID</v>
      </c>
      <c r="C38" s="2">
        <f ca="1">VLOOKUP(B38,Songs!$A:$G,7,0)</f>
        <v>16</v>
      </c>
      <c r="D38">
        <f ca="1">VLOOKUP(A38,Rules!$A:$C,3,1)-C38</f>
        <v>4</v>
      </c>
    </row>
    <row r="39" spans="1:4" x14ac:dyDescent="0.25">
      <c r="A39">
        <f>Data!A39</f>
        <v>38</v>
      </c>
      <c r="B39" s="5" t="str" cm="1">
        <f t="array" ref="B39">INDEX(Data!$A$1:$ZZ$51,'Current Chart'!A39 + 1,COUNTA(Data!38:38))</f>
        <v>Nine Ball</v>
      </c>
      <c r="C39" s="2">
        <f ca="1">VLOOKUP(B39,Songs!$A:$G,7,0)</f>
        <v>9</v>
      </c>
      <c r="D39">
        <f ca="1">VLOOKUP(A39,Rules!$A:$C,3,1)-C39</f>
        <v>11</v>
      </c>
    </row>
    <row r="40" spans="1:4" x14ac:dyDescent="0.25">
      <c r="A40">
        <f>Data!A40</f>
        <v>39</v>
      </c>
      <c r="B40" s="5" t="str" cm="1">
        <f t="array" ref="B40">INDEX(Data!$A$1:$ZZ$51,'Current Chart'!A40 + 1,COUNTA(Data!39:39))</f>
        <v>In Your Love</v>
      </c>
      <c r="C40" s="2">
        <f ca="1">VLOOKUP(B40,Songs!$A:$G,7,0)</f>
        <v>41</v>
      </c>
      <c r="D40">
        <f ca="1">VLOOKUP(A40,Rules!$A:$C,3,1)-C40</f>
        <v>-21</v>
      </c>
    </row>
    <row r="41" spans="1:4" x14ac:dyDescent="0.25">
      <c r="A41">
        <f>Data!A41</f>
        <v>40</v>
      </c>
      <c r="B41" s="5" t="str" cm="1">
        <f t="array" ref="B41">INDEX(Data!$A$1:$ZZ$51,'Current Chart'!A41 + 1,COUNTA(Data!40:40))</f>
        <v>Boys Back Home</v>
      </c>
      <c r="C41" s="2">
        <f ca="1">VLOOKUP(B41,Songs!$A:$G,7,0)</f>
        <v>20</v>
      </c>
      <c r="D41">
        <f ca="1">VLOOKUP(A41,Rules!$A:$C,3,1)-C41</f>
        <v>0</v>
      </c>
    </row>
    <row r="42" spans="1:4" x14ac:dyDescent="0.25">
      <c r="A42">
        <f>Data!A42</f>
        <v>41</v>
      </c>
      <c r="B42" s="5" t="str" cm="1">
        <f t="array" ref="B42">INDEX(Data!$A$1:$ZZ$51,'Current Chart'!A42 + 1,COUNTA(Data!41:41))</f>
        <v>Hangin' On</v>
      </c>
      <c r="C42" s="2">
        <f ca="1">VLOOKUP(B42,Songs!$A:$G,7,0)</f>
        <v>4</v>
      </c>
      <c r="D42">
        <f ca="1">VLOOKUP(A42,Rules!$A:$C,3,1)-C42</f>
        <v>16</v>
      </c>
    </row>
    <row r="43" spans="1:4" x14ac:dyDescent="0.25">
      <c r="A43">
        <f>Data!A43</f>
        <v>42</v>
      </c>
      <c r="B43" s="5" t="str" cm="1">
        <f t="array" ref="B43">INDEX(Data!$A$1:$ZZ$51,'Current Chart'!A43 + 1,COUNTA(Data!42:42))</f>
        <v>What He'll Never Have</v>
      </c>
      <c r="C43" s="2">
        <f ca="1">VLOOKUP(B43,Songs!$A:$G,7,0)</f>
        <v>5</v>
      </c>
      <c r="D43">
        <f ca="1">VLOOKUP(A43,Rules!$A:$C,3,1)-C43</f>
        <v>15</v>
      </c>
    </row>
    <row r="44" spans="1:4" x14ac:dyDescent="0.25">
      <c r="A44">
        <f>Data!A44</f>
        <v>43</v>
      </c>
      <c r="B44" s="5" t="str" cm="1">
        <f t="array" ref="B44">INDEX(Data!$A$1:$ZZ$51,'Current Chart'!A44 + 1,COUNTA(Data!43:43))</f>
        <v>Cab In A Solo</v>
      </c>
      <c r="C44" s="2">
        <f ca="1">VLOOKUP(B44,Songs!$A:$G,7,0)</f>
        <v>18</v>
      </c>
      <c r="D44">
        <f ca="1">VLOOKUP(A44,Rules!$A:$C,3,1)-C44</f>
        <v>2</v>
      </c>
    </row>
    <row r="45" spans="1:4" x14ac:dyDescent="0.25">
      <c r="A45">
        <f>Data!A45</f>
        <v>44</v>
      </c>
      <c r="B45" s="5" t="str" cm="1">
        <f t="array" ref="B45">INDEX(Data!$A$1:$ZZ$51,'Current Chart'!A45 + 1,COUNTA(Data!44:44))</f>
        <v>Can't Break Up Now</v>
      </c>
      <c r="C45" s="2">
        <f ca="1">VLOOKUP(B45,Songs!$A:$G,7,0)</f>
        <v>14</v>
      </c>
      <c r="D45">
        <f ca="1">VLOOKUP(A45,Rules!$A:$C,3,1)-C45</f>
        <v>6</v>
      </c>
    </row>
    <row r="46" spans="1:4" x14ac:dyDescent="0.25">
      <c r="A46">
        <f>Data!A46</f>
        <v>45</v>
      </c>
      <c r="B46" s="5" t="str" cm="1">
        <f t="array" ref="B46">INDEX(Data!$A$1:$ZZ$51,'Current Chart'!A46 + 1,COUNTA(Data!45:45))</f>
        <v>Jolene</v>
      </c>
      <c r="C46" s="2">
        <f ca="1">VLOOKUP(B46,Songs!$A:$G,7,0)</f>
        <v>6</v>
      </c>
      <c r="D46">
        <f ca="1">VLOOKUP(A46,Rules!$A:$C,3,1)-C46</f>
        <v>14</v>
      </c>
    </row>
    <row r="47" spans="1:4" x14ac:dyDescent="0.25">
      <c r="A47">
        <f>Data!A47</f>
        <v>46</v>
      </c>
      <c r="B47" s="5" t="str" cm="1">
        <f t="array" ref="B47">INDEX(Data!$A$1:$ZZ$51,'Current Chart'!A47 + 1,COUNTA(Data!46:46))</f>
        <v>I Had Some Help</v>
      </c>
      <c r="C47" s="2">
        <f ca="1">VLOOKUP(B47,Songs!$A:$G,7,0)</f>
        <v>1</v>
      </c>
      <c r="D47">
        <f ca="1">VLOOKUP(A47,Rules!$A:$C,3,1)-C47</f>
        <v>19</v>
      </c>
    </row>
    <row r="48" spans="1:4" x14ac:dyDescent="0.25">
      <c r="A48">
        <f>Data!A48</f>
        <v>47</v>
      </c>
      <c r="B48" s="5" t="str" cm="1">
        <f t="array" ref="B48">INDEX(Data!$A$1:$ZZ$51,'Current Chart'!A48 + 1,COUNTA(Data!47:47))</f>
        <v>Worst Way</v>
      </c>
      <c r="C48" s="2">
        <f ca="1">VLOOKUP(B48,Songs!$A:$G,7,0)</f>
        <v>4</v>
      </c>
      <c r="D48">
        <f ca="1">VLOOKUP(A48,Rules!$A:$C,3,1)-C48</f>
        <v>16</v>
      </c>
    </row>
    <row r="49" spans="1:4" x14ac:dyDescent="0.25">
      <c r="A49">
        <f>Data!A49</f>
        <v>48</v>
      </c>
      <c r="B49" s="5" t="str" cm="1">
        <f t="array" ref="B49">INDEX(Data!$A$1:$ZZ$51,'Current Chart'!A49 + 1,COUNTA(Data!48:48))</f>
        <v>I'm Gonna Miss Her</v>
      </c>
      <c r="C49" s="2">
        <f ca="1">VLOOKUP(B49,Songs!$A:$G,7,0)</f>
        <v>2</v>
      </c>
      <c r="D49">
        <f ca="1">VLOOKUP(A49,Rules!$A:$C,3,1)-C49</f>
        <v>18</v>
      </c>
    </row>
    <row r="50" spans="1:4" x14ac:dyDescent="0.25">
      <c r="A50">
        <f>Data!A50</f>
        <v>49</v>
      </c>
      <c r="B50" s="5" t="str" cm="1">
        <f t="array" ref="B50">INDEX(Data!$A$1:$ZZ$51,'Current Chart'!A50 + 1,COUNTA(Data!49:49))</f>
        <v>Life With You</v>
      </c>
      <c r="C50" s="2">
        <f ca="1">VLOOKUP(B50,Songs!$A:$G,7,0)</f>
        <v>1</v>
      </c>
      <c r="D50">
        <f ca="1">VLOOKUP(A50,Rules!$A:$C,3,1)-C50</f>
        <v>19</v>
      </c>
    </row>
    <row r="51" spans="1:4" x14ac:dyDescent="0.25">
      <c r="A51">
        <f>Data!A51</f>
        <v>50</v>
      </c>
      <c r="B51" s="5" t="str" cm="1">
        <f t="array" ref="B51">INDEX(Data!$A$1:$ZZ$51,'Current Chart'!A51 + 1,COUNTA(Data!50:50))</f>
        <v>Should've Been A Cowboy (2024)</v>
      </c>
      <c r="C51" s="2">
        <f ca="1">VLOOKUP(B51,Songs!$A:$G,7,0)</f>
        <v>1</v>
      </c>
      <c r="D51">
        <f ca="1">VLOOKUP(A51,Rules!$A:$C,3,1)-C51</f>
        <v>19</v>
      </c>
    </row>
  </sheetData>
  <conditionalFormatting sqref="C2:C5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G14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78" sqref="B78"/>
    </sheetView>
  </sheetViews>
  <sheetFormatPr defaultColWidth="12.6640625" defaultRowHeight="15.75" customHeight="1" x14ac:dyDescent="0.25"/>
  <cols>
    <col min="1" max="1" width="32.44140625" bestFit="1" customWidth="1"/>
    <col min="2" max="3" width="19" customWidth="1"/>
    <col min="4" max="4" width="21.44140625" bestFit="1" customWidth="1"/>
    <col min="5" max="5" width="17.5546875" customWidth="1"/>
    <col min="6" max="6" width="19.21875" customWidth="1"/>
    <col min="7" max="7" width="15.21875" bestFit="1" customWidth="1"/>
    <col min="8" max="9" width="18" customWidth="1"/>
    <col min="10" max="10" width="12.109375" bestFit="1" customWidth="1"/>
  </cols>
  <sheetData>
    <row r="1" spans="1:33" ht="13.2" x14ac:dyDescent="0.25">
      <c r="A1" s="3" t="s">
        <v>69</v>
      </c>
      <c r="B1" s="3" t="s">
        <v>71</v>
      </c>
      <c r="C1" s="3" t="s">
        <v>72</v>
      </c>
      <c r="D1" s="3" t="s">
        <v>73</v>
      </c>
      <c r="E1" s="3" t="s">
        <v>194</v>
      </c>
      <c r="F1" s="3" t="s">
        <v>70</v>
      </c>
      <c r="G1" s="3" t="s">
        <v>158</v>
      </c>
      <c r="H1" s="9" t="s">
        <v>240</v>
      </c>
      <c r="I1" s="9" t="s">
        <v>241</v>
      </c>
      <c r="J1" s="9" t="s">
        <v>242</v>
      </c>
      <c r="K1" s="9">
        <f>Data!B1</f>
        <v>45318</v>
      </c>
      <c r="L1" s="9">
        <f>Data!C1</f>
        <v>45325</v>
      </c>
      <c r="M1" s="9">
        <f>Data!D1</f>
        <v>45332</v>
      </c>
      <c r="N1" s="9">
        <f>Data!E1</f>
        <v>45339</v>
      </c>
      <c r="O1" s="9">
        <f>Data!F1</f>
        <v>45343</v>
      </c>
      <c r="P1" s="9">
        <f>Data!G1</f>
        <v>45349</v>
      </c>
      <c r="Q1" s="9">
        <f>Data!H1</f>
        <v>45356</v>
      </c>
      <c r="R1" s="9">
        <f>Data!I1</f>
        <v>45364</v>
      </c>
      <c r="S1" s="9">
        <f>Data!J1</f>
        <v>45370</v>
      </c>
      <c r="T1" s="9">
        <f>Data!K1</f>
        <v>45377</v>
      </c>
      <c r="U1" s="9">
        <f>Data!L1</f>
        <v>45384</v>
      </c>
      <c r="V1" s="9">
        <f>Data!M1</f>
        <v>45391</v>
      </c>
      <c r="W1" s="9">
        <f>Data!N1</f>
        <v>45398</v>
      </c>
      <c r="X1" s="9">
        <f>Data!O1</f>
        <v>45408</v>
      </c>
      <c r="Y1" s="9">
        <f>Data!P1</f>
        <v>45412</v>
      </c>
      <c r="Z1" s="9">
        <f>Data!Q1</f>
        <v>45420</v>
      </c>
      <c r="AA1" s="9">
        <f>Data!R1</f>
        <v>45427</v>
      </c>
      <c r="AB1" s="9">
        <f>Data!S1</f>
        <v>0</v>
      </c>
      <c r="AC1" s="9">
        <f>Data!T1</f>
        <v>0</v>
      </c>
      <c r="AD1" s="9">
        <f>Data!U1</f>
        <v>0</v>
      </c>
      <c r="AE1" s="3"/>
      <c r="AF1" s="3"/>
      <c r="AG1" s="3"/>
    </row>
    <row r="2" spans="1:33" ht="13.2" x14ac:dyDescent="0.25">
      <c r="A2" s="2" t="s">
        <v>0</v>
      </c>
      <c r="B2" s="2" t="s">
        <v>74</v>
      </c>
      <c r="C2" s="2"/>
      <c r="D2" s="2" t="s">
        <v>75</v>
      </c>
      <c r="E2" s="2"/>
      <c r="F2" s="2">
        <v>21</v>
      </c>
      <c r="G2" s="2">
        <f ca="1">COUNTIF(INDIRECT(_xlfn.CONCAT("Data!$B$2:", ADDRESS(51,COUNTA(Data!$1:$1)+1,1,1))), Songs!A2) + F2</f>
        <v>38</v>
      </c>
      <c r="H2" s="8"/>
      <c r="I2" s="8"/>
      <c r="J2" s="8" cm="1">
        <f t="array" ref="J2">51 - MAX(IF(NOT(ISNA(K2:BB2)),K2:BB2))</f>
        <v>1</v>
      </c>
      <c r="K2">
        <f>_xlfn.IFNA(51-MATCH(Songs!$A2,Data!B$2:B$51,0),NA())</f>
        <v>50</v>
      </c>
      <c r="L2">
        <f>_xlfn.IFNA(51-MATCH(Songs!$A2,Data!C$2:C$51,0),NA())</f>
        <v>50</v>
      </c>
      <c r="M2">
        <f>_xlfn.IFNA(51-MATCH(Songs!$A2,Data!D$2:D$51,0),NA())</f>
        <v>50</v>
      </c>
      <c r="N2">
        <f>_xlfn.IFNA(51-MATCH(Songs!$A2,Data!E$2:E$51,0),NA())</f>
        <v>50</v>
      </c>
      <c r="O2">
        <f>_xlfn.IFNA(51-MATCH(Songs!$A2,Data!F$2:F$51,0),NA())</f>
        <v>49</v>
      </c>
      <c r="P2">
        <f>_xlfn.IFNA(51-MATCH(Songs!$A2,Data!G$2:G$51,0),NA())</f>
        <v>49</v>
      </c>
      <c r="Q2">
        <f>_xlfn.IFNA(51-MATCH(Songs!$A2,Data!H$2:H$51,0),NA())</f>
        <v>49</v>
      </c>
      <c r="R2">
        <f>_xlfn.IFNA(51-MATCH(Songs!$A2,Data!I$2:I$51,0),NA())</f>
        <v>49</v>
      </c>
      <c r="S2">
        <f>_xlfn.IFNA(51-MATCH(Songs!$A2,Data!J$2:J$51,0),NA())</f>
        <v>49</v>
      </c>
      <c r="T2">
        <f>_xlfn.IFNA(51-MATCH(Songs!$A2,Data!K$2:K$51,0),NA())</f>
        <v>49</v>
      </c>
      <c r="U2">
        <f>_xlfn.IFNA(51-MATCH(Songs!$A2,Data!L$2:L$51,0),NA())</f>
        <v>49</v>
      </c>
      <c r="V2">
        <f>_xlfn.IFNA(51-MATCH(Songs!$A2,Data!M$2:M$51,0),NA())</f>
        <v>47</v>
      </c>
      <c r="W2">
        <f>_xlfn.IFNA(51-MATCH(Songs!$A2,Data!N$2:N$51,0),NA())</f>
        <v>49</v>
      </c>
      <c r="X2">
        <f>_xlfn.IFNA(51-MATCH(Songs!$A2,Data!O$2:O$51,0),NA())</f>
        <v>49</v>
      </c>
      <c r="Y2">
        <f>_xlfn.IFNA(51-MATCH(Songs!$A2,Data!P$2:P$51,0),NA())</f>
        <v>48</v>
      </c>
      <c r="Z2">
        <f>_xlfn.IFNA(51-MATCH(Songs!$A2,Data!Q$2:Q$51,0),NA())</f>
        <v>49</v>
      </c>
      <c r="AA2">
        <f>_xlfn.IFNA(51-MATCH(Songs!$A2,Data!R$2:R$51,0),NA())</f>
        <v>49</v>
      </c>
      <c r="AB2" t="e">
        <f>_xlfn.IFNA(51-MATCH(Songs!$A2,Data!S$2:S$51,0),NA())</f>
        <v>#N/A</v>
      </c>
      <c r="AC2" t="e">
        <f>_xlfn.IFNA(51-MATCH(Songs!$A2,Data!T$2:T$51,0),NA())</f>
        <v>#N/A</v>
      </c>
      <c r="AD2" t="e">
        <f>_xlfn.IFNA(51-MATCH(Songs!$A2,Data!U$2:U$51,0),NA())</f>
        <v>#N/A</v>
      </c>
    </row>
    <row r="3" spans="1:33" ht="13.2" x14ac:dyDescent="0.25">
      <c r="A3" s="2" t="s">
        <v>2</v>
      </c>
      <c r="B3" s="2" t="s">
        <v>76</v>
      </c>
      <c r="C3" s="2"/>
      <c r="F3" s="2">
        <v>51</v>
      </c>
      <c r="G3" s="2">
        <f ca="1">COUNTIF(INDIRECT(_xlfn.CONCAT("Data!$B$2:", ADDRESS(51,COUNTA(Data!$1:$1)+1,1,1))), Songs!A3) + F3</f>
        <v>62</v>
      </c>
      <c r="H3" s="8"/>
      <c r="I3" s="8"/>
      <c r="J3" s="8" cm="1">
        <f t="array" ref="J3">51 - MAX(IF(NOT(ISNA(K3:BB3)),K3:BB3))</f>
        <v>2</v>
      </c>
      <c r="K3">
        <f>_xlfn.IFNA(51-MATCH(Songs!$A3,Data!B$2:B$51,0),NA())</f>
        <v>49</v>
      </c>
      <c r="L3">
        <f>_xlfn.IFNA(51-MATCH(Songs!$A3,Data!C$2:C$51,0),NA())</f>
        <v>49</v>
      </c>
      <c r="M3">
        <f>_xlfn.IFNA(51-MATCH(Songs!$A3,Data!D$2:D$51,0),NA())</f>
        <v>49</v>
      </c>
      <c r="N3">
        <f>_xlfn.IFNA(51-MATCH(Songs!$A3,Data!E$2:E$51,0),NA())</f>
        <v>48</v>
      </c>
      <c r="O3">
        <f>_xlfn.IFNA(51-MATCH(Songs!$A3,Data!F$2:F$51,0),NA())</f>
        <v>47</v>
      </c>
      <c r="P3">
        <f>_xlfn.IFNA(51-MATCH(Songs!$A3,Data!G$2:G$51,0),NA())</f>
        <v>47</v>
      </c>
      <c r="Q3">
        <f>_xlfn.IFNA(51-MATCH(Songs!$A3,Data!H$2:H$51,0),NA())</f>
        <v>47</v>
      </c>
      <c r="R3">
        <f>_xlfn.IFNA(51-MATCH(Songs!$A3,Data!I$2:I$51,0),NA())</f>
        <v>47</v>
      </c>
      <c r="S3">
        <f>_xlfn.IFNA(51-MATCH(Songs!$A3,Data!J$2:J$51,0),NA())</f>
        <v>48</v>
      </c>
      <c r="T3">
        <f>_xlfn.IFNA(51-MATCH(Songs!$A3,Data!K$2:K$51,0),NA())</f>
        <v>48</v>
      </c>
      <c r="U3">
        <f>_xlfn.IFNA(51-MATCH(Songs!$A3,Data!L$2:L$51,0),NA())</f>
        <v>47</v>
      </c>
      <c r="V3" t="e">
        <f>_xlfn.IFNA(51-MATCH(Songs!$A3,Data!M$2:M$51,0),NA())</f>
        <v>#N/A</v>
      </c>
      <c r="W3" t="e">
        <f>_xlfn.IFNA(51-MATCH(Songs!$A3,Data!N$2:N$51,0),NA())</f>
        <v>#N/A</v>
      </c>
      <c r="X3" t="e">
        <f>_xlfn.IFNA(51-MATCH(Songs!$A3,Data!O$2:O$51,0),NA())</f>
        <v>#N/A</v>
      </c>
      <c r="Y3" t="e">
        <f>_xlfn.IFNA(51-MATCH(Songs!$A3,Data!P$2:P$51,0),NA())</f>
        <v>#N/A</v>
      </c>
      <c r="Z3" t="e">
        <f>_xlfn.IFNA(51-MATCH(Songs!$A3,Data!Q$2:Q$51,0),NA())</f>
        <v>#N/A</v>
      </c>
      <c r="AA3" t="e">
        <f>_xlfn.IFNA(51-MATCH(Songs!$A3,Data!R$2:R$51,0),NA())</f>
        <v>#N/A</v>
      </c>
      <c r="AB3" t="e">
        <f>_xlfn.IFNA(51-MATCH(Songs!$A3,Data!S$2:S$51,0),NA())</f>
        <v>#N/A</v>
      </c>
      <c r="AC3" t="e">
        <f>_xlfn.IFNA(51-MATCH(Songs!$A3,Data!T$2:T$51,0),NA())</f>
        <v>#N/A</v>
      </c>
      <c r="AD3" t="e">
        <f>_xlfn.IFNA(51-MATCH(Songs!$A3,Data!U$2:U$51,0),NA())</f>
        <v>#N/A</v>
      </c>
    </row>
    <row r="4" spans="1:33" ht="13.2" x14ac:dyDescent="0.25">
      <c r="A4" s="2" t="s">
        <v>4</v>
      </c>
      <c r="B4" s="2" t="s">
        <v>76</v>
      </c>
      <c r="C4" s="2"/>
      <c r="F4" s="2">
        <v>46</v>
      </c>
      <c r="G4" s="2">
        <f ca="1">COUNTIF(INDIRECT(_xlfn.CONCAT("Data!$B$2:", ADDRESS(51,COUNTA(Data!$1:$1)+1,1,1))), Songs!A4) + F4</f>
        <v>57</v>
      </c>
      <c r="H4" s="8"/>
      <c r="I4" s="8"/>
      <c r="J4" s="8" cm="1">
        <f t="array" ref="J4">51 - MAX(IF(NOT(ISNA(K4:BB4)),K4:BB4))</f>
        <v>3</v>
      </c>
      <c r="K4">
        <f>_xlfn.IFNA(51-MATCH(Songs!$A4,Data!B$2:B$51,0),NA())</f>
        <v>48</v>
      </c>
      <c r="L4">
        <f>_xlfn.IFNA(51-MATCH(Songs!$A4,Data!C$2:C$51,0),NA())</f>
        <v>48</v>
      </c>
      <c r="M4">
        <f>_xlfn.IFNA(51-MATCH(Songs!$A4,Data!D$2:D$51,0),NA())</f>
        <v>48</v>
      </c>
      <c r="N4">
        <f>_xlfn.IFNA(51-MATCH(Songs!$A4,Data!E$2:E$51,0),NA())</f>
        <v>47</v>
      </c>
      <c r="O4">
        <f>_xlfn.IFNA(51-MATCH(Songs!$A4,Data!F$2:F$51,0),NA())</f>
        <v>46</v>
      </c>
      <c r="P4">
        <f>_xlfn.IFNA(51-MATCH(Songs!$A4,Data!G$2:G$51,0),NA())</f>
        <v>46</v>
      </c>
      <c r="Q4">
        <f>_xlfn.IFNA(51-MATCH(Songs!$A4,Data!H$2:H$51,0),NA())</f>
        <v>46</v>
      </c>
      <c r="R4">
        <f>_xlfn.IFNA(51-MATCH(Songs!$A4,Data!I$2:I$51,0),NA())</f>
        <v>46</v>
      </c>
      <c r="S4">
        <f>_xlfn.IFNA(51-MATCH(Songs!$A4,Data!J$2:J$51,0),NA())</f>
        <v>46</v>
      </c>
      <c r="T4">
        <f>_xlfn.IFNA(51-MATCH(Songs!$A4,Data!K$2:K$51,0),NA())</f>
        <v>46</v>
      </c>
      <c r="U4">
        <f>_xlfn.IFNA(51-MATCH(Songs!$A4,Data!L$2:L$51,0),NA())</f>
        <v>46</v>
      </c>
      <c r="V4" t="e">
        <f>_xlfn.IFNA(51-MATCH(Songs!$A4,Data!M$2:M$51,0),NA())</f>
        <v>#N/A</v>
      </c>
      <c r="W4" t="e">
        <f>_xlfn.IFNA(51-MATCH(Songs!$A4,Data!N$2:N$51,0),NA())</f>
        <v>#N/A</v>
      </c>
      <c r="X4" t="e">
        <f>_xlfn.IFNA(51-MATCH(Songs!$A4,Data!O$2:O$51,0),NA())</f>
        <v>#N/A</v>
      </c>
      <c r="Y4" t="e">
        <f>_xlfn.IFNA(51-MATCH(Songs!$A4,Data!P$2:P$51,0),NA())</f>
        <v>#N/A</v>
      </c>
      <c r="Z4" t="e">
        <f>_xlfn.IFNA(51-MATCH(Songs!$A4,Data!Q$2:Q$51,0),NA())</f>
        <v>#N/A</v>
      </c>
      <c r="AA4" t="e">
        <f>_xlfn.IFNA(51-MATCH(Songs!$A4,Data!R$2:R$51,0),NA())</f>
        <v>#N/A</v>
      </c>
      <c r="AB4" t="e">
        <f>_xlfn.IFNA(51-MATCH(Songs!$A4,Data!S$2:S$51,0),NA())</f>
        <v>#N/A</v>
      </c>
      <c r="AC4" t="e">
        <f>_xlfn.IFNA(51-MATCH(Songs!$A4,Data!T$2:T$51,0),NA())</f>
        <v>#N/A</v>
      </c>
      <c r="AD4" t="e">
        <f>_xlfn.IFNA(51-MATCH(Songs!$A4,Data!U$2:U$51,0),NA())</f>
        <v>#N/A</v>
      </c>
    </row>
    <row r="5" spans="1:33" ht="13.2" x14ac:dyDescent="0.25">
      <c r="A5" s="2" t="s">
        <v>3</v>
      </c>
      <c r="B5" s="2" t="s">
        <v>77</v>
      </c>
      <c r="C5" s="2"/>
      <c r="F5" s="2">
        <v>43</v>
      </c>
      <c r="G5" s="2">
        <f ca="1">COUNTIF(INDIRECT(_xlfn.CONCAT("Data!$B$2:", ADDRESS(51,COUNTA(Data!$1:$1)+1,1,1))), Songs!A5) + F5</f>
        <v>54</v>
      </c>
      <c r="H5" s="8"/>
      <c r="I5" s="8"/>
      <c r="J5" s="8" cm="1">
        <f t="array" ref="J5">51 - MAX(IF(NOT(ISNA(K5:BB5)),K5:BB5))</f>
        <v>2</v>
      </c>
      <c r="K5">
        <f>_xlfn.IFNA(51-MATCH(Songs!$A5,Data!B$2:B$51,0),NA())</f>
        <v>47</v>
      </c>
      <c r="L5">
        <f>_xlfn.IFNA(51-MATCH(Songs!$A5,Data!C$2:C$51,0),NA())</f>
        <v>47</v>
      </c>
      <c r="M5">
        <f>_xlfn.IFNA(51-MATCH(Songs!$A5,Data!D$2:D$51,0),NA())</f>
        <v>47</v>
      </c>
      <c r="N5">
        <f>_xlfn.IFNA(51-MATCH(Songs!$A5,Data!E$2:E$51,0),NA())</f>
        <v>49</v>
      </c>
      <c r="O5">
        <f>_xlfn.IFNA(51-MATCH(Songs!$A5,Data!F$2:F$51,0),NA())</f>
        <v>48</v>
      </c>
      <c r="P5">
        <f>_xlfn.IFNA(51-MATCH(Songs!$A5,Data!G$2:G$51,0),NA())</f>
        <v>48</v>
      </c>
      <c r="Q5">
        <f>_xlfn.IFNA(51-MATCH(Songs!$A5,Data!H$2:H$51,0),NA())</f>
        <v>48</v>
      </c>
      <c r="R5">
        <f>_xlfn.IFNA(51-MATCH(Songs!$A5,Data!I$2:I$51,0),NA())</f>
        <v>48</v>
      </c>
      <c r="S5">
        <f>_xlfn.IFNA(51-MATCH(Songs!$A5,Data!J$2:J$51,0),NA())</f>
        <v>47</v>
      </c>
      <c r="T5">
        <f>_xlfn.IFNA(51-MATCH(Songs!$A5,Data!K$2:K$51,0),NA())</f>
        <v>47</v>
      </c>
      <c r="U5">
        <f>_xlfn.IFNA(51-MATCH(Songs!$A5,Data!L$2:L$51,0),NA())</f>
        <v>48</v>
      </c>
      <c r="V5" t="e">
        <f>_xlfn.IFNA(51-MATCH(Songs!$A5,Data!M$2:M$51,0),NA())</f>
        <v>#N/A</v>
      </c>
      <c r="W5" t="e">
        <f>_xlfn.IFNA(51-MATCH(Songs!$A5,Data!N$2:N$51,0),NA())</f>
        <v>#N/A</v>
      </c>
      <c r="X5" t="e">
        <f>_xlfn.IFNA(51-MATCH(Songs!$A5,Data!O$2:O$51,0),NA())</f>
        <v>#N/A</v>
      </c>
      <c r="Y5" t="e">
        <f>_xlfn.IFNA(51-MATCH(Songs!$A5,Data!P$2:P$51,0),NA())</f>
        <v>#N/A</v>
      </c>
      <c r="Z5" t="e">
        <f>_xlfn.IFNA(51-MATCH(Songs!$A5,Data!Q$2:Q$51,0),NA())</f>
        <v>#N/A</v>
      </c>
      <c r="AA5" t="e">
        <f>_xlfn.IFNA(51-MATCH(Songs!$A5,Data!R$2:R$51,0),NA())</f>
        <v>#N/A</v>
      </c>
      <c r="AB5" t="e">
        <f>_xlfn.IFNA(51-MATCH(Songs!$A5,Data!S$2:S$51,0),NA())</f>
        <v>#N/A</v>
      </c>
      <c r="AC5" t="e">
        <f>_xlfn.IFNA(51-MATCH(Songs!$A5,Data!T$2:T$51,0),NA())</f>
        <v>#N/A</v>
      </c>
      <c r="AD5" t="e">
        <f>_xlfn.IFNA(51-MATCH(Songs!$A5,Data!U$2:U$51,0),NA())</f>
        <v>#N/A</v>
      </c>
    </row>
    <row r="6" spans="1:33" ht="13.2" x14ac:dyDescent="0.25">
      <c r="A6" s="2" t="s">
        <v>5</v>
      </c>
      <c r="B6" s="2" t="s">
        <v>78</v>
      </c>
      <c r="C6" s="2"/>
      <c r="F6" s="2">
        <v>26</v>
      </c>
      <c r="G6" s="2">
        <f ca="1">COUNTIF(INDIRECT(_xlfn.CONCAT("Data!$B$2:", ADDRESS(51,COUNTA(Data!$1:$1)+1,1,1))), Songs!A6) + F6</f>
        <v>30</v>
      </c>
      <c r="H6" s="8"/>
      <c r="I6" s="8"/>
      <c r="J6" s="8" cm="1">
        <f t="array" ref="J6">51 - MAX(IF(NOT(ISNA(K6:BB6)),K6:BB6))</f>
        <v>5</v>
      </c>
      <c r="K6">
        <f>_xlfn.IFNA(51-MATCH(Songs!$A6,Data!B$2:B$51,0),NA())</f>
        <v>46</v>
      </c>
      <c r="L6">
        <f>_xlfn.IFNA(51-MATCH(Songs!$A6,Data!C$2:C$51,0),NA())</f>
        <v>46</v>
      </c>
      <c r="M6">
        <f>_xlfn.IFNA(51-MATCH(Songs!$A6,Data!D$2:D$51,0),NA())</f>
        <v>45</v>
      </c>
      <c r="N6">
        <f>_xlfn.IFNA(51-MATCH(Songs!$A6,Data!E$2:E$51,0),NA())</f>
        <v>43</v>
      </c>
      <c r="O6" t="e">
        <f>_xlfn.IFNA(51-MATCH(Songs!$A6,Data!F$2:F$51,0),NA())</f>
        <v>#N/A</v>
      </c>
      <c r="P6" t="e">
        <f>_xlfn.IFNA(51-MATCH(Songs!$A6,Data!G$2:G$51,0),NA())</f>
        <v>#N/A</v>
      </c>
      <c r="Q6" t="e">
        <f>_xlfn.IFNA(51-MATCH(Songs!$A6,Data!H$2:H$51,0),NA())</f>
        <v>#N/A</v>
      </c>
      <c r="R6" t="e">
        <f>_xlfn.IFNA(51-MATCH(Songs!$A6,Data!I$2:I$51,0),NA())</f>
        <v>#N/A</v>
      </c>
      <c r="S6" t="e">
        <f>_xlfn.IFNA(51-MATCH(Songs!$A6,Data!J$2:J$51,0),NA())</f>
        <v>#N/A</v>
      </c>
      <c r="T6" t="e">
        <f>_xlfn.IFNA(51-MATCH(Songs!$A6,Data!K$2:K$51,0),NA())</f>
        <v>#N/A</v>
      </c>
      <c r="U6" t="e">
        <f>_xlfn.IFNA(51-MATCH(Songs!$A6,Data!L$2:L$51,0),NA())</f>
        <v>#N/A</v>
      </c>
      <c r="V6" t="e">
        <f>_xlfn.IFNA(51-MATCH(Songs!$A6,Data!M$2:M$51,0),NA())</f>
        <v>#N/A</v>
      </c>
      <c r="W6" t="e">
        <f>_xlfn.IFNA(51-MATCH(Songs!$A6,Data!N$2:N$51,0),NA())</f>
        <v>#N/A</v>
      </c>
      <c r="X6" t="e">
        <f>_xlfn.IFNA(51-MATCH(Songs!$A6,Data!O$2:O$51,0),NA())</f>
        <v>#N/A</v>
      </c>
      <c r="Y6" t="e">
        <f>_xlfn.IFNA(51-MATCH(Songs!$A6,Data!P$2:P$51,0),NA())</f>
        <v>#N/A</v>
      </c>
      <c r="Z6" t="e">
        <f>_xlfn.IFNA(51-MATCH(Songs!$A6,Data!Q$2:Q$51,0),NA())</f>
        <v>#N/A</v>
      </c>
      <c r="AA6" t="e">
        <f>_xlfn.IFNA(51-MATCH(Songs!$A6,Data!R$2:R$51,0),NA())</f>
        <v>#N/A</v>
      </c>
      <c r="AB6" t="e">
        <f>_xlfn.IFNA(51-MATCH(Songs!$A6,Data!S$2:S$51,0),NA())</f>
        <v>#N/A</v>
      </c>
      <c r="AC6" t="e">
        <f>_xlfn.IFNA(51-MATCH(Songs!$A6,Data!T$2:T$51,0),NA())</f>
        <v>#N/A</v>
      </c>
      <c r="AD6" t="e">
        <f>_xlfn.IFNA(51-MATCH(Songs!$A6,Data!U$2:U$51,0),NA())</f>
        <v>#N/A</v>
      </c>
    </row>
    <row r="7" spans="1:33" ht="13.2" x14ac:dyDescent="0.25">
      <c r="A7" s="2" t="s">
        <v>8</v>
      </c>
      <c r="B7" s="2" t="s">
        <v>79</v>
      </c>
      <c r="C7" s="2"/>
      <c r="F7" s="2">
        <v>32</v>
      </c>
      <c r="G7" s="2">
        <f ca="1">COUNTIF(INDIRECT(_xlfn.CONCAT("Data!$B$2:", ADDRESS(51,COUNTA(Data!$1:$1)+1,1,1))), Songs!A7) + F7</f>
        <v>37</v>
      </c>
      <c r="H7" s="8"/>
      <c r="I7" s="8"/>
      <c r="J7" s="8" cm="1">
        <f t="array" ref="J7">51 - MAX(IF(NOT(ISNA(K7:BB7)),K7:BB7))</f>
        <v>6</v>
      </c>
      <c r="K7">
        <f>_xlfn.IFNA(51-MATCH(Songs!$A7,Data!B$2:B$51,0),NA())</f>
        <v>45</v>
      </c>
      <c r="L7">
        <f>_xlfn.IFNA(51-MATCH(Songs!$A7,Data!C$2:C$51,0),NA())</f>
        <v>41</v>
      </c>
      <c r="M7">
        <f>_xlfn.IFNA(51-MATCH(Songs!$A7,Data!D$2:D$51,0),NA())</f>
        <v>40</v>
      </c>
      <c r="N7">
        <f>_xlfn.IFNA(51-MATCH(Songs!$A7,Data!E$2:E$51,0),NA())</f>
        <v>41</v>
      </c>
      <c r="O7">
        <f>_xlfn.IFNA(51-MATCH(Songs!$A7,Data!F$2:F$51,0),NA())</f>
        <v>39</v>
      </c>
      <c r="P7" t="e">
        <f>_xlfn.IFNA(51-MATCH(Songs!$A7,Data!G$2:G$51,0),NA())</f>
        <v>#N/A</v>
      </c>
      <c r="Q7" t="e">
        <f>_xlfn.IFNA(51-MATCH(Songs!$A7,Data!H$2:H$51,0),NA())</f>
        <v>#N/A</v>
      </c>
      <c r="R7" t="e">
        <f>_xlfn.IFNA(51-MATCH(Songs!$A7,Data!I$2:I$51,0),NA())</f>
        <v>#N/A</v>
      </c>
      <c r="S7" t="e">
        <f>_xlfn.IFNA(51-MATCH(Songs!$A7,Data!J$2:J$51,0),NA())</f>
        <v>#N/A</v>
      </c>
      <c r="T7" t="e">
        <f>_xlfn.IFNA(51-MATCH(Songs!$A7,Data!K$2:K$51,0),NA())</f>
        <v>#N/A</v>
      </c>
      <c r="U7" t="e">
        <f>_xlfn.IFNA(51-MATCH(Songs!$A7,Data!L$2:L$51,0),NA())</f>
        <v>#N/A</v>
      </c>
      <c r="V7" t="e">
        <f>_xlfn.IFNA(51-MATCH(Songs!$A7,Data!M$2:M$51,0),NA())</f>
        <v>#N/A</v>
      </c>
      <c r="W7" t="e">
        <f>_xlfn.IFNA(51-MATCH(Songs!$A7,Data!N$2:N$51,0),NA())</f>
        <v>#N/A</v>
      </c>
      <c r="X7" t="e">
        <f>_xlfn.IFNA(51-MATCH(Songs!$A7,Data!O$2:O$51,0),NA())</f>
        <v>#N/A</v>
      </c>
      <c r="Y7" t="e">
        <f>_xlfn.IFNA(51-MATCH(Songs!$A7,Data!P$2:P$51,0),NA())</f>
        <v>#N/A</v>
      </c>
      <c r="Z7" t="e">
        <f>_xlfn.IFNA(51-MATCH(Songs!$A7,Data!Q$2:Q$51,0),NA())</f>
        <v>#N/A</v>
      </c>
      <c r="AA7" t="e">
        <f>_xlfn.IFNA(51-MATCH(Songs!$A7,Data!R$2:R$51,0),NA())</f>
        <v>#N/A</v>
      </c>
      <c r="AB7" t="e">
        <f>_xlfn.IFNA(51-MATCH(Songs!$A7,Data!S$2:S$51,0),NA())</f>
        <v>#N/A</v>
      </c>
      <c r="AC7" t="e">
        <f>_xlfn.IFNA(51-MATCH(Songs!$A7,Data!T$2:T$51,0),NA())</f>
        <v>#N/A</v>
      </c>
      <c r="AD7" t="e">
        <f>_xlfn.IFNA(51-MATCH(Songs!$A7,Data!U$2:U$51,0),NA())</f>
        <v>#N/A</v>
      </c>
    </row>
    <row r="8" spans="1:33" ht="13.2" x14ac:dyDescent="0.25">
      <c r="A8" s="2" t="s">
        <v>10</v>
      </c>
      <c r="B8" s="2" t="s">
        <v>80</v>
      </c>
      <c r="C8" s="2"/>
      <c r="F8" s="2">
        <v>51</v>
      </c>
      <c r="G8" s="2">
        <f ca="1">COUNTIF(INDIRECT(_xlfn.CONCAT("Data!$B$2:", ADDRESS(51,COUNTA(Data!$1:$1)+1,1,1))), Songs!A8) + F8</f>
        <v>53</v>
      </c>
      <c r="H8" s="8"/>
      <c r="I8" s="8"/>
      <c r="J8" s="8" cm="1">
        <f t="array" ref="J8">51 - MAX(IF(NOT(ISNA(K8:BB8)),K8:BB8))</f>
        <v>7</v>
      </c>
      <c r="K8">
        <f>_xlfn.IFNA(51-MATCH(Songs!$A8,Data!B$2:B$51,0),NA())</f>
        <v>44</v>
      </c>
      <c r="L8">
        <f>_xlfn.IFNA(51-MATCH(Songs!$A8,Data!C$2:C$51,0),NA())</f>
        <v>43</v>
      </c>
      <c r="M8" t="e">
        <f>_xlfn.IFNA(51-MATCH(Songs!$A8,Data!D$2:D$51,0),NA())</f>
        <v>#N/A</v>
      </c>
      <c r="N8" t="e">
        <f>_xlfn.IFNA(51-MATCH(Songs!$A8,Data!E$2:E$51,0),NA())</f>
        <v>#N/A</v>
      </c>
      <c r="O8" t="e">
        <f>_xlfn.IFNA(51-MATCH(Songs!$A8,Data!F$2:F$51,0),NA())</f>
        <v>#N/A</v>
      </c>
      <c r="P8" t="e">
        <f>_xlfn.IFNA(51-MATCH(Songs!$A8,Data!G$2:G$51,0),NA())</f>
        <v>#N/A</v>
      </c>
      <c r="Q8" t="e">
        <f>_xlfn.IFNA(51-MATCH(Songs!$A8,Data!H$2:H$51,0),NA())</f>
        <v>#N/A</v>
      </c>
      <c r="R8" t="e">
        <f>_xlfn.IFNA(51-MATCH(Songs!$A8,Data!I$2:I$51,0),NA())</f>
        <v>#N/A</v>
      </c>
      <c r="S8" t="e">
        <f>_xlfn.IFNA(51-MATCH(Songs!$A8,Data!J$2:J$51,0),NA())</f>
        <v>#N/A</v>
      </c>
      <c r="T8" t="e">
        <f>_xlfn.IFNA(51-MATCH(Songs!$A8,Data!K$2:K$51,0),NA())</f>
        <v>#N/A</v>
      </c>
      <c r="U8" t="e">
        <f>_xlfn.IFNA(51-MATCH(Songs!$A8,Data!L$2:L$51,0),NA())</f>
        <v>#N/A</v>
      </c>
      <c r="V8" t="e">
        <f>_xlfn.IFNA(51-MATCH(Songs!$A8,Data!M$2:M$51,0),NA())</f>
        <v>#N/A</v>
      </c>
      <c r="W8" t="e">
        <f>_xlfn.IFNA(51-MATCH(Songs!$A8,Data!N$2:N$51,0),NA())</f>
        <v>#N/A</v>
      </c>
      <c r="X8" t="e">
        <f>_xlfn.IFNA(51-MATCH(Songs!$A8,Data!O$2:O$51,0),NA())</f>
        <v>#N/A</v>
      </c>
      <c r="Y8" t="e">
        <f>_xlfn.IFNA(51-MATCH(Songs!$A8,Data!P$2:P$51,0),NA())</f>
        <v>#N/A</v>
      </c>
      <c r="Z8" t="e">
        <f>_xlfn.IFNA(51-MATCH(Songs!$A8,Data!Q$2:Q$51,0),NA())</f>
        <v>#N/A</v>
      </c>
      <c r="AA8" t="e">
        <f>_xlfn.IFNA(51-MATCH(Songs!$A8,Data!R$2:R$51,0),NA())</f>
        <v>#N/A</v>
      </c>
      <c r="AB8" t="e">
        <f>_xlfn.IFNA(51-MATCH(Songs!$A8,Data!S$2:S$51,0),NA())</f>
        <v>#N/A</v>
      </c>
      <c r="AC8" t="e">
        <f>_xlfn.IFNA(51-MATCH(Songs!$A8,Data!T$2:T$51,0),NA())</f>
        <v>#N/A</v>
      </c>
      <c r="AD8" t="e">
        <f>_xlfn.IFNA(51-MATCH(Songs!$A8,Data!U$2:U$51,0),NA())</f>
        <v>#N/A</v>
      </c>
    </row>
    <row r="9" spans="1:33" ht="13.2" x14ac:dyDescent="0.25">
      <c r="A9" s="2" t="s">
        <v>7</v>
      </c>
      <c r="B9" s="2" t="s">
        <v>81</v>
      </c>
      <c r="C9" s="2"/>
      <c r="F9" s="2">
        <v>32</v>
      </c>
      <c r="G9" s="2">
        <f ca="1">COUNTIF(INDIRECT(_xlfn.CONCAT("Data!$B$2:", ADDRESS(51,COUNTA(Data!$1:$1)+1,1,1))), Songs!A9) + F9</f>
        <v>42</v>
      </c>
      <c r="H9" s="8"/>
      <c r="I9" s="8"/>
      <c r="J9" s="8" cm="1">
        <f t="array" ref="J9">51 - MAX(IF(NOT(ISNA(K9:BB9)),K9:BB9))</f>
        <v>5</v>
      </c>
      <c r="K9">
        <f>_xlfn.IFNA(51-MATCH(Songs!$A9,Data!B$2:B$51,0),NA())</f>
        <v>43</v>
      </c>
      <c r="L9">
        <f>_xlfn.IFNA(51-MATCH(Songs!$A9,Data!C$2:C$51,0),NA())</f>
        <v>45</v>
      </c>
      <c r="M9">
        <f>_xlfn.IFNA(51-MATCH(Songs!$A9,Data!D$2:D$51,0),NA())</f>
        <v>44</v>
      </c>
      <c r="N9">
        <f>_xlfn.IFNA(51-MATCH(Songs!$A9,Data!E$2:E$51,0),NA())</f>
        <v>46</v>
      </c>
      <c r="O9">
        <f>_xlfn.IFNA(51-MATCH(Songs!$A9,Data!F$2:F$51,0),NA())</f>
        <v>45</v>
      </c>
      <c r="P9">
        <f>_xlfn.IFNA(51-MATCH(Songs!$A9,Data!G$2:G$51,0),NA())</f>
        <v>45</v>
      </c>
      <c r="Q9">
        <f>_xlfn.IFNA(51-MATCH(Songs!$A9,Data!H$2:H$51,0),NA())</f>
        <v>45</v>
      </c>
      <c r="R9">
        <f>_xlfn.IFNA(51-MATCH(Songs!$A9,Data!I$2:I$51,0),NA())</f>
        <v>45</v>
      </c>
      <c r="S9">
        <f>_xlfn.IFNA(51-MATCH(Songs!$A9,Data!J$2:J$51,0),NA())</f>
        <v>44</v>
      </c>
      <c r="T9">
        <f>_xlfn.IFNA(51-MATCH(Songs!$A9,Data!K$2:K$51,0),NA())</f>
        <v>42</v>
      </c>
      <c r="U9" t="e">
        <f>_xlfn.IFNA(51-MATCH(Songs!$A9,Data!L$2:L$51,0),NA())</f>
        <v>#N/A</v>
      </c>
      <c r="V9" t="e">
        <f>_xlfn.IFNA(51-MATCH(Songs!$A9,Data!M$2:M$51,0),NA())</f>
        <v>#N/A</v>
      </c>
      <c r="W9" t="e">
        <f>_xlfn.IFNA(51-MATCH(Songs!$A9,Data!N$2:N$51,0),NA())</f>
        <v>#N/A</v>
      </c>
      <c r="X9" t="e">
        <f>_xlfn.IFNA(51-MATCH(Songs!$A9,Data!O$2:O$51,0),NA())</f>
        <v>#N/A</v>
      </c>
      <c r="Y9" t="e">
        <f>_xlfn.IFNA(51-MATCH(Songs!$A9,Data!P$2:P$51,0),NA())</f>
        <v>#N/A</v>
      </c>
      <c r="Z9" t="e">
        <f>_xlfn.IFNA(51-MATCH(Songs!$A9,Data!Q$2:Q$51,0),NA())</f>
        <v>#N/A</v>
      </c>
      <c r="AA9" t="e">
        <f>_xlfn.IFNA(51-MATCH(Songs!$A9,Data!R$2:R$51,0),NA())</f>
        <v>#N/A</v>
      </c>
      <c r="AB9" t="e">
        <f>_xlfn.IFNA(51-MATCH(Songs!$A9,Data!S$2:S$51,0),NA())</f>
        <v>#N/A</v>
      </c>
      <c r="AC9" t="e">
        <f>_xlfn.IFNA(51-MATCH(Songs!$A9,Data!T$2:T$51,0),NA())</f>
        <v>#N/A</v>
      </c>
      <c r="AD9" t="e">
        <f>_xlfn.IFNA(51-MATCH(Songs!$A9,Data!U$2:U$51,0),NA())</f>
        <v>#N/A</v>
      </c>
    </row>
    <row r="10" spans="1:33" ht="13.2" x14ac:dyDescent="0.25">
      <c r="A10" s="2" t="s">
        <v>12</v>
      </c>
      <c r="B10" s="2" t="s">
        <v>80</v>
      </c>
      <c r="C10" s="2" t="s">
        <v>201</v>
      </c>
      <c r="F10" s="2">
        <v>34</v>
      </c>
      <c r="G10" s="2">
        <f ca="1">COUNTIF(INDIRECT(_xlfn.CONCAT("Data!$B$2:", ADDRESS(51,COUNTA(Data!$1:$1)+1,1,1))), Songs!A10) + F10</f>
        <v>35</v>
      </c>
      <c r="H10" s="8"/>
      <c r="I10" s="8"/>
      <c r="J10" s="8" cm="1">
        <f t="array" ref="J10">51 - MAX(IF(NOT(ISNA(K10:BB10)),K10:BB10))</f>
        <v>9</v>
      </c>
      <c r="K10">
        <f>_xlfn.IFNA(51-MATCH(Songs!$A10,Data!B$2:B$51,0),NA())</f>
        <v>42</v>
      </c>
      <c r="L10" t="e">
        <f>_xlfn.IFNA(51-MATCH(Songs!$A10,Data!C$2:C$51,0),NA())</f>
        <v>#N/A</v>
      </c>
      <c r="M10" t="e">
        <f>_xlfn.IFNA(51-MATCH(Songs!$A10,Data!D$2:D$51,0),NA())</f>
        <v>#N/A</v>
      </c>
      <c r="N10" t="e">
        <f>_xlfn.IFNA(51-MATCH(Songs!$A10,Data!E$2:E$51,0),NA())</f>
        <v>#N/A</v>
      </c>
      <c r="O10" t="e">
        <f>_xlfn.IFNA(51-MATCH(Songs!$A10,Data!F$2:F$51,0),NA())</f>
        <v>#N/A</v>
      </c>
      <c r="P10" t="e">
        <f>_xlfn.IFNA(51-MATCH(Songs!$A10,Data!G$2:G$51,0),NA())</f>
        <v>#N/A</v>
      </c>
      <c r="Q10" t="e">
        <f>_xlfn.IFNA(51-MATCH(Songs!$A10,Data!H$2:H$51,0),NA())</f>
        <v>#N/A</v>
      </c>
      <c r="R10" t="e">
        <f>_xlfn.IFNA(51-MATCH(Songs!$A10,Data!I$2:I$51,0),NA())</f>
        <v>#N/A</v>
      </c>
      <c r="S10" t="e">
        <f>_xlfn.IFNA(51-MATCH(Songs!$A10,Data!J$2:J$51,0),NA())</f>
        <v>#N/A</v>
      </c>
      <c r="T10" t="e">
        <f>_xlfn.IFNA(51-MATCH(Songs!$A10,Data!K$2:K$51,0),NA())</f>
        <v>#N/A</v>
      </c>
      <c r="U10" t="e">
        <f>_xlfn.IFNA(51-MATCH(Songs!$A10,Data!L$2:L$51,0),NA())</f>
        <v>#N/A</v>
      </c>
      <c r="V10" t="e">
        <f>_xlfn.IFNA(51-MATCH(Songs!$A10,Data!M$2:M$51,0),NA())</f>
        <v>#N/A</v>
      </c>
      <c r="W10" t="e">
        <f>_xlfn.IFNA(51-MATCH(Songs!$A10,Data!N$2:N$51,0),NA())</f>
        <v>#N/A</v>
      </c>
      <c r="X10" t="e">
        <f>_xlfn.IFNA(51-MATCH(Songs!$A10,Data!O$2:O$51,0),NA())</f>
        <v>#N/A</v>
      </c>
      <c r="Y10" t="e">
        <f>_xlfn.IFNA(51-MATCH(Songs!$A10,Data!P$2:P$51,0),NA())</f>
        <v>#N/A</v>
      </c>
      <c r="Z10" t="e">
        <f>_xlfn.IFNA(51-MATCH(Songs!$A10,Data!Q$2:Q$51,0),NA())</f>
        <v>#N/A</v>
      </c>
      <c r="AA10" t="e">
        <f>_xlfn.IFNA(51-MATCH(Songs!$A10,Data!R$2:R$51,0),NA())</f>
        <v>#N/A</v>
      </c>
      <c r="AB10" t="e">
        <f>_xlfn.IFNA(51-MATCH(Songs!$A10,Data!S$2:S$51,0),NA())</f>
        <v>#N/A</v>
      </c>
      <c r="AC10" t="e">
        <f>_xlfn.IFNA(51-MATCH(Songs!$A10,Data!T$2:T$51,0),NA())</f>
        <v>#N/A</v>
      </c>
      <c r="AD10" t="e">
        <f>_xlfn.IFNA(51-MATCH(Songs!$A10,Data!U$2:U$51,0),NA())</f>
        <v>#N/A</v>
      </c>
    </row>
    <row r="11" spans="1:33" ht="13.2" x14ac:dyDescent="0.25">
      <c r="A11" s="2" t="s">
        <v>13</v>
      </c>
      <c r="B11" s="2" t="s">
        <v>82</v>
      </c>
      <c r="C11" s="2" t="s">
        <v>202</v>
      </c>
      <c r="F11" s="2">
        <v>15</v>
      </c>
      <c r="G11" s="2">
        <f ca="1">COUNTIF(INDIRECT(_xlfn.CONCAT("Data!$B$2:", ADDRESS(51,COUNTA(Data!$1:$1)+1,1,1))), Songs!A11) + F11</f>
        <v>32</v>
      </c>
      <c r="H11" s="8"/>
      <c r="I11" s="8"/>
      <c r="J11" s="8" cm="1">
        <f t="array" ref="J11">51 - MAX(IF(NOT(ISNA(K11:BB11)),K11:BB11))</f>
        <v>7</v>
      </c>
      <c r="K11">
        <f>_xlfn.IFNA(51-MATCH(Songs!$A11,Data!B$2:B$51,0),NA())</f>
        <v>41</v>
      </c>
      <c r="L11">
        <f>_xlfn.IFNA(51-MATCH(Songs!$A11,Data!C$2:C$51,0),NA())</f>
        <v>42</v>
      </c>
      <c r="M11">
        <f>_xlfn.IFNA(51-MATCH(Songs!$A11,Data!D$2:D$51,0),NA())</f>
        <v>42</v>
      </c>
      <c r="N11">
        <f>_xlfn.IFNA(51-MATCH(Songs!$A11,Data!E$2:E$51,0),NA())</f>
        <v>42</v>
      </c>
      <c r="O11">
        <f>_xlfn.IFNA(51-MATCH(Songs!$A11,Data!F$2:F$51,0),NA())</f>
        <v>41</v>
      </c>
      <c r="P11">
        <f>_xlfn.IFNA(51-MATCH(Songs!$A11,Data!G$2:G$51,0),NA())</f>
        <v>41</v>
      </c>
      <c r="Q11">
        <f>_xlfn.IFNA(51-MATCH(Songs!$A11,Data!H$2:H$51,0),NA())</f>
        <v>41</v>
      </c>
      <c r="R11">
        <f>_xlfn.IFNA(51-MATCH(Songs!$A11,Data!I$2:I$51,0),NA())</f>
        <v>41</v>
      </c>
      <c r="S11">
        <f>_xlfn.IFNA(51-MATCH(Songs!$A11,Data!J$2:J$51,0),NA())</f>
        <v>43</v>
      </c>
      <c r="T11">
        <f>_xlfn.IFNA(51-MATCH(Songs!$A11,Data!K$2:K$51,0),NA())</f>
        <v>43</v>
      </c>
      <c r="U11">
        <f>_xlfn.IFNA(51-MATCH(Songs!$A11,Data!L$2:L$51,0),NA())</f>
        <v>39</v>
      </c>
      <c r="V11">
        <f>_xlfn.IFNA(51-MATCH(Songs!$A11,Data!M$2:M$51,0),NA())</f>
        <v>32</v>
      </c>
      <c r="W11">
        <f>_xlfn.IFNA(51-MATCH(Songs!$A11,Data!N$2:N$51,0),NA())</f>
        <v>42</v>
      </c>
      <c r="X11">
        <f>_xlfn.IFNA(51-MATCH(Songs!$A11,Data!O$2:O$51,0),NA())</f>
        <v>43</v>
      </c>
      <c r="Y11">
        <f>_xlfn.IFNA(51-MATCH(Songs!$A11,Data!P$2:P$51,0),NA())</f>
        <v>44</v>
      </c>
      <c r="Z11">
        <f>_xlfn.IFNA(51-MATCH(Songs!$A11,Data!Q$2:Q$51,0),NA())</f>
        <v>42</v>
      </c>
      <c r="AA11">
        <f>_xlfn.IFNA(51-MATCH(Songs!$A11,Data!R$2:R$51,0),NA())</f>
        <v>42</v>
      </c>
      <c r="AB11" t="e">
        <f>_xlfn.IFNA(51-MATCH(Songs!$A11,Data!S$2:S$51,0),NA())</f>
        <v>#N/A</v>
      </c>
      <c r="AC11" t="e">
        <f>_xlfn.IFNA(51-MATCH(Songs!$A11,Data!T$2:T$51,0),NA())</f>
        <v>#N/A</v>
      </c>
      <c r="AD11" t="e">
        <f>_xlfn.IFNA(51-MATCH(Songs!$A11,Data!U$2:U$51,0),NA())</f>
        <v>#N/A</v>
      </c>
    </row>
    <row r="12" spans="1:33" ht="13.2" x14ac:dyDescent="0.25">
      <c r="A12" s="2" t="s">
        <v>16</v>
      </c>
      <c r="B12" s="2" t="s">
        <v>83</v>
      </c>
      <c r="F12" s="2">
        <v>42</v>
      </c>
      <c r="G12" s="2">
        <f ca="1">COUNTIF(INDIRECT(_xlfn.CONCAT("Data!$B$2:", ADDRESS(51,COUNTA(Data!$1:$1)+1,1,1))), Songs!A12) + F12</f>
        <v>53</v>
      </c>
      <c r="H12" s="8"/>
      <c r="I12" s="8"/>
      <c r="J12" s="8" cm="1">
        <f t="array" ref="J12">51 - MAX(IF(NOT(ISNA(K12:BB12)),K12:BB12))</f>
        <v>6</v>
      </c>
      <c r="K12">
        <f>_xlfn.IFNA(51-MATCH(Songs!$A12,Data!B$2:B$51,0),NA())</f>
        <v>40</v>
      </c>
      <c r="L12">
        <f>_xlfn.IFNA(51-MATCH(Songs!$A12,Data!C$2:C$51,0),NA())</f>
        <v>40</v>
      </c>
      <c r="M12">
        <f>_xlfn.IFNA(51-MATCH(Songs!$A12,Data!D$2:D$51,0),NA())</f>
        <v>39</v>
      </c>
      <c r="N12">
        <f>_xlfn.IFNA(51-MATCH(Songs!$A12,Data!E$2:E$51,0),NA())</f>
        <v>40</v>
      </c>
      <c r="O12">
        <f>_xlfn.IFNA(51-MATCH(Songs!$A12,Data!F$2:F$51,0),NA())</f>
        <v>40</v>
      </c>
      <c r="P12">
        <f>_xlfn.IFNA(51-MATCH(Songs!$A12,Data!G$2:G$51,0),NA())</f>
        <v>42</v>
      </c>
      <c r="Q12">
        <f>_xlfn.IFNA(51-MATCH(Songs!$A12,Data!H$2:H$51,0),NA())</f>
        <v>42</v>
      </c>
      <c r="R12">
        <f>_xlfn.IFNA(51-MATCH(Songs!$A12,Data!I$2:I$51,0),NA())</f>
        <v>43</v>
      </c>
      <c r="S12">
        <f>_xlfn.IFNA(51-MATCH(Songs!$A12,Data!J$2:J$51,0),NA())</f>
        <v>45</v>
      </c>
      <c r="T12">
        <f>_xlfn.IFNA(51-MATCH(Songs!$A12,Data!K$2:K$51,0),NA())</f>
        <v>45</v>
      </c>
      <c r="U12">
        <f>_xlfn.IFNA(51-MATCH(Songs!$A12,Data!L$2:L$51,0),NA())</f>
        <v>44</v>
      </c>
      <c r="V12" t="e">
        <f>_xlfn.IFNA(51-MATCH(Songs!$A12,Data!M$2:M$51,0),NA())</f>
        <v>#N/A</v>
      </c>
      <c r="W12" t="e">
        <f>_xlfn.IFNA(51-MATCH(Songs!$A12,Data!N$2:N$51,0),NA())</f>
        <v>#N/A</v>
      </c>
      <c r="X12" t="e">
        <f>_xlfn.IFNA(51-MATCH(Songs!$A12,Data!O$2:O$51,0),NA())</f>
        <v>#N/A</v>
      </c>
      <c r="Y12" t="e">
        <f>_xlfn.IFNA(51-MATCH(Songs!$A12,Data!P$2:P$51,0),NA())</f>
        <v>#N/A</v>
      </c>
      <c r="Z12" t="e">
        <f>_xlfn.IFNA(51-MATCH(Songs!$A12,Data!Q$2:Q$51,0),NA())</f>
        <v>#N/A</v>
      </c>
      <c r="AA12" t="e">
        <f>_xlfn.IFNA(51-MATCH(Songs!$A12,Data!R$2:R$51,0),NA())</f>
        <v>#N/A</v>
      </c>
      <c r="AB12" t="e">
        <f>_xlfn.IFNA(51-MATCH(Songs!$A12,Data!S$2:S$51,0),NA())</f>
        <v>#N/A</v>
      </c>
      <c r="AC12" t="e">
        <f>_xlfn.IFNA(51-MATCH(Songs!$A12,Data!T$2:T$51,0),NA())</f>
        <v>#N/A</v>
      </c>
      <c r="AD12" t="e">
        <f>_xlfn.IFNA(51-MATCH(Songs!$A12,Data!U$2:U$51,0),NA())</f>
        <v>#N/A</v>
      </c>
    </row>
    <row r="13" spans="1:33" ht="13.2" x14ac:dyDescent="0.25">
      <c r="A13" s="2" t="s">
        <v>9</v>
      </c>
      <c r="B13" s="2" t="s">
        <v>77</v>
      </c>
      <c r="F13" s="2">
        <v>13</v>
      </c>
      <c r="G13" s="2">
        <f ca="1">COUNTIF(INDIRECT(_xlfn.CONCAT("Data!$B$2:", ADDRESS(51,COUNTA(Data!$1:$1)+1,1,1))), Songs!A13) + F13</f>
        <v>30</v>
      </c>
      <c r="H13" s="8"/>
      <c r="I13" s="8"/>
      <c r="J13" s="8" cm="1">
        <f t="array" ref="J13">51 - MAX(IF(NOT(ISNA(K13:BB13)),K13:BB13))</f>
        <v>4</v>
      </c>
      <c r="K13">
        <f>_xlfn.IFNA(51-MATCH(Songs!$A13,Data!B$2:B$51,0),NA())</f>
        <v>39</v>
      </c>
      <c r="L13">
        <f>_xlfn.IFNA(51-MATCH(Songs!$A13,Data!C$2:C$51,0),NA())</f>
        <v>44</v>
      </c>
      <c r="M13">
        <f>_xlfn.IFNA(51-MATCH(Songs!$A13,Data!D$2:D$51,0),NA())</f>
        <v>43</v>
      </c>
      <c r="N13">
        <f>_xlfn.IFNA(51-MATCH(Songs!$A13,Data!E$2:E$51,0),NA())</f>
        <v>45</v>
      </c>
      <c r="O13">
        <f>_xlfn.IFNA(51-MATCH(Songs!$A13,Data!F$2:F$51,0),NA())</f>
        <v>44</v>
      </c>
      <c r="P13">
        <f>_xlfn.IFNA(51-MATCH(Songs!$A13,Data!G$2:G$51,0),NA())</f>
        <v>44</v>
      </c>
      <c r="Q13">
        <f>_xlfn.IFNA(51-MATCH(Songs!$A13,Data!H$2:H$51,0),NA())</f>
        <v>43</v>
      </c>
      <c r="R13">
        <f>_xlfn.IFNA(51-MATCH(Songs!$A13,Data!I$2:I$51,0),NA())</f>
        <v>44</v>
      </c>
      <c r="S13">
        <f>_xlfn.IFNA(51-MATCH(Songs!$A13,Data!J$2:J$51,0),NA())</f>
        <v>42</v>
      </c>
      <c r="T13">
        <f>_xlfn.IFNA(51-MATCH(Songs!$A13,Data!K$2:K$51,0),NA())</f>
        <v>41</v>
      </c>
      <c r="U13">
        <f>_xlfn.IFNA(51-MATCH(Songs!$A13,Data!L$2:L$51,0),NA())</f>
        <v>42</v>
      </c>
      <c r="V13">
        <f>_xlfn.IFNA(51-MATCH(Songs!$A13,Data!M$2:M$51,0),NA())</f>
        <v>38</v>
      </c>
      <c r="W13">
        <f>_xlfn.IFNA(51-MATCH(Songs!$A13,Data!N$2:N$51,0),NA())</f>
        <v>45</v>
      </c>
      <c r="X13">
        <f>_xlfn.IFNA(51-MATCH(Songs!$A13,Data!O$2:O$51,0),NA())</f>
        <v>47</v>
      </c>
      <c r="Y13">
        <f>_xlfn.IFNA(51-MATCH(Songs!$A13,Data!P$2:P$51,0),NA())</f>
        <v>46</v>
      </c>
      <c r="Z13">
        <f>_xlfn.IFNA(51-MATCH(Songs!$A13,Data!Q$2:Q$51,0),NA())</f>
        <v>47</v>
      </c>
      <c r="AA13">
        <f>_xlfn.IFNA(51-MATCH(Songs!$A13,Data!R$2:R$51,0),NA())</f>
        <v>44</v>
      </c>
      <c r="AB13" t="e">
        <f>_xlfn.IFNA(51-MATCH(Songs!$A13,Data!S$2:S$51,0),NA())</f>
        <v>#N/A</v>
      </c>
      <c r="AC13" t="e">
        <f>_xlfn.IFNA(51-MATCH(Songs!$A13,Data!T$2:T$51,0),NA())</f>
        <v>#N/A</v>
      </c>
      <c r="AD13" t="e">
        <f>_xlfn.IFNA(51-MATCH(Songs!$A13,Data!U$2:U$51,0),NA())</f>
        <v>#N/A</v>
      </c>
    </row>
    <row r="14" spans="1:33" ht="13.2" x14ac:dyDescent="0.25">
      <c r="A14" s="2" t="s">
        <v>11</v>
      </c>
      <c r="B14" s="2" t="s">
        <v>84</v>
      </c>
      <c r="F14" s="2">
        <v>23</v>
      </c>
      <c r="G14" s="2">
        <f ca="1">COUNTIF(INDIRECT(_xlfn.CONCAT("Data!$B$2:", ADDRESS(51,COUNTA(Data!$1:$1)+1,1,1))), Songs!A14) + F14</f>
        <v>32</v>
      </c>
      <c r="H14" s="8"/>
      <c r="I14" s="8"/>
      <c r="J14" s="8" cm="1">
        <f t="array" ref="J14">51 - MAX(IF(NOT(ISNA(K14:BB14)),K14:BB14))</f>
        <v>7</v>
      </c>
      <c r="K14">
        <f>_xlfn.IFNA(51-MATCH(Songs!$A14,Data!B$2:B$51,0),NA())</f>
        <v>38</v>
      </c>
      <c r="L14">
        <f>_xlfn.IFNA(51-MATCH(Songs!$A14,Data!C$2:C$51,0),NA())</f>
        <v>39</v>
      </c>
      <c r="M14">
        <f>_xlfn.IFNA(51-MATCH(Songs!$A14,Data!D$2:D$51,0),NA())</f>
        <v>41</v>
      </c>
      <c r="N14">
        <f>_xlfn.IFNA(51-MATCH(Songs!$A14,Data!E$2:E$51,0),NA())</f>
        <v>44</v>
      </c>
      <c r="O14">
        <f>_xlfn.IFNA(51-MATCH(Songs!$A14,Data!F$2:F$51,0),NA())</f>
        <v>43</v>
      </c>
      <c r="P14">
        <f>_xlfn.IFNA(51-MATCH(Songs!$A14,Data!G$2:G$51,0),NA())</f>
        <v>43</v>
      </c>
      <c r="Q14">
        <f>_xlfn.IFNA(51-MATCH(Songs!$A14,Data!H$2:H$51,0),NA())</f>
        <v>44</v>
      </c>
      <c r="R14">
        <f>_xlfn.IFNA(51-MATCH(Songs!$A14,Data!I$2:I$51,0),NA())</f>
        <v>42</v>
      </c>
      <c r="S14">
        <f>_xlfn.IFNA(51-MATCH(Songs!$A14,Data!J$2:J$51,0),NA())</f>
        <v>41</v>
      </c>
      <c r="T14" t="e">
        <f>_xlfn.IFNA(51-MATCH(Songs!$A14,Data!K$2:K$51,0),NA())</f>
        <v>#N/A</v>
      </c>
      <c r="U14" t="e">
        <f>_xlfn.IFNA(51-MATCH(Songs!$A14,Data!L$2:L$51,0),NA())</f>
        <v>#N/A</v>
      </c>
      <c r="V14" t="e">
        <f>_xlfn.IFNA(51-MATCH(Songs!$A14,Data!M$2:M$51,0),NA())</f>
        <v>#N/A</v>
      </c>
      <c r="W14" t="e">
        <f>_xlfn.IFNA(51-MATCH(Songs!$A14,Data!N$2:N$51,0),NA())</f>
        <v>#N/A</v>
      </c>
      <c r="X14" t="e">
        <f>_xlfn.IFNA(51-MATCH(Songs!$A14,Data!O$2:O$51,0),NA())</f>
        <v>#N/A</v>
      </c>
      <c r="Y14" t="e">
        <f>_xlfn.IFNA(51-MATCH(Songs!$A14,Data!P$2:P$51,0),NA())</f>
        <v>#N/A</v>
      </c>
      <c r="Z14" t="e">
        <f>_xlfn.IFNA(51-MATCH(Songs!$A14,Data!Q$2:Q$51,0),NA())</f>
        <v>#N/A</v>
      </c>
      <c r="AA14" t="e">
        <f>_xlfn.IFNA(51-MATCH(Songs!$A14,Data!R$2:R$51,0),NA())</f>
        <v>#N/A</v>
      </c>
      <c r="AB14" t="e">
        <f>_xlfn.IFNA(51-MATCH(Songs!$A14,Data!S$2:S$51,0),NA())</f>
        <v>#N/A</v>
      </c>
      <c r="AC14" t="e">
        <f>_xlfn.IFNA(51-MATCH(Songs!$A14,Data!T$2:T$51,0),NA())</f>
        <v>#N/A</v>
      </c>
      <c r="AD14" t="e">
        <f>_xlfn.IFNA(51-MATCH(Songs!$A14,Data!U$2:U$51,0),NA())</f>
        <v>#N/A</v>
      </c>
    </row>
    <row r="15" spans="1:33" ht="13.2" x14ac:dyDescent="0.25">
      <c r="A15" s="2" t="s">
        <v>19</v>
      </c>
      <c r="B15" s="2" t="s">
        <v>85</v>
      </c>
      <c r="F15" s="2">
        <v>30</v>
      </c>
      <c r="G15" s="2">
        <f ca="1">COUNTIF(INDIRECT(_xlfn.CONCAT("Data!$B$2:", ADDRESS(51,COUNTA(Data!$1:$1)+1,1,1))), Songs!A15) + F15</f>
        <v>43</v>
      </c>
      <c r="H15" s="8"/>
      <c r="I15" s="8"/>
      <c r="J15" s="8" cm="1">
        <f t="array" ref="J15">51 - MAX(IF(NOT(ISNA(K15:BB15)),K15:BB15))</f>
        <v>7</v>
      </c>
      <c r="K15">
        <f>_xlfn.IFNA(51-MATCH(Songs!$A15,Data!B$2:B$51,0),NA())</f>
        <v>37</v>
      </c>
      <c r="L15">
        <f>_xlfn.IFNA(51-MATCH(Songs!$A15,Data!C$2:C$51,0),NA())</f>
        <v>37</v>
      </c>
      <c r="M15">
        <f>_xlfn.IFNA(51-MATCH(Songs!$A15,Data!D$2:D$51,0),NA())</f>
        <v>38</v>
      </c>
      <c r="N15">
        <f>_xlfn.IFNA(51-MATCH(Songs!$A15,Data!E$2:E$51,0),NA())</f>
        <v>37</v>
      </c>
      <c r="O15">
        <f>_xlfn.IFNA(51-MATCH(Songs!$A15,Data!F$2:F$51,0),NA())</f>
        <v>38</v>
      </c>
      <c r="P15">
        <f>_xlfn.IFNA(51-MATCH(Songs!$A15,Data!G$2:G$51,0),NA())</f>
        <v>40</v>
      </c>
      <c r="Q15">
        <f>_xlfn.IFNA(51-MATCH(Songs!$A15,Data!H$2:H$51,0),NA())</f>
        <v>39</v>
      </c>
      <c r="R15">
        <f>_xlfn.IFNA(51-MATCH(Songs!$A15,Data!I$2:I$51,0),NA())</f>
        <v>40</v>
      </c>
      <c r="S15">
        <f>_xlfn.IFNA(51-MATCH(Songs!$A15,Data!J$2:J$51,0),NA())</f>
        <v>38</v>
      </c>
      <c r="T15">
        <f>_xlfn.IFNA(51-MATCH(Songs!$A15,Data!K$2:K$51,0),NA())</f>
        <v>40</v>
      </c>
      <c r="U15">
        <f>_xlfn.IFNA(51-MATCH(Songs!$A15,Data!L$2:L$51,0),NA())</f>
        <v>41</v>
      </c>
      <c r="V15">
        <f>_xlfn.IFNA(51-MATCH(Songs!$A15,Data!M$2:M$51,0),NA())</f>
        <v>37</v>
      </c>
      <c r="W15">
        <f>_xlfn.IFNA(51-MATCH(Songs!$A15,Data!N$2:N$51,0),NA())</f>
        <v>44</v>
      </c>
      <c r="X15" t="e">
        <f>_xlfn.IFNA(51-MATCH(Songs!$A15,Data!O$2:O$51,0),NA())</f>
        <v>#N/A</v>
      </c>
      <c r="Y15" t="e">
        <f>_xlfn.IFNA(51-MATCH(Songs!$A15,Data!P$2:P$51,0),NA())</f>
        <v>#N/A</v>
      </c>
      <c r="Z15" t="e">
        <f>_xlfn.IFNA(51-MATCH(Songs!$A15,Data!Q$2:Q$51,0),NA())</f>
        <v>#N/A</v>
      </c>
      <c r="AA15" t="e">
        <f>_xlfn.IFNA(51-MATCH(Songs!$A15,Data!R$2:R$51,0),NA())</f>
        <v>#N/A</v>
      </c>
      <c r="AB15" t="e">
        <f>_xlfn.IFNA(51-MATCH(Songs!$A15,Data!S$2:S$51,0),NA())</f>
        <v>#N/A</v>
      </c>
      <c r="AC15" t="e">
        <f>_xlfn.IFNA(51-MATCH(Songs!$A15,Data!T$2:T$51,0),NA())</f>
        <v>#N/A</v>
      </c>
      <c r="AD15" t="e">
        <f>_xlfn.IFNA(51-MATCH(Songs!$A15,Data!U$2:U$51,0),NA())</f>
        <v>#N/A</v>
      </c>
    </row>
    <row r="16" spans="1:33" ht="13.2" x14ac:dyDescent="0.25">
      <c r="A16" s="2" t="s">
        <v>21</v>
      </c>
      <c r="B16" s="2" t="s">
        <v>86</v>
      </c>
      <c r="D16" s="2" t="s">
        <v>77</v>
      </c>
      <c r="E16" s="2"/>
      <c r="F16" s="2">
        <v>22</v>
      </c>
      <c r="G16" s="2">
        <f ca="1">COUNTIF(INDIRECT(_xlfn.CONCAT("Data!$B$2:", ADDRESS(51,COUNTA(Data!$1:$1)+1,1,1))), Songs!A16) + F16</f>
        <v>27</v>
      </c>
      <c r="H16" s="8"/>
      <c r="I16" s="8"/>
      <c r="J16" s="8" cm="1">
        <f t="array" ref="J16">51 - MAX(IF(NOT(ISNA(K16:BB16)),K16:BB16))</f>
        <v>15</v>
      </c>
      <c r="K16">
        <f>_xlfn.IFNA(51-MATCH(Songs!$A16,Data!B$2:B$51,0),NA())</f>
        <v>36</v>
      </c>
      <c r="L16">
        <f>_xlfn.IFNA(51-MATCH(Songs!$A16,Data!C$2:C$51,0),NA())</f>
        <v>35</v>
      </c>
      <c r="M16">
        <f>_xlfn.IFNA(51-MATCH(Songs!$A16,Data!D$2:D$51,0),NA())</f>
        <v>36</v>
      </c>
      <c r="N16">
        <f>_xlfn.IFNA(51-MATCH(Songs!$A16,Data!E$2:E$51,0),NA())</f>
        <v>34</v>
      </c>
      <c r="O16">
        <f>_xlfn.IFNA(51-MATCH(Songs!$A16,Data!F$2:F$51,0),NA())</f>
        <v>30</v>
      </c>
      <c r="P16" t="e">
        <f>_xlfn.IFNA(51-MATCH(Songs!$A16,Data!G$2:G$51,0),NA())</f>
        <v>#N/A</v>
      </c>
      <c r="Q16" t="e">
        <f>_xlfn.IFNA(51-MATCH(Songs!$A16,Data!H$2:H$51,0),NA())</f>
        <v>#N/A</v>
      </c>
      <c r="R16" t="e">
        <f>_xlfn.IFNA(51-MATCH(Songs!$A16,Data!I$2:I$51,0),NA())</f>
        <v>#N/A</v>
      </c>
      <c r="S16" t="e">
        <f>_xlfn.IFNA(51-MATCH(Songs!$A16,Data!J$2:J$51,0),NA())</f>
        <v>#N/A</v>
      </c>
      <c r="T16" t="e">
        <f>_xlfn.IFNA(51-MATCH(Songs!$A16,Data!K$2:K$51,0),NA())</f>
        <v>#N/A</v>
      </c>
      <c r="U16" t="e">
        <f>_xlfn.IFNA(51-MATCH(Songs!$A16,Data!L$2:L$51,0),NA())</f>
        <v>#N/A</v>
      </c>
      <c r="V16" t="e">
        <f>_xlfn.IFNA(51-MATCH(Songs!$A16,Data!M$2:M$51,0),NA())</f>
        <v>#N/A</v>
      </c>
      <c r="W16" t="e">
        <f>_xlfn.IFNA(51-MATCH(Songs!$A16,Data!N$2:N$51,0),NA())</f>
        <v>#N/A</v>
      </c>
      <c r="X16" t="e">
        <f>_xlfn.IFNA(51-MATCH(Songs!$A16,Data!O$2:O$51,0),NA())</f>
        <v>#N/A</v>
      </c>
      <c r="Y16" t="e">
        <f>_xlfn.IFNA(51-MATCH(Songs!$A16,Data!P$2:P$51,0),NA())</f>
        <v>#N/A</v>
      </c>
      <c r="Z16" t="e">
        <f>_xlfn.IFNA(51-MATCH(Songs!$A16,Data!Q$2:Q$51,0),NA())</f>
        <v>#N/A</v>
      </c>
      <c r="AA16" t="e">
        <f>_xlfn.IFNA(51-MATCH(Songs!$A16,Data!R$2:R$51,0),NA())</f>
        <v>#N/A</v>
      </c>
      <c r="AB16" t="e">
        <f>_xlfn.IFNA(51-MATCH(Songs!$A16,Data!S$2:S$51,0),NA())</f>
        <v>#N/A</v>
      </c>
      <c r="AC16" t="e">
        <f>_xlfn.IFNA(51-MATCH(Songs!$A16,Data!T$2:T$51,0),NA())</f>
        <v>#N/A</v>
      </c>
      <c r="AD16" t="e">
        <f>_xlfn.IFNA(51-MATCH(Songs!$A16,Data!U$2:U$51,0),NA())</f>
        <v>#N/A</v>
      </c>
    </row>
    <row r="17" spans="1:30" ht="13.2" x14ac:dyDescent="0.25">
      <c r="A17" s="2" t="s">
        <v>20</v>
      </c>
      <c r="B17" s="2" t="s">
        <v>76</v>
      </c>
      <c r="D17" s="2" t="s">
        <v>87</v>
      </c>
      <c r="E17" s="2"/>
      <c r="F17" s="2">
        <v>22</v>
      </c>
      <c r="G17" s="2">
        <f ca="1">COUNTIF(INDIRECT(_xlfn.CONCAT("Data!$B$2:", ADDRESS(51,COUNTA(Data!$1:$1)+1,1,1))), Songs!A17) + F17</f>
        <v>36</v>
      </c>
      <c r="H17" s="8"/>
      <c r="I17" s="8"/>
      <c r="J17" s="8" cm="1">
        <f t="array" ref="J17">51 - MAX(IF(NOT(ISNA(K17:BB17)),K17:BB17))</f>
        <v>3</v>
      </c>
      <c r="K17">
        <f>_xlfn.IFNA(51-MATCH(Songs!$A17,Data!B$2:B$51,0),NA())</f>
        <v>35</v>
      </c>
      <c r="L17">
        <f>_xlfn.IFNA(51-MATCH(Songs!$A17,Data!C$2:C$51,0),NA())</f>
        <v>36</v>
      </c>
      <c r="M17">
        <f>_xlfn.IFNA(51-MATCH(Songs!$A17,Data!D$2:D$51,0),NA())</f>
        <v>37</v>
      </c>
      <c r="N17">
        <f>_xlfn.IFNA(51-MATCH(Songs!$A17,Data!E$2:E$51,0),NA())</f>
        <v>35</v>
      </c>
      <c r="O17">
        <f>_xlfn.IFNA(51-MATCH(Songs!$A17,Data!F$2:F$51,0),NA())</f>
        <v>37</v>
      </c>
      <c r="P17">
        <f>_xlfn.IFNA(51-MATCH(Songs!$A17,Data!G$2:G$51,0),NA())</f>
        <v>39</v>
      </c>
      <c r="Q17">
        <f>_xlfn.IFNA(51-MATCH(Songs!$A17,Data!H$2:H$51,0),NA())</f>
        <v>40</v>
      </c>
      <c r="R17">
        <f>_xlfn.IFNA(51-MATCH(Songs!$A17,Data!I$2:I$51,0),NA())</f>
        <v>39</v>
      </c>
      <c r="S17">
        <f>_xlfn.IFNA(51-MATCH(Songs!$A17,Data!J$2:J$51,0),NA())</f>
        <v>40</v>
      </c>
      <c r="T17">
        <f>_xlfn.IFNA(51-MATCH(Songs!$A17,Data!K$2:K$51,0),NA())</f>
        <v>44</v>
      </c>
      <c r="U17">
        <f>_xlfn.IFNA(51-MATCH(Songs!$A17,Data!L$2:L$51,0),NA())</f>
        <v>45</v>
      </c>
      <c r="V17">
        <f>_xlfn.IFNA(51-MATCH(Songs!$A17,Data!M$2:M$51,0),NA())</f>
        <v>43</v>
      </c>
      <c r="W17">
        <f>_xlfn.IFNA(51-MATCH(Songs!$A17,Data!N$2:N$51,0),NA())</f>
        <v>48</v>
      </c>
      <c r="X17">
        <f>_xlfn.IFNA(51-MATCH(Songs!$A17,Data!O$2:O$51,0),NA())</f>
        <v>46</v>
      </c>
      <c r="Y17" t="e">
        <f>_xlfn.IFNA(51-MATCH(Songs!$A17,Data!P$2:P$51,0),NA())</f>
        <v>#N/A</v>
      </c>
      <c r="Z17" t="e">
        <f>_xlfn.IFNA(51-MATCH(Songs!$A17,Data!Q$2:Q$51,0),NA())</f>
        <v>#N/A</v>
      </c>
      <c r="AA17" t="e">
        <f>_xlfn.IFNA(51-MATCH(Songs!$A17,Data!R$2:R$51,0),NA())</f>
        <v>#N/A</v>
      </c>
      <c r="AB17" t="e">
        <f>_xlfn.IFNA(51-MATCH(Songs!$A17,Data!S$2:S$51,0),NA())</f>
        <v>#N/A</v>
      </c>
      <c r="AC17" t="e">
        <f>_xlfn.IFNA(51-MATCH(Songs!$A17,Data!T$2:T$51,0),NA())</f>
        <v>#N/A</v>
      </c>
      <c r="AD17" t="e">
        <f>_xlfn.IFNA(51-MATCH(Songs!$A17,Data!U$2:U$51,0),NA())</f>
        <v>#N/A</v>
      </c>
    </row>
    <row r="18" spans="1:30" ht="13.2" x14ac:dyDescent="0.25">
      <c r="A18" s="2" t="s">
        <v>23</v>
      </c>
      <c r="B18" s="2" t="s">
        <v>74</v>
      </c>
      <c r="D18" s="2" t="s">
        <v>88</v>
      </c>
      <c r="E18" s="2"/>
      <c r="F18" s="2">
        <v>21</v>
      </c>
      <c r="G18" s="2">
        <f ca="1">COUNTIF(INDIRECT(_xlfn.CONCAT("Data!$B$2:", ADDRESS(51,COUNTA(Data!$1:$1)+1,1,1))), Songs!A18) + F18</f>
        <v>28</v>
      </c>
      <c r="H18" s="8"/>
      <c r="I18" s="8"/>
      <c r="J18" s="8" cm="1">
        <f t="array" ref="J18">51 - MAX(IF(NOT(ISNA(K18:BB18)),K18:BB18))</f>
        <v>16</v>
      </c>
      <c r="K18">
        <f>_xlfn.IFNA(51-MATCH(Songs!$A18,Data!B$2:B$51,0),NA())</f>
        <v>34</v>
      </c>
      <c r="L18">
        <f>_xlfn.IFNA(51-MATCH(Songs!$A18,Data!C$2:C$51,0),NA())</f>
        <v>34</v>
      </c>
      <c r="M18">
        <f>_xlfn.IFNA(51-MATCH(Songs!$A18,Data!D$2:D$51,0),NA())</f>
        <v>35</v>
      </c>
      <c r="N18">
        <f>_xlfn.IFNA(51-MATCH(Songs!$A18,Data!E$2:E$51,0),NA())</f>
        <v>33</v>
      </c>
      <c r="O18">
        <f>_xlfn.IFNA(51-MATCH(Songs!$A18,Data!F$2:F$51,0),NA())</f>
        <v>31</v>
      </c>
      <c r="P18">
        <f>_xlfn.IFNA(51-MATCH(Songs!$A18,Data!G$2:G$51,0),NA())</f>
        <v>33</v>
      </c>
      <c r="Q18">
        <f>_xlfn.IFNA(51-MATCH(Songs!$A18,Data!H$2:H$51,0),NA())</f>
        <v>35</v>
      </c>
      <c r="R18" t="e">
        <f>_xlfn.IFNA(51-MATCH(Songs!$A18,Data!I$2:I$51,0),NA())</f>
        <v>#N/A</v>
      </c>
      <c r="S18" t="e">
        <f>_xlfn.IFNA(51-MATCH(Songs!$A18,Data!J$2:J$51,0),NA())</f>
        <v>#N/A</v>
      </c>
      <c r="T18" t="e">
        <f>_xlfn.IFNA(51-MATCH(Songs!$A18,Data!K$2:K$51,0),NA())</f>
        <v>#N/A</v>
      </c>
      <c r="U18" t="e">
        <f>_xlfn.IFNA(51-MATCH(Songs!$A18,Data!L$2:L$51,0),NA())</f>
        <v>#N/A</v>
      </c>
      <c r="V18" t="e">
        <f>_xlfn.IFNA(51-MATCH(Songs!$A18,Data!M$2:M$51,0),NA())</f>
        <v>#N/A</v>
      </c>
      <c r="W18" t="e">
        <f>_xlfn.IFNA(51-MATCH(Songs!$A18,Data!N$2:N$51,0),NA())</f>
        <v>#N/A</v>
      </c>
      <c r="X18" t="e">
        <f>_xlfn.IFNA(51-MATCH(Songs!$A18,Data!O$2:O$51,0),NA())</f>
        <v>#N/A</v>
      </c>
      <c r="Y18" t="e">
        <f>_xlfn.IFNA(51-MATCH(Songs!$A18,Data!P$2:P$51,0),NA())</f>
        <v>#N/A</v>
      </c>
      <c r="Z18" t="e">
        <f>_xlfn.IFNA(51-MATCH(Songs!$A18,Data!Q$2:Q$51,0),NA())</f>
        <v>#N/A</v>
      </c>
      <c r="AA18" t="e">
        <f>_xlfn.IFNA(51-MATCH(Songs!$A18,Data!R$2:R$51,0),NA())</f>
        <v>#N/A</v>
      </c>
      <c r="AB18" t="e">
        <f>_xlfn.IFNA(51-MATCH(Songs!$A18,Data!S$2:S$51,0),NA())</f>
        <v>#N/A</v>
      </c>
      <c r="AC18" t="e">
        <f>_xlfn.IFNA(51-MATCH(Songs!$A18,Data!T$2:T$51,0),NA())</f>
        <v>#N/A</v>
      </c>
      <c r="AD18" t="e">
        <f>_xlfn.IFNA(51-MATCH(Songs!$A18,Data!U$2:U$51,0),NA())</f>
        <v>#N/A</v>
      </c>
    </row>
    <row r="19" spans="1:30" ht="13.2" x14ac:dyDescent="0.25">
      <c r="A19" s="2" t="s">
        <v>24</v>
      </c>
      <c r="B19" s="2" t="s">
        <v>89</v>
      </c>
      <c r="F19" s="2">
        <v>17</v>
      </c>
      <c r="G19" s="2">
        <f ca="1">COUNTIF(INDIRECT(_xlfn.CONCAT("Data!$B$2:", ADDRESS(51,COUNTA(Data!$1:$1)+1,1,1))), Songs!A19) + F19</f>
        <v>27</v>
      </c>
      <c r="H19" s="8"/>
      <c r="I19" s="8"/>
      <c r="J19" s="8" cm="1">
        <f t="array" ref="J19">51 - MAX(IF(NOT(ISNA(K19:BB19)),K19:BB19))</f>
        <v>13</v>
      </c>
      <c r="K19">
        <f>_xlfn.IFNA(51-MATCH(Songs!$A19,Data!B$2:B$51,0),NA())</f>
        <v>33</v>
      </c>
      <c r="L19">
        <f>_xlfn.IFNA(51-MATCH(Songs!$A19,Data!C$2:C$51,0),NA())</f>
        <v>33</v>
      </c>
      <c r="M19">
        <f>_xlfn.IFNA(51-MATCH(Songs!$A19,Data!D$2:D$51,0),NA())</f>
        <v>34</v>
      </c>
      <c r="N19">
        <f>_xlfn.IFNA(51-MATCH(Songs!$A19,Data!E$2:E$51,0),NA())</f>
        <v>31</v>
      </c>
      <c r="O19">
        <f>_xlfn.IFNA(51-MATCH(Songs!$A19,Data!F$2:F$51,0),NA())</f>
        <v>33</v>
      </c>
      <c r="P19">
        <f>_xlfn.IFNA(51-MATCH(Songs!$A19,Data!G$2:G$51,0),NA())</f>
        <v>36</v>
      </c>
      <c r="Q19">
        <f>_xlfn.IFNA(51-MATCH(Songs!$A19,Data!H$2:H$51,0),NA())</f>
        <v>37</v>
      </c>
      <c r="R19">
        <f>_xlfn.IFNA(51-MATCH(Songs!$A19,Data!I$2:I$51,0),NA())</f>
        <v>38</v>
      </c>
      <c r="S19">
        <f>_xlfn.IFNA(51-MATCH(Songs!$A19,Data!J$2:J$51,0),NA())</f>
        <v>37</v>
      </c>
      <c r="T19">
        <f>_xlfn.IFNA(51-MATCH(Songs!$A19,Data!K$2:K$51,0),NA())</f>
        <v>35</v>
      </c>
      <c r="U19" t="e">
        <f>_xlfn.IFNA(51-MATCH(Songs!$A19,Data!L$2:L$51,0),NA())</f>
        <v>#N/A</v>
      </c>
      <c r="V19" t="e">
        <f>_xlfn.IFNA(51-MATCH(Songs!$A19,Data!M$2:M$51,0),NA())</f>
        <v>#N/A</v>
      </c>
      <c r="W19" t="e">
        <f>_xlfn.IFNA(51-MATCH(Songs!$A19,Data!N$2:N$51,0),NA())</f>
        <v>#N/A</v>
      </c>
      <c r="X19" t="e">
        <f>_xlfn.IFNA(51-MATCH(Songs!$A19,Data!O$2:O$51,0),NA())</f>
        <v>#N/A</v>
      </c>
      <c r="Y19" t="e">
        <f>_xlfn.IFNA(51-MATCH(Songs!$A19,Data!P$2:P$51,0),NA())</f>
        <v>#N/A</v>
      </c>
      <c r="Z19" t="e">
        <f>_xlfn.IFNA(51-MATCH(Songs!$A19,Data!Q$2:Q$51,0),NA())</f>
        <v>#N/A</v>
      </c>
      <c r="AA19" t="e">
        <f>_xlfn.IFNA(51-MATCH(Songs!$A19,Data!R$2:R$51,0),NA())</f>
        <v>#N/A</v>
      </c>
      <c r="AB19" t="e">
        <f>_xlfn.IFNA(51-MATCH(Songs!$A19,Data!S$2:S$51,0),NA())</f>
        <v>#N/A</v>
      </c>
      <c r="AC19" t="e">
        <f>_xlfn.IFNA(51-MATCH(Songs!$A19,Data!T$2:T$51,0),NA())</f>
        <v>#N/A</v>
      </c>
      <c r="AD19" t="e">
        <f>_xlfn.IFNA(51-MATCH(Songs!$A19,Data!U$2:U$51,0),NA())</f>
        <v>#N/A</v>
      </c>
    </row>
    <row r="20" spans="1:30" ht="13.2" x14ac:dyDescent="0.25">
      <c r="A20" s="2" t="s">
        <v>26</v>
      </c>
      <c r="B20" s="2" t="s">
        <v>90</v>
      </c>
      <c r="F20" s="2">
        <v>25</v>
      </c>
      <c r="G20" s="2">
        <f ca="1">COUNTIF(INDIRECT(_xlfn.CONCAT("Data!$B$2:", ADDRESS(51,COUNTA(Data!$1:$1)+1,1,1))), Songs!A20) + F20</f>
        <v>27</v>
      </c>
      <c r="H20" s="8"/>
      <c r="I20" s="8"/>
      <c r="J20" s="8" cm="1">
        <f t="array" ref="J20">51 - MAX(IF(NOT(ISNA(K20:BB20)),K20:BB20))</f>
        <v>19</v>
      </c>
      <c r="K20">
        <f>_xlfn.IFNA(51-MATCH(Songs!$A20,Data!B$2:B$51,0),NA())</f>
        <v>32</v>
      </c>
      <c r="L20">
        <f>_xlfn.IFNA(51-MATCH(Songs!$A20,Data!C$2:C$51,0),NA())</f>
        <v>26</v>
      </c>
      <c r="M20" t="e">
        <f>_xlfn.IFNA(51-MATCH(Songs!$A20,Data!D$2:D$51,0),NA())</f>
        <v>#N/A</v>
      </c>
      <c r="N20" t="e">
        <f>_xlfn.IFNA(51-MATCH(Songs!$A20,Data!E$2:E$51,0),NA())</f>
        <v>#N/A</v>
      </c>
      <c r="O20" t="e">
        <f>_xlfn.IFNA(51-MATCH(Songs!$A20,Data!F$2:F$51,0),NA())</f>
        <v>#N/A</v>
      </c>
      <c r="P20" t="e">
        <f>_xlfn.IFNA(51-MATCH(Songs!$A20,Data!G$2:G$51,0),NA())</f>
        <v>#N/A</v>
      </c>
      <c r="Q20" t="e">
        <f>_xlfn.IFNA(51-MATCH(Songs!$A20,Data!H$2:H$51,0),NA())</f>
        <v>#N/A</v>
      </c>
      <c r="R20" t="e">
        <f>_xlfn.IFNA(51-MATCH(Songs!$A20,Data!I$2:I$51,0),NA())</f>
        <v>#N/A</v>
      </c>
      <c r="S20" t="e">
        <f>_xlfn.IFNA(51-MATCH(Songs!$A20,Data!J$2:J$51,0),NA())</f>
        <v>#N/A</v>
      </c>
      <c r="T20" t="e">
        <f>_xlfn.IFNA(51-MATCH(Songs!$A20,Data!K$2:K$51,0),NA())</f>
        <v>#N/A</v>
      </c>
      <c r="U20" t="e">
        <f>_xlfn.IFNA(51-MATCH(Songs!$A20,Data!L$2:L$51,0),NA())</f>
        <v>#N/A</v>
      </c>
      <c r="V20" t="e">
        <f>_xlfn.IFNA(51-MATCH(Songs!$A20,Data!M$2:M$51,0),NA())</f>
        <v>#N/A</v>
      </c>
      <c r="W20" t="e">
        <f>_xlfn.IFNA(51-MATCH(Songs!$A20,Data!N$2:N$51,0),NA())</f>
        <v>#N/A</v>
      </c>
      <c r="X20" t="e">
        <f>_xlfn.IFNA(51-MATCH(Songs!$A20,Data!O$2:O$51,0),NA())</f>
        <v>#N/A</v>
      </c>
      <c r="Y20" t="e">
        <f>_xlfn.IFNA(51-MATCH(Songs!$A20,Data!P$2:P$51,0),NA())</f>
        <v>#N/A</v>
      </c>
      <c r="Z20" t="e">
        <f>_xlfn.IFNA(51-MATCH(Songs!$A20,Data!Q$2:Q$51,0),NA())</f>
        <v>#N/A</v>
      </c>
      <c r="AA20" t="e">
        <f>_xlfn.IFNA(51-MATCH(Songs!$A20,Data!R$2:R$51,0),NA())</f>
        <v>#N/A</v>
      </c>
      <c r="AB20" t="e">
        <f>_xlfn.IFNA(51-MATCH(Songs!$A20,Data!S$2:S$51,0),NA())</f>
        <v>#N/A</v>
      </c>
      <c r="AC20" t="e">
        <f>_xlfn.IFNA(51-MATCH(Songs!$A20,Data!T$2:T$51,0),NA())</f>
        <v>#N/A</v>
      </c>
      <c r="AD20" t="e">
        <f>_xlfn.IFNA(51-MATCH(Songs!$A20,Data!U$2:U$51,0),NA())</f>
        <v>#N/A</v>
      </c>
    </row>
    <row r="21" spans="1:30" ht="13.2" x14ac:dyDescent="0.25">
      <c r="A21" s="4" t="s">
        <v>25</v>
      </c>
      <c r="B21" s="2" t="s">
        <v>91</v>
      </c>
      <c r="F21" s="2">
        <v>35</v>
      </c>
      <c r="G21" s="2">
        <f ca="1">COUNTIF(INDIRECT(_xlfn.CONCAT("Data!$B$2:", ADDRESS(51,COUNTA(Data!$1:$1)+1,1,1))), Songs!A21) + F21</f>
        <v>46</v>
      </c>
      <c r="H21" s="8"/>
      <c r="I21" s="8"/>
      <c r="J21" s="8" cm="1">
        <f t="array" ref="J21">51 - MAX(IF(NOT(ISNA(K21:BB21)),K21:BB21))</f>
        <v>8</v>
      </c>
      <c r="K21">
        <f>_xlfn.IFNA(51-MATCH(Songs!$A21,Data!B$2:B$51,0),NA())</f>
        <v>31</v>
      </c>
      <c r="L21">
        <f>_xlfn.IFNA(51-MATCH(Songs!$A21,Data!C$2:C$51,0),NA())</f>
        <v>32</v>
      </c>
      <c r="M21">
        <f>_xlfn.IFNA(51-MATCH(Songs!$A21,Data!D$2:D$51,0),NA())</f>
        <v>33</v>
      </c>
      <c r="N21">
        <f>_xlfn.IFNA(51-MATCH(Songs!$A21,Data!E$2:E$51,0),NA())</f>
        <v>30</v>
      </c>
      <c r="O21">
        <f>_xlfn.IFNA(51-MATCH(Songs!$A21,Data!F$2:F$51,0),NA())</f>
        <v>34</v>
      </c>
      <c r="P21">
        <f>_xlfn.IFNA(51-MATCH(Songs!$A21,Data!G$2:G$51,0),NA())</f>
        <v>37</v>
      </c>
      <c r="Q21">
        <f>_xlfn.IFNA(51-MATCH(Songs!$A21,Data!H$2:H$51,0),NA())</f>
        <v>36</v>
      </c>
      <c r="R21">
        <f>_xlfn.IFNA(51-MATCH(Songs!$A21,Data!I$2:I$51,0),NA())</f>
        <v>37</v>
      </c>
      <c r="S21">
        <f>_xlfn.IFNA(51-MATCH(Songs!$A21,Data!J$2:J$51,0),NA())</f>
        <v>39</v>
      </c>
      <c r="T21">
        <f>_xlfn.IFNA(51-MATCH(Songs!$A21,Data!K$2:K$51,0),NA())</f>
        <v>39</v>
      </c>
      <c r="U21">
        <f>_xlfn.IFNA(51-MATCH(Songs!$A21,Data!L$2:L$51,0),NA())</f>
        <v>43</v>
      </c>
      <c r="V21" t="e">
        <f>_xlfn.IFNA(51-MATCH(Songs!$A21,Data!M$2:M$51,0),NA())</f>
        <v>#N/A</v>
      </c>
      <c r="W21" t="e">
        <f>_xlfn.IFNA(51-MATCH(Songs!$A21,Data!N$2:N$51,0),NA())</f>
        <v>#N/A</v>
      </c>
      <c r="X21" t="e">
        <f>_xlfn.IFNA(51-MATCH(Songs!$A21,Data!O$2:O$51,0),NA())</f>
        <v>#N/A</v>
      </c>
      <c r="Y21" t="e">
        <f>_xlfn.IFNA(51-MATCH(Songs!$A21,Data!P$2:P$51,0),NA())</f>
        <v>#N/A</v>
      </c>
      <c r="Z21" t="e">
        <f>_xlfn.IFNA(51-MATCH(Songs!$A21,Data!Q$2:Q$51,0),NA())</f>
        <v>#N/A</v>
      </c>
      <c r="AA21" t="e">
        <f>_xlfn.IFNA(51-MATCH(Songs!$A21,Data!R$2:R$51,0),NA())</f>
        <v>#N/A</v>
      </c>
      <c r="AB21" t="e">
        <f>_xlfn.IFNA(51-MATCH(Songs!$A21,Data!S$2:S$51,0),NA())</f>
        <v>#N/A</v>
      </c>
      <c r="AC21" t="e">
        <f>_xlfn.IFNA(51-MATCH(Songs!$A21,Data!T$2:T$51,0),NA())</f>
        <v>#N/A</v>
      </c>
      <c r="AD21" t="e">
        <f>_xlfn.IFNA(51-MATCH(Songs!$A21,Data!U$2:U$51,0),NA())</f>
        <v>#N/A</v>
      </c>
    </row>
    <row r="22" spans="1:30" ht="13.2" x14ac:dyDescent="0.25">
      <c r="A22" s="2" t="s">
        <v>27</v>
      </c>
      <c r="B22" s="2" t="s">
        <v>92</v>
      </c>
      <c r="D22" s="2" t="s">
        <v>78</v>
      </c>
      <c r="E22" s="2"/>
      <c r="F22" s="2">
        <v>22</v>
      </c>
      <c r="G22" s="2">
        <f ca="1">COUNTIF(INDIRECT(_xlfn.CONCAT("Data!$B$2:", ADDRESS(51,COUNTA(Data!$1:$1)+1,1,1))), Songs!A22) + F22</f>
        <v>39</v>
      </c>
      <c r="H22" s="8"/>
      <c r="I22" s="8"/>
      <c r="J22" s="8" cm="1">
        <f t="array" ref="J22">51 - MAX(IF(NOT(ISNA(K22:BB22)),K22:BB22))</f>
        <v>19</v>
      </c>
      <c r="K22">
        <f>_xlfn.IFNA(51-MATCH(Songs!$A22,Data!B$2:B$51,0),NA())</f>
        <v>30</v>
      </c>
      <c r="L22">
        <f>_xlfn.IFNA(51-MATCH(Songs!$A22,Data!C$2:C$51,0),NA())</f>
        <v>31</v>
      </c>
      <c r="M22">
        <f>_xlfn.IFNA(51-MATCH(Songs!$A22,Data!D$2:D$51,0),NA())</f>
        <v>32</v>
      </c>
      <c r="N22">
        <f>_xlfn.IFNA(51-MATCH(Songs!$A22,Data!E$2:E$51,0),NA())</f>
        <v>26</v>
      </c>
      <c r="O22">
        <f>_xlfn.IFNA(51-MATCH(Songs!$A22,Data!F$2:F$51,0),NA())</f>
        <v>29</v>
      </c>
      <c r="P22">
        <f>_xlfn.IFNA(51-MATCH(Songs!$A22,Data!G$2:G$51,0),NA())</f>
        <v>25</v>
      </c>
      <c r="Q22">
        <f>_xlfn.IFNA(51-MATCH(Songs!$A22,Data!H$2:H$51,0),NA())</f>
        <v>23</v>
      </c>
      <c r="R22">
        <f>_xlfn.IFNA(51-MATCH(Songs!$A22,Data!I$2:I$51,0),NA())</f>
        <v>30</v>
      </c>
      <c r="S22">
        <f>_xlfn.IFNA(51-MATCH(Songs!$A22,Data!J$2:J$51,0),NA())</f>
        <v>24</v>
      </c>
      <c r="T22">
        <f>_xlfn.IFNA(51-MATCH(Songs!$A22,Data!K$2:K$51,0),NA())</f>
        <v>26</v>
      </c>
      <c r="U22">
        <f>_xlfn.IFNA(51-MATCH(Songs!$A22,Data!L$2:L$51,0),NA())</f>
        <v>25</v>
      </c>
      <c r="V22">
        <f>_xlfn.IFNA(51-MATCH(Songs!$A22,Data!M$2:M$51,0),NA())</f>
        <v>13</v>
      </c>
      <c r="W22">
        <f>_xlfn.IFNA(51-MATCH(Songs!$A22,Data!N$2:N$51,0),NA())</f>
        <v>21</v>
      </c>
      <c r="X22">
        <f>_xlfn.IFNA(51-MATCH(Songs!$A22,Data!O$2:O$51,0),NA())</f>
        <v>22</v>
      </c>
      <c r="Y22">
        <f>_xlfn.IFNA(51-MATCH(Songs!$A22,Data!P$2:P$51,0),NA())</f>
        <v>27</v>
      </c>
      <c r="Z22">
        <f>_xlfn.IFNA(51-MATCH(Songs!$A22,Data!Q$2:Q$51,0),NA())</f>
        <v>28</v>
      </c>
      <c r="AA22">
        <f>_xlfn.IFNA(51-MATCH(Songs!$A22,Data!R$2:R$51,0),NA())</f>
        <v>26</v>
      </c>
      <c r="AB22" t="e">
        <f>_xlfn.IFNA(51-MATCH(Songs!$A22,Data!S$2:S$51,0),NA())</f>
        <v>#N/A</v>
      </c>
      <c r="AC22" t="e">
        <f>_xlfn.IFNA(51-MATCH(Songs!$A22,Data!T$2:T$51,0),NA())</f>
        <v>#N/A</v>
      </c>
      <c r="AD22" t="e">
        <f>_xlfn.IFNA(51-MATCH(Songs!$A22,Data!U$2:U$51,0),NA())</f>
        <v>#N/A</v>
      </c>
    </row>
    <row r="23" spans="1:30" ht="13.2" x14ac:dyDescent="0.25">
      <c r="A23" s="2" t="s">
        <v>30</v>
      </c>
      <c r="B23" s="2" t="s">
        <v>93</v>
      </c>
      <c r="F23" s="2">
        <v>7</v>
      </c>
      <c r="G23" s="2">
        <f ca="1">COUNTIF(INDIRECT(_xlfn.CONCAT("Data!$B$2:", ADDRESS(51,COUNTA(Data!$1:$1)+1,1,1))), Songs!A23) + F23</f>
        <v>24</v>
      </c>
      <c r="H23" s="8"/>
      <c r="I23" s="8"/>
      <c r="J23" s="8" cm="1">
        <f t="array" ref="J23">51 - MAX(IF(NOT(ISNA(K23:BB23)),K23:BB23))</f>
        <v>21</v>
      </c>
      <c r="K23">
        <f>_xlfn.IFNA(51-MATCH(Songs!$A23,Data!B$2:B$51,0),NA())</f>
        <v>29</v>
      </c>
      <c r="L23">
        <f>_xlfn.IFNA(51-MATCH(Songs!$A23,Data!C$2:C$51,0),NA())</f>
        <v>30</v>
      </c>
      <c r="M23">
        <f>_xlfn.IFNA(51-MATCH(Songs!$A23,Data!D$2:D$51,0),NA())</f>
        <v>27</v>
      </c>
      <c r="N23">
        <f>_xlfn.IFNA(51-MATCH(Songs!$A23,Data!E$2:E$51,0),NA())</f>
        <v>24</v>
      </c>
      <c r="O23">
        <f>_xlfn.IFNA(51-MATCH(Songs!$A23,Data!F$2:F$51,0),NA())</f>
        <v>24</v>
      </c>
      <c r="P23">
        <f>_xlfn.IFNA(51-MATCH(Songs!$A23,Data!G$2:G$51,0),NA())</f>
        <v>30</v>
      </c>
      <c r="Q23">
        <f>_xlfn.IFNA(51-MATCH(Songs!$A23,Data!H$2:H$51,0),NA())</f>
        <v>28</v>
      </c>
      <c r="R23">
        <f>_xlfn.IFNA(51-MATCH(Songs!$A23,Data!I$2:I$51,0),NA())</f>
        <v>27</v>
      </c>
      <c r="S23">
        <f>_xlfn.IFNA(51-MATCH(Songs!$A23,Data!J$2:J$51,0),NA())</f>
        <v>26</v>
      </c>
      <c r="T23">
        <f>_xlfn.IFNA(51-MATCH(Songs!$A23,Data!K$2:K$51,0),NA())</f>
        <v>24</v>
      </c>
      <c r="U23">
        <f>_xlfn.IFNA(51-MATCH(Songs!$A23,Data!L$2:L$51,0),NA())</f>
        <v>26</v>
      </c>
      <c r="V23">
        <f>_xlfn.IFNA(51-MATCH(Songs!$A23,Data!M$2:M$51,0),NA())</f>
        <v>14</v>
      </c>
      <c r="W23">
        <f>_xlfn.IFNA(51-MATCH(Songs!$A23,Data!N$2:N$51,0),NA())</f>
        <v>16</v>
      </c>
      <c r="X23">
        <f>_xlfn.IFNA(51-MATCH(Songs!$A23,Data!O$2:O$51,0),NA())</f>
        <v>24</v>
      </c>
      <c r="Y23">
        <f>_xlfn.IFNA(51-MATCH(Songs!$A23,Data!P$2:P$51,0),NA())</f>
        <v>26</v>
      </c>
      <c r="Z23">
        <f>_xlfn.IFNA(51-MATCH(Songs!$A23,Data!Q$2:Q$51,0),NA())</f>
        <v>29</v>
      </c>
      <c r="AA23">
        <f>_xlfn.IFNA(51-MATCH(Songs!$A23,Data!R$2:R$51,0),NA())</f>
        <v>29</v>
      </c>
      <c r="AB23" t="e">
        <f>_xlfn.IFNA(51-MATCH(Songs!$A23,Data!S$2:S$51,0),NA())</f>
        <v>#N/A</v>
      </c>
      <c r="AC23" t="e">
        <f>_xlfn.IFNA(51-MATCH(Songs!$A23,Data!T$2:T$51,0),NA())</f>
        <v>#N/A</v>
      </c>
      <c r="AD23" t="e">
        <f>_xlfn.IFNA(51-MATCH(Songs!$A23,Data!U$2:U$51,0),NA())</f>
        <v>#N/A</v>
      </c>
    </row>
    <row r="24" spans="1:30" ht="13.2" x14ac:dyDescent="0.25">
      <c r="A24" s="2" t="s">
        <v>33</v>
      </c>
      <c r="B24" s="2" t="s">
        <v>94</v>
      </c>
      <c r="F24" s="2">
        <v>23</v>
      </c>
      <c r="G24" s="2">
        <f ca="1">COUNTIF(INDIRECT(_xlfn.CONCAT("Data!$B$2:", ADDRESS(51,COUNTA(Data!$1:$1)+1,1,1))), Songs!A24) + F24</f>
        <v>25</v>
      </c>
      <c r="H24" s="8"/>
      <c r="I24" s="8"/>
      <c r="J24" s="8" cm="1">
        <f t="array" ref="J24">51 - MAX(IF(NOT(ISNA(K24:BB24)),K24:BB24))</f>
        <v>23</v>
      </c>
      <c r="K24">
        <f>_xlfn.IFNA(51-MATCH(Songs!$A24,Data!B$2:B$51,0),NA())</f>
        <v>28</v>
      </c>
      <c r="L24">
        <f>_xlfn.IFNA(51-MATCH(Songs!$A24,Data!C$2:C$51,0),NA())</f>
        <v>27</v>
      </c>
      <c r="M24" t="e">
        <f>_xlfn.IFNA(51-MATCH(Songs!$A24,Data!D$2:D$51,0),NA())</f>
        <v>#N/A</v>
      </c>
      <c r="N24" t="e">
        <f>_xlfn.IFNA(51-MATCH(Songs!$A24,Data!E$2:E$51,0),NA())</f>
        <v>#N/A</v>
      </c>
      <c r="O24" t="e">
        <f>_xlfn.IFNA(51-MATCH(Songs!$A24,Data!F$2:F$51,0),NA())</f>
        <v>#N/A</v>
      </c>
      <c r="P24" t="e">
        <f>_xlfn.IFNA(51-MATCH(Songs!$A24,Data!G$2:G$51,0),NA())</f>
        <v>#N/A</v>
      </c>
      <c r="Q24" t="e">
        <f>_xlfn.IFNA(51-MATCH(Songs!$A24,Data!H$2:H$51,0),NA())</f>
        <v>#N/A</v>
      </c>
      <c r="R24" t="e">
        <f>_xlfn.IFNA(51-MATCH(Songs!$A24,Data!I$2:I$51,0),NA())</f>
        <v>#N/A</v>
      </c>
      <c r="S24" t="e">
        <f>_xlfn.IFNA(51-MATCH(Songs!$A24,Data!J$2:J$51,0),NA())</f>
        <v>#N/A</v>
      </c>
      <c r="T24" t="e">
        <f>_xlfn.IFNA(51-MATCH(Songs!$A24,Data!K$2:K$51,0),NA())</f>
        <v>#N/A</v>
      </c>
      <c r="U24" t="e">
        <f>_xlfn.IFNA(51-MATCH(Songs!$A24,Data!L$2:L$51,0),NA())</f>
        <v>#N/A</v>
      </c>
      <c r="V24" t="e">
        <f>_xlfn.IFNA(51-MATCH(Songs!$A24,Data!M$2:M$51,0),NA())</f>
        <v>#N/A</v>
      </c>
      <c r="W24" t="e">
        <f>_xlfn.IFNA(51-MATCH(Songs!$A24,Data!N$2:N$51,0),NA())</f>
        <v>#N/A</v>
      </c>
      <c r="X24" t="e">
        <f>_xlfn.IFNA(51-MATCH(Songs!$A24,Data!O$2:O$51,0),NA())</f>
        <v>#N/A</v>
      </c>
      <c r="Y24" t="e">
        <f>_xlfn.IFNA(51-MATCH(Songs!$A24,Data!P$2:P$51,0),NA())</f>
        <v>#N/A</v>
      </c>
      <c r="Z24" t="e">
        <f>_xlfn.IFNA(51-MATCH(Songs!$A24,Data!Q$2:Q$51,0),NA())</f>
        <v>#N/A</v>
      </c>
      <c r="AA24" t="e">
        <f>_xlfn.IFNA(51-MATCH(Songs!$A24,Data!R$2:R$51,0),NA())</f>
        <v>#N/A</v>
      </c>
      <c r="AB24" t="e">
        <f>_xlfn.IFNA(51-MATCH(Songs!$A24,Data!S$2:S$51,0),NA())</f>
        <v>#N/A</v>
      </c>
      <c r="AC24" t="e">
        <f>_xlfn.IFNA(51-MATCH(Songs!$A24,Data!T$2:T$51,0),NA())</f>
        <v>#N/A</v>
      </c>
      <c r="AD24" t="e">
        <f>_xlfn.IFNA(51-MATCH(Songs!$A24,Data!U$2:U$51,0),NA())</f>
        <v>#N/A</v>
      </c>
    </row>
    <row r="25" spans="1:30" ht="13.2" x14ac:dyDescent="0.25">
      <c r="A25" s="2" t="s">
        <v>29</v>
      </c>
      <c r="B25" s="2" t="s">
        <v>95</v>
      </c>
      <c r="D25" s="2" t="s">
        <v>76</v>
      </c>
      <c r="E25" s="2"/>
      <c r="F25" s="2">
        <v>16</v>
      </c>
      <c r="G25" s="2">
        <f ca="1">COUNTIF(INDIRECT(_xlfn.CONCAT("Data!$B$2:", ADDRESS(51,COUNTA(Data!$1:$1)+1,1,1))), Songs!A25) + F25</f>
        <v>27</v>
      </c>
      <c r="H25" s="8"/>
      <c r="I25" s="8"/>
      <c r="J25" s="8" cm="1">
        <f t="array" ref="J25">51 - MAX(IF(NOT(ISNA(K25:BB25)),K25:BB25))</f>
        <v>14</v>
      </c>
      <c r="K25">
        <f>_xlfn.IFNA(51-MATCH(Songs!$A25,Data!B$2:B$51,0),NA())</f>
        <v>27</v>
      </c>
      <c r="L25">
        <f>_xlfn.IFNA(51-MATCH(Songs!$A25,Data!C$2:C$51,0),NA())</f>
        <v>28</v>
      </c>
      <c r="M25">
        <f>_xlfn.IFNA(51-MATCH(Songs!$A25,Data!D$2:D$51,0),NA())</f>
        <v>31</v>
      </c>
      <c r="N25">
        <f>_xlfn.IFNA(51-MATCH(Songs!$A25,Data!E$2:E$51,0),NA())</f>
        <v>27</v>
      </c>
      <c r="O25">
        <f>_xlfn.IFNA(51-MATCH(Songs!$A25,Data!F$2:F$51,0),NA())</f>
        <v>32</v>
      </c>
      <c r="P25">
        <f>_xlfn.IFNA(51-MATCH(Songs!$A25,Data!G$2:G$51,0),NA())</f>
        <v>34</v>
      </c>
      <c r="Q25">
        <f>_xlfn.IFNA(51-MATCH(Songs!$A25,Data!H$2:H$51,0),NA())</f>
        <v>34</v>
      </c>
      <c r="R25">
        <f>_xlfn.IFNA(51-MATCH(Songs!$A25,Data!I$2:I$51,0),NA())</f>
        <v>36</v>
      </c>
      <c r="S25">
        <f>_xlfn.IFNA(51-MATCH(Songs!$A25,Data!J$2:J$51,0),NA())</f>
        <v>35</v>
      </c>
      <c r="T25">
        <f>_xlfn.IFNA(51-MATCH(Songs!$A25,Data!K$2:K$51,0),NA())</f>
        <v>37</v>
      </c>
      <c r="U25">
        <f>_xlfn.IFNA(51-MATCH(Songs!$A25,Data!L$2:L$51,0),NA())</f>
        <v>37</v>
      </c>
      <c r="V25" t="e">
        <f>_xlfn.IFNA(51-MATCH(Songs!$A25,Data!M$2:M$51,0),NA())</f>
        <v>#N/A</v>
      </c>
      <c r="W25" t="e">
        <f>_xlfn.IFNA(51-MATCH(Songs!$A25,Data!N$2:N$51,0),NA())</f>
        <v>#N/A</v>
      </c>
      <c r="X25" t="e">
        <f>_xlfn.IFNA(51-MATCH(Songs!$A25,Data!O$2:O$51,0),NA())</f>
        <v>#N/A</v>
      </c>
      <c r="Y25" t="e">
        <f>_xlfn.IFNA(51-MATCH(Songs!$A25,Data!P$2:P$51,0),NA())</f>
        <v>#N/A</v>
      </c>
      <c r="Z25" t="e">
        <f>_xlfn.IFNA(51-MATCH(Songs!$A25,Data!Q$2:Q$51,0),NA())</f>
        <v>#N/A</v>
      </c>
      <c r="AA25" t="e">
        <f>_xlfn.IFNA(51-MATCH(Songs!$A25,Data!R$2:R$51,0),NA())</f>
        <v>#N/A</v>
      </c>
      <c r="AB25" t="e">
        <f>_xlfn.IFNA(51-MATCH(Songs!$A25,Data!S$2:S$51,0),NA())</f>
        <v>#N/A</v>
      </c>
      <c r="AC25" t="e">
        <f>_xlfn.IFNA(51-MATCH(Songs!$A25,Data!T$2:T$51,0),NA())</f>
        <v>#N/A</v>
      </c>
      <c r="AD25" t="e">
        <f>_xlfn.IFNA(51-MATCH(Songs!$A25,Data!U$2:U$51,0),NA())</f>
        <v>#N/A</v>
      </c>
    </row>
    <row r="26" spans="1:30" ht="13.2" x14ac:dyDescent="0.25">
      <c r="A26" s="2" t="s">
        <v>31</v>
      </c>
      <c r="B26" s="2" t="s">
        <v>96</v>
      </c>
      <c r="F26" s="2">
        <v>15</v>
      </c>
      <c r="G26" s="2">
        <f ca="1">COUNTIF(INDIRECT(_xlfn.CONCAT("Data!$B$2:", ADDRESS(51,COUNTA(Data!$1:$1)+1,1,1))), Songs!A26) + F26</f>
        <v>29</v>
      </c>
      <c r="H26" s="8"/>
      <c r="I26" s="8"/>
      <c r="J26" s="8" cm="1">
        <f t="array" ref="J26">51 - MAX(IF(NOT(ISNA(K26:BB26)),K26:BB26))</f>
        <v>19</v>
      </c>
      <c r="K26">
        <f>_xlfn.IFNA(51-MATCH(Songs!$A26,Data!B$2:B$51,0),NA())</f>
        <v>26</v>
      </c>
      <c r="L26">
        <f>_xlfn.IFNA(51-MATCH(Songs!$A26,Data!C$2:C$51,0),NA())</f>
        <v>29</v>
      </c>
      <c r="M26">
        <f>_xlfn.IFNA(51-MATCH(Songs!$A26,Data!D$2:D$51,0),NA())</f>
        <v>30</v>
      </c>
      <c r="N26">
        <f>_xlfn.IFNA(51-MATCH(Songs!$A26,Data!E$2:E$51,0),NA())</f>
        <v>25</v>
      </c>
      <c r="O26">
        <f>_xlfn.IFNA(51-MATCH(Songs!$A26,Data!F$2:F$51,0),NA())</f>
        <v>28</v>
      </c>
      <c r="P26">
        <f>_xlfn.IFNA(51-MATCH(Songs!$A26,Data!G$2:G$51,0),NA())</f>
        <v>31</v>
      </c>
      <c r="Q26">
        <f>_xlfn.IFNA(51-MATCH(Songs!$A26,Data!H$2:H$51,0),NA())</f>
        <v>31</v>
      </c>
      <c r="R26">
        <f>_xlfn.IFNA(51-MATCH(Songs!$A26,Data!I$2:I$51,0),NA())</f>
        <v>32</v>
      </c>
      <c r="S26">
        <f>_xlfn.IFNA(51-MATCH(Songs!$A26,Data!J$2:J$51,0),NA())</f>
        <v>31</v>
      </c>
      <c r="T26">
        <f>_xlfn.IFNA(51-MATCH(Songs!$A26,Data!K$2:K$51,0),NA())</f>
        <v>30</v>
      </c>
      <c r="U26">
        <f>_xlfn.IFNA(51-MATCH(Songs!$A26,Data!L$2:L$51,0),NA())</f>
        <v>31</v>
      </c>
      <c r="V26">
        <f>_xlfn.IFNA(51-MATCH(Songs!$A26,Data!M$2:M$51,0),NA())</f>
        <v>19</v>
      </c>
      <c r="W26">
        <f>_xlfn.IFNA(51-MATCH(Songs!$A26,Data!N$2:N$51,0),NA())</f>
        <v>24</v>
      </c>
      <c r="X26">
        <f>_xlfn.IFNA(51-MATCH(Songs!$A26,Data!O$2:O$51,0),NA())</f>
        <v>25</v>
      </c>
      <c r="Y26" t="e">
        <f>_xlfn.IFNA(51-MATCH(Songs!$A26,Data!P$2:P$51,0),NA())</f>
        <v>#N/A</v>
      </c>
      <c r="Z26" t="e">
        <f>_xlfn.IFNA(51-MATCH(Songs!$A26,Data!Q$2:Q$51,0),NA())</f>
        <v>#N/A</v>
      </c>
      <c r="AA26" t="e">
        <f>_xlfn.IFNA(51-MATCH(Songs!$A26,Data!R$2:R$51,0),NA())</f>
        <v>#N/A</v>
      </c>
      <c r="AB26" t="e">
        <f>_xlfn.IFNA(51-MATCH(Songs!$A26,Data!S$2:S$51,0),NA())</f>
        <v>#N/A</v>
      </c>
      <c r="AC26" t="e">
        <f>_xlfn.IFNA(51-MATCH(Songs!$A26,Data!T$2:T$51,0),NA())</f>
        <v>#N/A</v>
      </c>
      <c r="AD26" t="e">
        <f>_xlfn.IFNA(51-MATCH(Songs!$A26,Data!U$2:U$51,0),NA())</f>
        <v>#N/A</v>
      </c>
    </row>
    <row r="27" spans="1:30" ht="13.2" x14ac:dyDescent="0.25">
      <c r="A27" s="2" t="s">
        <v>37</v>
      </c>
      <c r="B27" s="2" t="s">
        <v>97</v>
      </c>
      <c r="F27" s="2">
        <v>14</v>
      </c>
      <c r="G27" s="2">
        <f ca="1">COUNTIF(INDIRECT(_xlfn.CONCAT("Data!$B$2:", ADDRESS(51,COUNTA(Data!$1:$1)+1,1,1))), Songs!A27) + F27</f>
        <v>21</v>
      </c>
      <c r="H27" s="8"/>
      <c r="I27" s="8"/>
      <c r="J27" s="8" cm="1">
        <f t="array" ref="J27">51 - MAX(IF(NOT(ISNA(K27:BB27)),K27:BB27))</f>
        <v>26</v>
      </c>
      <c r="K27">
        <f>_xlfn.IFNA(51-MATCH(Songs!$A27,Data!B$2:B$51,0),NA())</f>
        <v>25</v>
      </c>
      <c r="L27">
        <f>_xlfn.IFNA(51-MATCH(Songs!$A27,Data!C$2:C$51,0),NA())</f>
        <v>25</v>
      </c>
      <c r="M27">
        <f>_xlfn.IFNA(51-MATCH(Songs!$A27,Data!D$2:D$51,0),NA())</f>
        <v>22</v>
      </c>
      <c r="N27">
        <f>_xlfn.IFNA(51-MATCH(Songs!$A27,Data!E$2:E$51,0),NA())</f>
        <v>17</v>
      </c>
      <c r="O27">
        <f>_xlfn.IFNA(51-MATCH(Songs!$A27,Data!F$2:F$51,0),NA())</f>
        <v>15</v>
      </c>
      <c r="P27">
        <f>_xlfn.IFNA(51-MATCH(Songs!$A27,Data!G$2:G$51,0),NA())</f>
        <v>13</v>
      </c>
      <c r="Q27">
        <f>_xlfn.IFNA(51-MATCH(Songs!$A27,Data!H$2:H$51,0),NA())</f>
        <v>9</v>
      </c>
      <c r="R27" t="e">
        <f>_xlfn.IFNA(51-MATCH(Songs!$A27,Data!I$2:I$51,0),NA())</f>
        <v>#N/A</v>
      </c>
      <c r="S27" t="e">
        <f>_xlfn.IFNA(51-MATCH(Songs!$A27,Data!J$2:J$51,0),NA())</f>
        <v>#N/A</v>
      </c>
      <c r="T27" t="e">
        <f>_xlfn.IFNA(51-MATCH(Songs!$A27,Data!K$2:K$51,0),NA())</f>
        <v>#N/A</v>
      </c>
      <c r="U27" t="e">
        <f>_xlfn.IFNA(51-MATCH(Songs!$A27,Data!L$2:L$51,0),NA())</f>
        <v>#N/A</v>
      </c>
      <c r="V27" t="e">
        <f>_xlfn.IFNA(51-MATCH(Songs!$A27,Data!M$2:M$51,0),NA())</f>
        <v>#N/A</v>
      </c>
      <c r="W27" t="e">
        <f>_xlfn.IFNA(51-MATCH(Songs!$A27,Data!N$2:N$51,0),NA())</f>
        <v>#N/A</v>
      </c>
      <c r="X27" t="e">
        <f>_xlfn.IFNA(51-MATCH(Songs!$A27,Data!O$2:O$51,0),NA())</f>
        <v>#N/A</v>
      </c>
      <c r="Y27" t="e">
        <f>_xlfn.IFNA(51-MATCH(Songs!$A27,Data!P$2:P$51,0),NA())</f>
        <v>#N/A</v>
      </c>
      <c r="Z27" t="e">
        <f>_xlfn.IFNA(51-MATCH(Songs!$A27,Data!Q$2:Q$51,0),NA())</f>
        <v>#N/A</v>
      </c>
      <c r="AA27" t="e">
        <f>_xlfn.IFNA(51-MATCH(Songs!$A27,Data!R$2:R$51,0),NA())</f>
        <v>#N/A</v>
      </c>
      <c r="AB27" t="e">
        <f>_xlfn.IFNA(51-MATCH(Songs!$A27,Data!S$2:S$51,0),NA())</f>
        <v>#N/A</v>
      </c>
      <c r="AC27" t="e">
        <f>_xlfn.IFNA(51-MATCH(Songs!$A27,Data!T$2:T$51,0),NA())</f>
        <v>#N/A</v>
      </c>
      <c r="AD27" t="e">
        <f>_xlfn.IFNA(51-MATCH(Songs!$A27,Data!U$2:U$51,0),NA())</f>
        <v>#N/A</v>
      </c>
    </row>
    <row r="28" spans="1:30" ht="13.2" x14ac:dyDescent="0.25">
      <c r="A28" s="2" t="s">
        <v>36</v>
      </c>
      <c r="B28" s="2" t="s">
        <v>98</v>
      </c>
      <c r="F28" s="2">
        <v>9</v>
      </c>
      <c r="G28" s="2">
        <f ca="1">COUNTIF(INDIRECT(_xlfn.CONCAT("Data!$B$2:", ADDRESS(51,COUNTA(Data!$1:$1)+1,1,1))), Songs!A28) + F28</f>
        <v>26</v>
      </c>
      <c r="H28" s="8"/>
      <c r="I28" s="8"/>
      <c r="J28" s="8" cm="1">
        <f t="array" ref="J28">51 - MAX(IF(NOT(ISNA(K28:BB28)),K28:BB28))</f>
        <v>8</v>
      </c>
      <c r="K28">
        <f>_xlfn.IFNA(51-MATCH(Songs!$A28,Data!B$2:B$51,0),NA())</f>
        <v>24</v>
      </c>
      <c r="L28">
        <f>_xlfn.IFNA(51-MATCH(Songs!$A28,Data!C$2:C$51,0),NA())</f>
        <v>23</v>
      </c>
      <c r="M28">
        <f>_xlfn.IFNA(51-MATCH(Songs!$A28,Data!D$2:D$51,0),NA())</f>
        <v>26</v>
      </c>
      <c r="N28">
        <f>_xlfn.IFNA(51-MATCH(Songs!$A28,Data!E$2:E$51,0),NA())</f>
        <v>23</v>
      </c>
      <c r="O28">
        <f>_xlfn.IFNA(51-MATCH(Songs!$A28,Data!F$2:F$51,0),NA())</f>
        <v>26</v>
      </c>
      <c r="P28">
        <f>_xlfn.IFNA(51-MATCH(Songs!$A28,Data!G$2:G$51,0),NA())</f>
        <v>32</v>
      </c>
      <c r="Q28">
        <f>_xlfn.IFNA(51-MATCH(Songs!$A28,Data!H$2:H$51,0),NA())</f>
        <v>33</v>
      </c>
      <c r="R28">
        <f>_xlfn.IFNA(51-MATCH(Songs!$A28,Data!I$2:I$51,0),NA())</f>
        <v>35</v>
      </c>
      <c r="S28">
        <f>_xlfn.IFNA(51-MATCH(Songs!$A28,Data!J$2:J$51,0),NA())</f>
        <v>36</v>
      </c>
      <c r="T28">
        <f>_xlfn.IFNA(51-MATCH(Songs!$A28,Data!K$2:K$51,0),NA())</f>
        <v>38</v>
      </c>
      <c r="U28">
        <f>_xlfn.IFNA(51-MATCH(Songs!$A28,Data!L$2:L$51,0),NA())</f>
        <v>38</v>
      </c>
      <c r="V28">
        <f>_xlfn.IFNA(51-MATCH(Songs!$A28,Data!M$2:M$51,0),NA())</f>
        <v>30</v>
      </c>
      <c r="W28">
        <f>_xlfn.IFNA(51-MATCH(Songs!$A28,Data!N$2:N$51,0),NA())</f>
        <v>40</v>
      </c>
      <c r="X28">
        <f>_xlfn.IFNA(51-MATCH(Songs!$A28,Data!O$2:O$51,0),NA())</f>
        <v>41</v>
      </c>
      <c r="Y28">
        <f>_xlfn.IFNA(51-MATCH(Songs!$A28,Data!P$2:P$51,0),NA())</f>
        <v>43</v>
      </c>
      <c r="Z28">
        <f>_xlfn.IFNA(51-MATCH(Songs!$A28,Data!Q$2:Q$51,0),NA())</f>
        <v>43</v>
      </c>
      <c r="AA28">
        <f>_xlfn.IFNA(51-MATCH(Songs!$A28,Data!R$2:R$51,0),NA())</f>
        <v>41</v>
      </c>
      <c r="AB28" t="e">
        <f>_xlfn.IFNA(51-MATCH(Songs!$A28,Data!S$2:S$51,0),NA())</f>
        <v>#N/A</v>
      </c>
      <c r="AC28" t="e">
        <f>_xlfn.IFNA(51-MATCH(Songs!$A28,Data!T$2:T$51,0),NA())</f>
        <v>#N/A</v>
      </c>
      <c r="AD28" t="e">
        <f>_xlfn.IFNA(51-MATCH(Songs!$A28,Data!U$2:U$51,0),NA())</f>
        <v>#N/A</v>
      </c>
    </row>
    <row r="29" spans="1:30" ht="13.2" x14ac:dyDescent="0.25">
      <c r="A29" s="2" t="s">
        <v>38</v>
      </c>
      <c r="B29" s="2" t="s">
        <v>99</v>
      </c>
      <c r="F29" s="2">
        <v>16</v>
      </c>
      <c r="G29" s="2">
        <f ca="1">COUNTIF(INDIRECT(_xlfn.CONCAT("Data!$B$2:", ADDRESS(51,COUNTA(Data!$1:$1)+1,1,1))), Songs!A29) + F29</f>
        <v>20</v>
      </c>
      <c r="H29" s="8"/>
      <c r="I29" s="8"/>
      <c r="J29" s="8" cm="1">
        <f t="array" ref="J29">51 - MAX(IF(NOT(ISNA(K29:BB29)),K29:BB29))</f>
        <v>26</v>
      </c>
      <c r="K29">
        <f>_xlfn.IFNA(51-MATCH(Songs!$A29,Data!B$2:B$51,0),NA())</f>
        <v>23</v>
      </c>
      <c r="L29">
        <f>_xlfn.IFNA(51-MATCH(Songs!$A29,Data!C$2:C$51,0),NA())</f>
        <v>24</v>
      </c>
      <c r="M29">
        <f>_xlfn.IFNA(51-MATCH(Songs!$A29,Data!D$2:D$51,0),NA())</f>
        <v>25</v>
      </c>
      <c r="N29">
        <f>_xlfn.IFNA(51-MATCH(Songs!$A29,Data!E$2:E$51,0),NA())</f>
        <v>13</v>
      </c>
      <c r="O29" t="e">
        <f>_xlfn.IFNA(51-MATCH(Songs!$A29,Data!F$2:F$51,0),NA())</f>
        <v>#N/A</v>
      </c>
      <c r="P29" t="e">
        <f>_xlfn.IFNA(51-MATCH(Songs!$A29,Data!G$2:G$51,0),NA())</f>
        <v>#N/A</v>
      </c>
      <c r="Q29" t="e">
        <f>_xlfn.IFNA(51-MATCH(Songs!$A29,Data!H$2:H$51,0),NA())</f>
        <v>#N/A</v>
      </c>
      <c r="R29" t="e">
        <f>_xlfn.IFNA(51-MATCH(Songs!$A29,Data!I$2:I$51,0),NA())</f>
        <v>#N/A</v>
      </c>
      <c r="S29" t="e">
        <f>_xlfn.IFNA(51-MATCH(Songs!$A29,Data!J$2:J$51,0),NA())</f>
        <v>#N/A</v>
      </c>
      <c r="T29" t="e">
        <f>_xlfn.IFNA(51-MATCH(Songs!$A29,Data!K$2:K$51,0),NA())</f>
        <v>#N/A</v>
      </c>
      <c r="U29" t="e">
        <f>_xlfn.IFNA(51-MATCH(Songs!$A29,Data!L$2:L$51,0),NA())</f>
        <v>#N/A</v>
      </c>
      <c r="V29" t="e">
        <f>_xlfn.IFNA(51-MATCH(Songs!$A29,Data!M$2:M$51,0),NA())</f>
        <v>#N/A</v>
      </c>
      <c r="W29" t="e">
        <f>_xlfn.IFNA(51-MATCH(Songs!$A29,Data!N$2:N$51,0),NA())</f>
        <v>#N/A</v>
      </c>
      <c r="X29" t="e">
        <f>_xlfn.IFNA(51-MATCH(Songs!$A29,Data!O$2:O$51,0),NA())</f>
        <v>#N/A</v>
      </c>
      <c r="Y29" t="e">
        <f>_xlfn.IFNA(51-MATCH(Songs!$A29,Data!P$2:P$51,0),NA())</f>
        <v>#N/A</v>
      </c>
      <c r="Z29" t="e">
        <f>_xlfn.IFNA(51-MATCH(Songs!$A29,Data!Q$2:Q$51,0),NA())</f>
        <v>#N/A</v>
      </c>
      <c r="AA29" t="e">
        <f>_xlfn.IFNA(51-MATCH(Songs!$A29,Data!R$2:R$51,0),NA())</f>
        <v>#N/A</v>
      </c>
      <c r="AB29" t="e">
        <f>_xlfn.IFNA(51-MATCH(Songs!$A29,Data!S$2:S$51,0),NA())</f>
        <v>#N/A</v>
      </c>
      <c r="AC29" t="e">
        <f>_xlfn.IFNA(51-MATCH(Songs!$A29,Data!T$2:T$51,0),NA())</f>
        <v>#N/A</v>
      </c>
      <c r="AD29" t="e">
        <f>_xlfn.IFNA(51-MATCH(Songs!$A29,Data!U$2:U$51,0),NA())</f>
        <v>#N/A</v>
      </c>
    </row>
    <row r="30" spans="1:30" ht="13.2" x14ac:dyDescent="0.25">
      <c r="A30" s="2" t="s">
        <v>40</v>
      </c>
      <c r="B30" s="2" t="s">
        <v>100</v>
      </c>
      <c r="F30" s="2">
        <v>25</v>
      </c>
      <c r="G30" s="2">
        <f ca="1">COUNTIF(INDIRECT(_xlfn.CONCAT("Data!$B$2:", ADDRESS(51,COUNTA(Data!$1:$1)+1,1,1))), Songs!A30) + F30</f>
        <v>41</v>
      </c>
      <c r="H30" s="8"/>
      <c r="I30" s="8"/>
      <c r="J30" s="8" cm="1">
        <f t="array" ref="J30">51 - MAX(IF(NOT(ISNA(K30:BB30)),K30:BB30))</f>
        <v>27</v>
      </c>
      <c r="K30">
        <f>_xlfn.IFNA(51-MATCH(Songs!$A30,Data!B$2:B$51,0),NA())</f>
        <v>22</v>
      </c>
      <c r="L30">
        <f>_xlfn.IFNA(51-MATCH(Songs!$A30,Data!C$2:C$51,0),NA())</f>
        <v>21</v>
      </c>
      <c r="M30">
        <f>_xlfn.IFNA(51-MATCH(Songs!$A30,Data!D$2:D$51,0),NA())</f>
        <v>24</v>
      </c>
      <c r="N30">
        <f>_xlfn.IFNA(51-MATCH(Songs!$A30,Data!E$2:E$51,0),NA())</f>
        <v>20</v>
      </c>
      <c r="O30">
        <f>_xlfn.IFNA(51-MATCH(Songs!$A30,Data!F$2:F$51,0),NA())</f>
        <v>17</v>
      </c>
      <c r="P30">
        <f>_xlfn.IFNA(51-MATCH(Songs!$A30,Data!G$2:G$51,0),NA())</f>
        <v>21</v>
      </c>
      <c r="Q30">
        <f>_xlfn.IFNA(51-MATCH(Songs!$A30,Data!H$2:H$51,0),NA())</f>
        <v>14</v>
      </c>
      <c r="R30">
        <f>_xlfn.IFNA(51-MATCH(Songs!$A30,Data!I$2:I$51,0),NA())</f>
        <v>17</v>
      </c>
      <c r="S30">
        <f>_xlfn.IFNA(51-MATCH(Songs!$A30,Data!J$2:J$51,0),NA())</f>
        <v>10</v>
      </c>
      <c r="T30">
        <f>_xlfn.IFNA(51-MATCH(Songs!$A30,Data!K$2:K$51,0),NA())</f>
        <v>10</v>
      </c>
      <c r="U30">
        <f>_xlfn.IFNA(51-MATCH(Songs!$A30,Data!L$2:L$51,0),NA())</f>
        <v>16</v>
      </c>
      <c r="V30">
        <f>_xlfn.IFNA(51-MATCH(Songs!$A30,Data!M$2:M$51,0),NA())</f>
        <v>1</v>
      </c>
      <c r="W30" t="e">
        <f>_xlfn.IFNA(51-MATCH(Songs!$A30,Data!N$2:N$51,0),NA())</f>
        <v>#N/A</v>
      </c>
      <c r="X30">
        <f>_xlfn.IFNA(51-MATCH(Songs!$A30,Data!O$2:O$51,0),NA())</f>
        <v>4</v>
      </c>
      <c r="Y30">
        <f>_xlfn.IFNA(51-MATCH(Songs!$A30,Data!P$2:P$51,0),NA())</f>
        <v>7</v>
      </c>
      <c r="Z30">
        <f>_xlfn.IFNA(51-MATCH(Songs!$A30,Data!Q$2:Q$51,0),NA())</f>
        <v>10</v>
      </c>
      <c r="AA30">
        <f>_xlfn.IFNA(51-MATCH(Songs!$A30,Data!R$2:R$51,0),NA())</f>
        <v>12</v>
      </c>
      <c r="AB30" t="e">
        <f>_xlfn.IFNA(51-MATCH(Songs!$A30,Data!S$2:S$51,0),NA())</f>
        <v>#N/A</v>
      </c>
      <c r="AC30" t="e">
        <f>_xlfn.IFNA(51-MATCH(Songs!$A30,Data!T$2:T$51,0),NA())</f>
        <v>#N/A</v>
      </c>
      <c r="AD30" t="e">
        <f>_xlfn.IFNA(51-MATCH(Songs!$A30,Data!U$2:U$51,0),NA())</f>
        <v>#N/A</v>
      </c>
    </row>
    <row r="31" spans="1:30" ht="13.2" x14ac:dyDescent="0.25">
      <c r="A31" s="2" t="s">
        <v>41</v>
      </c>
      <c r="B31" s="2" t="s">
        <v>101</v>
      </c>
      <c r="F31" s="2">
        <v>26</v>
      </c>
      <c r="G31" s="2">
        <f ca="1">COUNTIF(INDIRECT(_xlfn.CONCAT("Data!$B$2:", ADDRESS(51,COUNTA(Data!$1:$1)+1,1,1))), Songs!A31) + F31</f>
        <v>43</v>
      </c>
      <c r="H31" s="8"/>
      <c r="I31" s="8"/>
      <c r="J31" s="8" cm="1">
        <f t="array" ref="J31">51 - MAX(IF(NOT(ISNA(K31:BB31)),K31:BB31))</f>
        <v>16</v>
      </c>
      <c r="K31">
        <f>_xlfn.IFNA(51-MATCH(Songs!$A31,Data!B$2:B$51,0),NA())</f>
        <v>21</v>
      </c>
      <c r="L31">
        <f>_xlfn.IFNA(51-MATCH(Songs!$A31,Data!C$2:C$51,0),NA())</f>
        <v>22</v>
      </c>
      <c r="M31">
        <f>_xlfn.IFNA(51-MATCH(Songs!$A31,Data!D$2:D$51,0),NA())</f>
        <v>23</v>
      </c>
      <c r="N31">
        <f>_xlfn.IFNA(51-MATCH(Songs!$A31,Data!E$2:E$51,0),NA())</f>
        <v>19</v>
      </c>
      <c r="O31">
        <f>_xlfn.IFNA(51-MATCH(Songs!$A31,Data!F$2:F$51,0),NA())</f>
        <v>18</v>
      </c>
      <c r="P31">
        <f>_xlfn.IFNA(51-MATCH(Songs!$A31,Data!G$2:G$51,0),NA())</f>
        <v>23</v>
      </c>
      <c r="Q31">
        <f>_xlfn.IFNA(51-MATCH(Songs!$A31,Data!H$2:H$51,0),NA())</f>
        <v>21</v>
      </c>
      <c r="R31">
        <f>_xlfn.IFNA(51-MATCH(Songs!$A31,Data!I$2:I$51,0),NA())</f>
        <v>24</v>
      </c>
      <c r="S31">
        <f>_xlfn.IFNA(51-MATCH(Songs!$A31,Data!J$2:J$51,0),NA())</f>
        <v>27</v>
      </c>
      <c r="T31">
        <f>_xlfn.IFNA(51-MATCH(Songs!$A31,Data!K$2:K$51,0),NA())</f>
        <v>27</v>
      </c>
      <c r="U31">
        <f>_xlfn.IFNA(51-MATCH(Songs!$A31,Data!L$2:L$51,0),NA())</f>
        <v>28</v>
      </c>
      <c r="V31">
        <f>_xlfn.IFNA(51-MATCH(Songs!$A31,Data!M$2:M$51,0),NA())</f>
        <v>21</v>
      </c>
      <c r="W31">
        <f>_xlfn.IFNA(51-MATCH(Songs!$A31,Data!N$2:N$51,0),NA())</f>
        <v>27</v>
      </c>
      <c r="X31">
        <f>_xlfn.IFNA(51-MATCH(Songs!$A31,Data!O$2:O$51,0),NA())</f>
        <v>28</v>
      </c>
      <c r="Y31">
        <f>_xlfn.IFNA(51-MATCH(Songs!$A31,Data!P$2:P$51,0),NA())</f>
        <v>32</v>
      </c>
      <c r="Z31">
        <f>_xlfn.IFNA(51-MATCH(Songs!$A31,Data!Q$2:Q$51,0),NA())</f>
        <v>35</v>
      </c>
      <c r="AA31">
        <f>_xlfn.IFNA(51-MATCH(Songs!$A31,Data!R$2:R$51,0),NA())</f>
        <v>35</v>
      </c>
      <c r="AB31" t="e">
        <f>_xlfn.IFNA(51-MATCH(Songs!$A31,Data!S$2:S$51,0),NA())</f>
        <v>#N/A</v>
      </c>
      <c r="AC31" t="e">
        <f>_xlfn.IFNA(51-MATCH(Songs!$A31,Data!T$2:T$51,0),NA())</f>
        <v>#N/A</v>
      </c>
      <c r="AD31" t="e">
        <f>_xlfn.IFNA(51-MATCH(Songs!$A31,Data!U$2:U$51,0),NA())</f>
        <v>#N/A</v>
      </c>
    </row>
    <row r="32" spans="1:30" ht="13.2" x14ac:dyDescent="0.25">
      <c r="A32" s="2" t="s">
        <v>34</v>
      </c>
      <c r="B32" s="2" t="s">
        <v>102</v>
      </c>
      <c r="F32" s="2">
        <v>9</v>
      </c>
      <c r="G32" s="2">
        <f ca="1">COUNTIF(INDIRECT(_xlfn.CONCAT("Data!$B$2:", ADDRESS(51,COUNTA(Data!$1:$1)+1,1,1))), Songs!A32) + F32</f>
        <v>19</v>
      </c>
      <c r="H32" s="8"/>
      <c r="I32" s="8"/>
      <c r="J32" s="8" cm="1">
        <f t="array" ref="J32">51 - MAX(IF(NOT(ISNA(K32:BB32)),K32:BB32))</f>
        <v>22</v>
      </c>
      <c r="K32">
        <f>_xlfn.IFNA(51-MATCH(Songs!$A32,Data!B$2:B$51,0),NA())</f>
        <v>20</v>
      </c>
      <c r="L32">
        <f>_xlfn.IFNA(51-MATCH(Songs!$A32,Data!C$2:C$51,0),NA())</f>
        <v>20</v>
      </c>
      <c r="M32">
        <f>_xlfn.IFNA(51-MATCH(Songs!$A32,Data!D$2:D$51,0),NA())</f>
        <v>28</v>
      </c>
      <c r="N32">
        <f>_xlfn.IFNA(51-MATCH(Songs!$A32,Data!E$2:E$51,0),NA())</f>
        <v>21</v>
      </c>
      <c r="O32">
        <f>_xlfn.IFNA(51-MATCH(Songs!$A32,Data!F$2:F$51,0),NA())</f>
        <v>23</v>
      </c>
      <c r="P32">
        <f>_xlfn.IFNA(51-MATCH(Songs!$A32,Data!G$2:G$51,0),NA())</f>
        <v>27</v>
      </c>
      <c r="Q32">
        <f>_xlfn.IFNA(51-MATCH(Songs!$A32,Data!H$2:H$51,0),NA())</f>
        <v>27</v>
      </c>
      <c r="R32">
        <f>_xlfn.IFNA(51-MATCH(Songs!$A32,Data!I$2:I$51,0),NA())</f>
        <v>29</v>
      </c>
      <c r="S32">
        <f>_xlfn.IFNA(51-MATCH(Songs!$A32,Data!J$2:J$51,0),NA())</f>
        <v>25</v>
      </c>
      <c r="T32">
        <f>_xlfn.IFNA(51-MATCH(Songs!$A32,Data!K$2:K$51,0),NA())</f>
        <v>1</v>
      </c>
      <c r="U32" t="e">
        <f>_xlfn.IFNA(51-MATCH(Songs!$A32,Data!L$2:L$51,0),NA())</f>
        <v>#N/A</v>
      </c>
      <c r="V32" t="e">
        <f>_xlfn.IFNA(51-MATCH(Songs!$A32,Data!M$2:M$51,0),NA())</f>
        <v>#N/A</v>
      </c>
      <c r="W32" t="e">
        <f>_xlfn.IFNA(51-MATCH(Songs!$A32,Data!N$2:N$51,0),NA())</f>
        <v>#N/A</v>
      </c>
      <c r="X32" t="e">
        <f>_xlfn.IFNA(51-MATCH(Songs!$A32,Data!O$2:O$51,0),NA())</f>
        <v>#N/A</v>
      </c>
      <c r="Y32" t="e">
        <f>_xlfn.IFNA(51-MATCH(Songs!$A32,Data!P$2:P$51,0),NA())</f>
        <v>#N/A</v>
      </c>
      <c r="Z32" t="e">
        <f>_xlfn.IFNA(51-MATCH(Songs!$A32,Data!Q$2:Q$51,0),NA())</f>
        <v>#N/A</v>
      </c>
      <c r="AA32" t="e">
        <f>_xlfn.IFNA(51-MATCH(Songs!$A32,Data!R$2:R$51,0),NA())</f>
        <v>#N/A</v>
      </c>
      <c r="AB32" t="e">
        <f>_xlfn.IFNA(51-MATCH(Songs!$A32,Data!S$2:S$51,0),NA())</f>
        <v>#N/A</v>
      </c>
      <c r="AC32" t="e">
        <f>_xlfn.IFNA(51-MATCH(Songs!$A32,Data!T$2:T$51,0),NA())</f>
        <v>#N/A</v>
      </c>
      <c r="AD32" t="e">
        <f>_xlfn.IFNA(51-MATCH(Songs!$A32,Data!U$2:U$51,0),NA())</f>
        <v>#N/A</v>
      </c>
    </row>
    <row r="33" spans="1:30" ht="13.2" x14ac:dyDescent="0.25">
      <c r="A33" s="2" t="s">
        <v>44</v>
      </c>
      <c r="B33" s="2" t="s">
        <v>103</v>
      </c>
      <c r="F33" s="2">
        <v>8</v>
      </c>
      <c r="G33" s="2">
        <f ca="1">COUNTIF(INDIRECT(_xlfn.CONCAT("Data!$B$2:", ADDRESS(51,COUNTA(Data!$1:$1)+1,1,1))), Songs!A33) + F33</f>
        <v>25</v>
      </c>
      <c r="H33" s="8"/>
      <c r="I33" s="8"/>
      <c r="J33" s="8" cm="1">
        <f t="array" ref="J33">51 - MAX(IF(NOT(ISNA(K33:BB33)),K33:BB33))</f>
        <v>13</v>
      </c>
      <c r="K33">
        <f>_xlfn.IFNA(51-MATCH(Songs!$A33,Data!B$2:B$51,0),NA())</f>
        <v>19</v>
      </c>
      <c r="L33">
        <f>_xlfn.IFNA(51-MATCH(Songs!$A33,Data!C$2:C$51,0),NA())</f>
        <v>19</v>
      </c>
      <c r="M33">
        <f>_xlfn.IFNA(51-MATCH(Songs!$A33,Data!D$2:D$51,0),NA())</f>
        <v>20</v>
      </c>
      <c r="N33">
        <f>_xlfn.IFNA(51-MATCH(Songs!$A33,Data!E$2:E$51,0),NA())</f>
        <v>18</v>
      </c>
      <c r="O33">
        <f>_xlfn.IFNA(51-MATCH(Songs!$A33,Data!F$2:F$51,0),NA())</f>
        <v>20</v>
      </c>
      <c r="P33">
        <f>_xlfn.IFNA(51-MATCH(Songs!$A33,Data!G$2:G$51,0),NA())</f>
        <v>24</v>
      </c>
      <c r="Q33">
        <f>_xlfn.IFNA(51-MATCH(Songs!$A33,Data!H$2:H$51,0),NA())</f>
        <v>25</v>
      </c>
      <c r="R33">
        <f>_xlfn.IFNA(51-MATCH(Songs!$A33,Data!I$2:I$51,0),NA())</f>
        <v>31</v>
      </c>
      <c r="S33">
        <f>_xlfn.IFNA(51-MATCH(Songs!$A33,Data!J$2:J$51,0),NA())</f>
        <v>30</v>
      </c>
      <c r="T33">
        <f>_xlfn.IFNA(51-MATCH(Songs!$A33,Data!K$2:K$51,0),NA())</f>
        <v>32</v>
      </c>
      <c r="U33">
        <f>_xlfn.IFNA(51-MATCH(Songs!$A33,Data!L$2:L$51,0),NA())</f>
        <v>35</v>
      </c>
      <c r="V33">
        <f>_xlfn.IFNA(51-MATCH(Songs!$A33,Data!M$2:M$51,0),NA())</f>
        <v>23</v>
      </c>
      <c r="W33">
        <f>_xlfn.IFNA(51-MATCH(Songs!$A33,Data!N$2:N$51,0),NA())</f>
        <v>36</v>
      </c>
      <c r="X33">
        <f>_xlfn.IFNA(51-MATCH(Songs!$A33,Data!O$2:O$51,0),NA())</f>
        <v>35</v>
      </c>
      <c r="Y33">
        <f>_xlfn.IFNA(51-MATCH(Songs!$A33,Data!P$2:P$51,0),NA())</f>
        <v>36</v>
      </c>
      <c r="Z33">
        <f>_xlfn.IFNA(51-MATCH(Songs!$A33,Data!Q$2:Q$51,0),NA())</f>
        <v>36</v>
      </c>
      <c r="AA33">
        <f>_xlfn.IFNA(51-MATCH(Songs!$A33,Data!R$2:R$51,0),NA())</f>
        <v>38</v>
      </c>
      <c r="AB33" t="e">
        <f>_xlfn.IFNA(51-MATCH(Songs!$A33,Data!S$2:S$51,0),NA())</f>
        <v>#N/A</v>
      </c>
      <c r="AC33" t="e">
        <f>_xlfn.IFNA(51-MATCH(Songs!$A33,Data!T$2:T$51,0),NA())</f>
        <v>#N/A</v>
      </c>
      <c r="AD33" t="e">
        <f>_xlfn.IFNA(51-MATCH(Songs!$A33,Data!U$2:U$51,0),NA())</f>
        <v>#N/A</v>
      </c>
    </row>
    <row r="34" spans="1:30" ht="13.2" x14ac:dyDescent="0.25">
      <c r="A34" s="2" t="s">
        <v>46</v>
      </c>
      <c r="B34" s="2" t="s">
        <v>104</v>
      </c>
      <c r="F34" s="2">
        <v>20</v>
      </c>
      <c r="G34" s="2">
        <f ca="1">COUNTIF(INDIRECT(_xlfn.CONCAT("Data!$B$2:", ADDRESS(51,COUNTA(Data!$1:$1)+1,1,1))), Songs!A34) + F34</f>
        <v>37</v>
      </c>
      <c r="H34" s="8"/>
      <c r="I34" s="8"/>
      <c r="J34" s="8" cm="1">
        <f t="array" ref="J34">51 - MAX(IF(NOT(ISNA(K34:BB34)),K34:BB34))</f>
        <v>32</v>
      </c>
      <c r="K34">
        <f>_xlfn.IFNA(51-MATCH(Songs!$A34,Data!B$2:B$51,0),NA())</f>
        <v>18</v>
      </c>
      <c r="L34">
        <f>_xlfn.IFNA(51-MATCH(Songs!$A34,Data!C$2:C$51,0),NA())</f>
        <v>16</v>
      </c>
      <c r="M34">
        <f>_xlfn.IFNA(51-MATCH(Songs!$A34,Data!D$2:D$51,0),NA())</f>
        <v>17</v>
      </c>
      <c r="N34">
        <f>_xlfn.IFNA(51-MATCH(Songs!$A34,Data!E$2:E$51,0),NA())</f>
        <v>15</v>
      </c>
      <c r="O34">
        <f>_xlfn.IFNA(51-MATCH(Songs!$A34,Data!F$2:F$51,0),NA())</f>
        <v>14</v>
      </c>
      <c r="P34">
        <f>_xlfn.IFNA(51-MATCH(Songs!$A34,Data!G$2:G$51,0),NA())</f>
        <v>18</v>
      </c>
      <c r="Q34">
        <f>_xlfn.IFNA(51-MATCH(Songs!$A34,Data!H$2:H$51,0),NA())</f>
        <v>11</v>
      </c>
      <c r="R34">
        <f>_xlfn.IFNA(51-MATCH(Songs!$A34,Data!I$2:I$51,0),NA())</f>
        <v>13</v>
      </c>
      <c r="S34">
        <f>_xlfn.IFNA(51-MATCH(Songs!$A34,Data!J$2:J$51,0),NA())</f>
        <v>12</v>
      </c>
      <c r="T34">
        <f>_xlfn.IFNA(51-MATCH(Songs!$A34,Data!K$2:K$51,0),NA())</f>
        <v>14</v>
      </c>
      <c r="U34">
        <f>_xlfn.IFNA(51-MATCH(Songs!$A34,Data!L$2:L$51,0),NA())</f>
        <v>17</v>
      </c>
      <c r="V34">
        <f>_xlfn.IFNA(51-MATCH(Songs!$A34,Data!M$2:M$51,0),NA())</f>
        <v>8</v>
      </c>
      <c r="W34">
        <f>_xlfn.IFNA(51-MATCH(Songs!$A34,Data!N$2:N$51,0),NA())</f>
        <v>2</v>
      </c>
      <c r="X34">
        <f>_xlfn.IFNA(51-MATCH(Songs!$A34,Data!O$2:O$51,0),NA())</f>
        <v>9</v>
      </c>
      <c r="Y34">
        <f>_xlfn.IFNA(51-MATCH(Songs!$A34,Data!P$2:P$51,0),NA())</f>
        <v>14</v>
      </c>
      <c r="Z34">
        <f>_xlfn.IFNA(51-MATCH(Songs!$A34,Data!Q$2:Q$51,0),NA())</f>
        <v>19</v>
      </c>
      <c r="AA34">
        <f>_xlfn.IFNA(51-MATCH(Songs!$A34,Data!R$2:R$51,0),NA())</f>
        <v>19</v>
      </c>
      <c r="AB34" t="e">
        <f>_xlfn.IFNA(51-MATCH(Songs!$A34,Data!S$2:S$51,0),NA())</f>
        <v>#N/A</v>
      </c>
      <c r="AC34" t="e">
        <f>_xlfn.IFNA(51-MATCH(Songs!$A34,Data!T$2:T$51,0),NA())</f>
        <v>#N/A</v>
      </c>
      <c r="AD34" t="e">
        <f>_xlfn.IFNA(51-MATCH(Songs!$A34,Data!U$2:U$51,0),NA())</f>
        <v>#N/A</v>
      </c>
    </row>
    <row r="35" spans="1:30" ht="13.2" x14ac:dyDescent="0.25">
      <c r="A35" s="2" t="s">
        <v>48</v>
      </c>
      <c r="B35" s="2" t="s">
        <v>105</v>
      </c>
      <c r="F35" s="2">
        <v>5</v>
      </c>
      <c r="G35" s="2">
        <f ca="1">COUNTIF(INDIRECT(_xlfn.CONCAT("Data!$B$2:", ADDRESS(51,COUNTA(Data!$1:$1)+1,1,1))), Songs!A35) + F35</f>
        <v>21</v>
      </c>
      <c r="H35" s="8"/>
      <c r="I35" s="8"/>
      <c r="J35" s="8" cm="1">
        <f t="array" ref="J35">51 - MAX(IF(NOT(ISNA(K35:BB35)),K35:BB35))</f>
        <v>31</v>
      </c>
      <c r="K35">
        <f>_xlfn.IFNA(51-MATCH(Songs!$A35,Data!B$2:B$51,0),NA())</f>
        <v>17</v>
      </c>
      <c r="L35">
        <f>_xlfn.IFNA(51-MATCH(Songs!$A35,Data!C$2:C$51,0),NA())</f>
        <v>10</v>
      </c>
      <c r="M35">
        <f>_xlfn.IFNA(51-MATCH(Songs!$A35,Data!D$2:D$51,0),NA())</f>
        <v>9</v>
      </c>
      <c r="N35">
        <f>_xlfn.IFNA(51-MATCH(Songs!$A35,Data!E$2:E$51,0),NA())</f>
        <v>2</v>
      </c>
      <c r="O35">
        <f>_xlfn.IFNA(51-MATCH(Songs!$A35,Data!F$2:F$51,0),NA())</f>
        <v>8</v>
      </c>
      <c r="P35">
        <f>_xlfn.IFNA(51-MATCH(Songs!$A35,Data!G$2:G$51,0),NA())</f>
        <v>11</v>
      </c>
      <c r="Q35">
        <f>_xlfn.IFNA(51-MATCH(Songs!$A35,Data!H$2:H$51,0),NA())</f>
        <v>7</v>
      </c>
      <c r="R35">
        <f>_xlfn.IFNA(51-MATCH(Songs!$A35,Data!I$2:I$51,0),NA())</f>
        <v>8</v>
      </c>
      <c r="S35">
        <f>_xlfn.IFNA(51-MATCH(Songs!$A35,Data!J$2:J$51,0),NA())</f>
        <v>8</v>
      </c>
      <c r="T35">
        <f>_xlfn.IFNA(51-MATCH(Songs!$A35,Data!K$2:K$51,0),NA())</f>
        <v>9</v>
      </c>
      <c r="U35">
        <f>_xlfn.IFNA(51-MATCH(Songs!$A35,Data!L$2:L$51,0),NA())</f>
        <v>15</v>
      </c>
      <c r="V35">
        <f>_xlfn.IFNA(51-MATCH(Songs!$A35,Data!M$2:M$51,0),NA())</f>
        <v>6</v>
      </c>
      <c r="W35">
        <f>_xlfn.IFNA(51-MATCH(Songs!$A35,Data!N$2:N$51,0),NA())</f>
        <v>6</v>
      </c>
      <c r="X35">
        <f>_xlfn.IFNA(51-MATCH(Songs!$A35,Data!O$2:O$51,0),NA())</f>
        <v>14</v>
      </c>
      <c r="Y35">
        <f>_xlfn.IFNA(51-MATCH(Songs!$A35,Data!P$2:P$51,0),NA())</f>
        <v>16</v>
      </c>
      <c r="Z35">
        <f>_xlfn.IFNA(51-MATCH(Songs!$A35,Data!Q$2:Q$51,0),NA())</f>
        <v>20</v>
      </c>
      <c r="AA35" t="e">
        <f>_xlfn.IFNA(51-MATCH(Songs!$A35,Data!R$2:R$51,0),NA())</f>
        <v>#N/A</v>
      </c>
      <c r="AB35" t="e">
        <f>_xlfn.IFNA(51-MATCH(Songs!$A35,Data!S$2:S$51,0),NA())</f>
        <v>#N/A</v>
      </c>
      <c r="AC35" t="e">
        <f>_xlfn.IFNA(51-MATCH(Songs!$A35,Data!T$2:T$51,0),NA())</f>
        <v>#N/A</v>
      </c>
      <c r="AD35" t="e">
        <f>_xlfn.IFNA(51-MATCH(Songs!$A35,Data!U$2:U$51,0),NA())</f>
        <v>#N/A</v>
      </c>
    </row>
    <row r="36" spans="1:30" ht="13.2" x14ac:dyDescent="0.25">
      <c r="A36" s="2" t="s">
        <v>47</v>
      </c>
      <c r="B36" s="2" t="s">
        <v>74</v>
      </c>
      <c r="D36" s="2" t="s">
        <v>106</v>
      </c>
      <c r="E36" s="2"/>
      <c r="F36" s="2">
        <v>17</v>
      </c>
      <c r="G36" s="2">
        <f ca="1">COUNTIF(INDIRECT(_xlfn.CONCAT("Data!$B$2:", ADDRESS(51,COUNTA(Data!$1:$1)+1,1,1))), Songs!A36) + F36</f>
        <v>21</v>
      </c>
      <c r="H36" s="8"/>
      <c r="I36" s="8"/>
      <c r="J36" s="8" cm="1">
        <f t="array" ref="J36">51 - MAX(IF(NOT(ISNA(K36:BB36)),K36:BB36))</f>
        <v>33</v>
      </c>
      <c r="K36">
        <f>_xlfn.IFNA(51-MATCH(Songs!$A36,Data!B$2:B$51,0),NA())</f>
        <v>16</v>
      </c>
      <c r="L36">
        <f>_xlfn.IFNA(51-MATCH(Songs!$A36,Data!C$2:C$51,0),NA())</f>
        <v>18</v>
      </c>
      <c r="M36">
        <f>_xlfn.IFNA(51-MATCH(Songs!$A36,Data!D$2:D$51,0),NA())</f>
        <v>18</v>
      </c>
      <c r="N36">
        <f>_xlfn.IFNA(51-MATCH(Songs!$A36,Data!E$2:E$51,0),NA())</f>
        <v>14</v>
      </c>
      <c r="O36" t="e">
        <f>_xlfn.IFNA(51-MATCH(Songs!$A36,Data!F$2:F$51,0),NA())</f>
        <v>#N/A</v>
      </c>
      <c r="P36" t="e">
        <f>_xlfn.IFNA(51-MATCH(Songs!$A36,Data!G$2:G$51,0),NA())</f>
        <v>#N/A</v>
      </c>
      <c r="Q36" t="e">
        <f>_xlfn.IFNA(51-MATCH(Songs!$A36,Data!H$2:H$51,0),NA())</f>
        <v>#N/A</v>
      </c>
      <c r="R36" t="e">
        <f>_xlfn.IFNA(51-MATCH(Songs!$A36,Data!I$2:I$51,0),NA())</f>
        <v>#N/A</v>
      </c>
      <c r="S36" t="e">
        <f>_xlfn.IFNA(51-MATCH(Songs!$A36,Data!J$2:J$51,0),NA())</f>
        <v>#N/A</v>
      </c>
      <c r="T36" t="e">
        <f>_xlfn.IFNA(51-MATCH(Songs!$A36,Data!K$2:K$51,0),NA())</f>
        <v>#N/A</v>
      </c>
      <c r="U36" t="e">
        <f>_xlfn.IFNA(51-MATCH(Songs!$A36,Data!L$2:L$51,0),NA())</f>
        <v>#N/A</v>
      </c>
      <c r="V36" t="e">
        <f>_xlfn.IFNA(51-MATCH(Songs!$A36,Data!M$2:M$51,0),NA())</f>
        <v>#N/A</v>
      </c>
      <c r="W36" t="e">
        <f>_xlfn.IFNA(51-MATCH(Songs!$A36,Data!N$2:N$51,0),NA())</f>
        <v>#N/A</v>
      </c>
      <c r="X36" t="e">
        <f>_xlfn.IFNA(51-MATCH(Songs!$A36,Data!O$2:O$51,0),NA())</f>
        <v>#N/A</v>
      </c>
      <c r="Y36" t="e">
        <f>_xlfn.IFNA(51-MATCH(Songs!$A36,Data!P$2:P$51,0),NA())</f>
        <v>#N/A</v>
      </c>
      <c r="Z36" t="e">
        <f>_xlfn.IFNA(51-MATCH(Songs!$A36,Data!Q$2:Q$51,0),NA())</f>
        <v>#N/A</v>
      </c>
      <c r="AA36" t="e">
        <f>_xlfn.IFNA(51-MATCH(Songs!$A36,Data!R$2:R$51,0),NA())</f>
        <v>#N/A</v>
      </c>
      <c r="AB36" t="e">
        <f>_xlfn.IFNA(51-MATCH(Songs!$A36,Data!S$2:S$51,0),NA())</f>
        <v>#N/A</v>
      </c>
      <c r="AC36" t="e">
        <f>_xlfn.IFNA(51-MATCH(Songs!$A36,Data!T$2:T$51,0),NA())</f>
        <v>#N/A</v>
      </c>
      <c r="AD36" t="e">
        <f>_xlfn.IFNA(51-MATCH(Songs!$A36,Data!U$2:U$51,0),NA())</f>
        <v>#N/A</v>
      </c>
    </row>
    <row r="37" spans="1:30" ht="13.2" x14ac:dyDescent="0.25">
      <c r="A37" s="2" t="s">
        <v>49</v>
      </c>
      <c r="B37" s="2" t="s">
        <v>107</v>
      </c>
      <c r="F37" s="2">
        <v>10</v>
      </c>
      <c r="G37" s="2">
        <f ca="1">COUNTIF(INDIRECT(_xlfn.CONCAT("Data!$B$2:", ADDRESS(51,COUNTA(Data!$1:$1)+1,1,1))), Songs!A37) + F37</f>
        <v>17</v>
      </c>
      <c r="H37" s="8"/>
      <c r="I37" s="8"/>
      <c r="J37" s="8" cm="1">
        <f t="array" ref="J37">51 - MAX(IF(NOT(ISNA(K37:BB37)),K37:BB37))</f>
        <v>35</v>
      </c>
      <c r="K37">
        <f>_xlfn.IFNA(51-MATCH(Songs!$A37,Data!B$2:B$51,0),NA())</f>
        <v>15</v>
      </c>
      <c r="L37">
        <f>_xlfn.IFNA(51-MATCH(Songs!$A37,Data!C$2:C$51,0),NA())</f>
        <v>15</v>
      </c>
      <c r="M37">
        <f>_xlfn.IFNA(51-MATCH(Songs!$A37,Data!D$2:D$51,0),NA())</f>
        <v>16</v>
      </c>
      <c r="N37">
        <f>_xlfn.IFNA(51-MATCH(Songs!$A37,Data!E$2:E$51,0),NA())</f>
        <v>11</v>
      </c>
      <c r="O37">
        <f>_xlfn.IFNA(51-MATCH(Songs!$A37,Data!F$2:F$51,0),NA())</f>
        <v>9</v>
      </c>
      <c r="P37">
        <f>_xlfn.IFNA(51-MATCH(Songs!$A37,Data!G$2:G$51,0),NA())</f>
        <v>4</v>
      </c>
      <c r="Q37">
        <f>_xlfn.IFNA(51-MATCH(Songs!$A37,Data!H$2:H$51,0),NA())</f>
        <v>1</v>
      </c>
      <c r="R37" t="e">
        <f>_xlfn.IFNA(51-MATCH(Songs!$A37,Data!I$2:I$51,0),NA())</f>
        <v>#N/A</v>
      </c>
      <c r="S37" t="e">
        <f>_xlfn.IFNA(51-MATCH(Songs!$A37,Data!J$2:J$51,0),NA())</f>
        <v>#N/A</v>
      </c>
      <c r="T37" t="e">
        <f>_xlfn.IFNA(51-MATCH(Songs!$A37,Data!K$2:K$51,0),NA())</f>
        <v>#N/A</v>
      </c>
      <c r="U37" t="e">
        <f>_xlfn.IFNA(51-MATCH(Songs!$A37,Data!L$2:L$51,0),NA())</f>
        <v>#N/A</v>
      </c>
      <c r="V37" t="e">
        <f>_xlfn.IFNA(51-MATCH(Songs!$A37,Data!M$2:M$51,0),NA())</f>
        <v>#N/A</v>
      </c>
      <c r="W37" t="e">
        <f>_xlfn.IFNA(51-MATCH(Songs!$A37,Data!N$2:N$51,0),NA())</f>
        <v>#N/A</v>
      </c>
      <c r="X37" t="e">
        <f>_xlfn.IFNA(51-MATCH(Songs!$A37,Data!O$2:O$51,0),NA())</f>
        <v>#N/A</v>
      </c>
      <c r="Y37" t="e">
        <f>_xlfn.IFNA(51-MATCH(Songs!$A37,Data!P$2:P$51,0),NA())</f>
        <v>#N/A</v>
      </c>
      <c r="Z37" t="e">
        <f>_xlfn.IFNA(51-MATCH(Songs!$A37,Data!Q$2:Q$51,0),NA())</f>
        <v>#N/A</v>
      </c>
      <c r="AA37" t="e">
        <f>_xlfn.IFNA(51-MATCH(Songs!$A37,Data!R$2:R$51,0),NA())</f>
        <v>#N/A</v>
      </c>
      <c r="AB37" t="e">
        <f>_xlfn.IFNA(51-MATCH(Songs!$A37,Data!S$2:S$51,0),NA())</f>
        <v>#N/A</v>
      </c>
      <c r="AC37" t="e">
        <f>_xlfn.IFNA(51-MATCH(Songs!$A37,Data!T$2:T$51,0),NA())</f>
        <v>#N/A</v>
      </c>
      <c r="AD37" t="e">
        <f>_xlfn.IFNA(51-MATCH(Songs!$A37,Data!U$2:U$51,0),NA())</f>
        <v>#N/A</v>
      </c>
    </row>
    <row r="38" spans="1:30" ht="13.2" x14ac:dyDescent="0.25">
      <c r="A38" s="2" t="s">
        <v>52</v>
      </c>
      <c r="B38" s="2" t="s">
        <v>108</v>
      </c>
      <c r="F38" s="2">
        <v>15</v>
      </c>
      <c r="G38" s="2">
        <f ca="1">COUNTIF(INDIRECT(_xlfn.CONCAT("Data!$B$2:", ADDRESS(51,COUNTA(Data!$1:$1)+1,1,1))), Songs!A38) + F38</f>
        <v>29</v>
      </c>
      <c r="H38" s="8"/>
      <c r="I38" s="8"/>
      <c r="J38" s="8" cm="1">
        <f t="array" ref="J38">51 - MAX(IF(NOT(ISNA(K38:BB38)),K38:BB38))</f>
        <v>14</v>
      </c>
      <c r="K38">
        <f>_xlfn.IFNA(51-MATCH(Songs!$A38,Data!B$2:B$51,0),NA())</f>
        <v>14</v>
      </c>
      <c r="L38">
        <f>_xlfn.IFNA(51-MATCH(Songs!$A38,Data!C$2:C$51,0),NA())</f>
        <v>4</v>
      </c>
      <c r="M38">
        <f>_xlfn.IFNA(51-MATCH(Songs!$A38,Data!D$2:D$51,0),NA())</f>
        <v>2</v>
      </c>
      <c r="N38" t="e">
        <f>_xlfn.IFNA(51-MATCH(Songs!$A38,Data!E$2:E$51,0),NA())</f>
        <v>#N/A</v>
      </c>
      <c r="O38">
        <f>_xlfn.IFNA(51-MATCH(Songs!$A38,Data!F$2:F$51,0),NA())</f>
        <v>4</v>
      </c>
      <c r="P38">
        <f>_xlfn.IFNA(51-MATCH(Songs!$A38,Data!G$2:G$51,0),NA())</f>
        <v>17</v>
      </c>
      <c r="Q38">
        <f>_xlfn.IFNA(51-MATCH(Songs!$A38,Data!H$2:H$51,0),NA())</f>
        <v>19</v>
      </c>
      <c r="R38">
        <f>_xlfn.IFNA(51-MATCH(Songs!$A38,Data!I$2:I$51,0),NA())</f>
        <v>21</v>
      </c>
      <c r="S38">
        <f>_xlfn.IFNA(51-MATCH(Songs!$A38,Data!J$2:J$51,0),NA())</f>
        <v>28</v>
      </c>
      <c r="T38">
        <f>_xlfn.IFNA(51-MATCH(Songs!$A38,Data!K$2:K$51,0),NA())</f>
        <v>29</v>
      </c>
      <c r="U38">
        <f>_xlfn.IFNA(51-MATCH(Songs!$A38,Data!L$2:L$51,0),NA())</f>
        <v>34</v>
      </c>
      <c r="V38">
        <f>_xlfn.IFNA(51-MATCH(Songs!$A38,Data!M$2:M$51,0),NA())</f>
        <v>25</v>
      </c>
      <c r="W38">
        <f>_xlfn.IFNA(51-MATCH(Songs!$A38,Data!N$2:N$51,0),NA())</f>
        <v>37</v>
      </c>
      <c r="X38">
        <f>_xlfn.IFNA(51-MATCH(Songs!$A38,Data!O$2:O$51,0),NA())</f>
        <v>37</v>
      </c>
      <c r="Y38">
        <f>_xlfn.IFNA(51-MATCH(Songs!$A38,Data!P$2:P$51,0),NA())</f>
        <v>37</v>
      </c>
      <c r="Z38" t="e">
        <f>_xlfn.IFNA(51-MATCH(Songs!$A38,Data!Q$2:Q$51,0),NA())</f>
        <v>#N/A</v>
      </c>
      <c r="AA38" t="e">
        <f>_xlfn.IFNA(51-MATCH(Songs!$A38,Data!R$2:R$51,0),NA())</f>
        <v>#N/A</v>
      </c>
      <c r="AB38" t="e">
        <f>_xlfn.IFNA(51-MATCH(Songs!$A38,Data!S$2:S$51,0),NA())</f>
        <v>#N/A</v>
      </c>
      <c r="AC38" t="e">
        <f>_xlfn.IFNA(51-MATCH(Songs!$A38,Data!T$2:T$51,0),NA())</f>
        <v>#N/A</v>
      </c>
      <c r="AD38" t="e">
        <f>_xlfn.IFNA(51-MATCH(Songs!$A38,Data!U$2:U$51,0),NA())</f>
        <v>#N/A</v>
      </c>
    </row>
    <row r="39" spans="1:30" ht="13.2" x14ac:dyDescent="0.25">
      <c r="A39" s="2" t="s">
        <v>51</v>
      </c>
      <c r="B39" s="2" t="s">
        <v>109</v>
      </c>
      <c r="F39" s="2">
        <v>9</v>
      </c>
      <c r="G39" s="2">
        <f ca="1">COUNTIF(INDIRECT(_xlfn.CONCAT("Data!$B$2:", ADDRESS(51,COUNTA(Data!$1:$1)+1,1,1))), Songs!A39) + F39</f>
        <v>15</v>
      </c>
      <c r="H39" s="8"/>
      <c r="I39" s="8"/>
      <c r="J39" s="8" cm="1">
        <f t="array" ref="J39">51 - MAX(IF(NOT(ISNA(K39:BB39)),K39:BB39))</f>
        <v>36</v>
      </c>
      <c r="K39">
        <f>_xlfn.IFNA(51-MATCH(Songs!$A39,Data!B$2:B$51,0),NA())</f>
        <v>13</v>
      </c>
      <c r="L39">
        <f>_xlfn.IFNA(51-MATCH(Songs!$A39,Data!C$2:C$51,0),NA())</f>
        <v>11</v>
      </c>
      <c r="M39">
        <f>_xlfn.IFNA(51-MATCH(Songs!$A39,Data!D$2:D$51,0),NA())</f>
        <v>15</v>
      </c>
      <c r="N39">
        <f>_xlfn.IFNA(51-MATCH(Songs!$A39,Data!E$2:E$51,0),NA())</f>
        <v>7</v>
      </c>
      <c r="O39" t="e">
        <f>_xlfn.IFNA(51-MATCH(Songs!$A39,Data!F$2:F$51,0),NA())</f>
        <v>#N/A</v>
      </c>
      <c r="P39">
        <f>_xlfn.IFNA(51-MATCH(Songs!$A39,Data!G$2:G$51,0),NA())</f>
        <v>3</v>
      </c>
      <c r="Q39">
        <f>_xlfn.IFNA(51-MATCH(Songs!$A39,Data!H$2:H$51,0),NA())</f>
        <v>4</v>
      </c>
      <c r="R39" t="e">
        <f>_xlfn.IFNA(51-MATCH(Songs!$A39,Data!I$2:I$51,0),NA())</f>
        <v>#N/A</v>
      </c>
      <c r="S39" t="e">
        <f>_xlfn.IFNA(51-MATCH(Songs!$A39,Data!J$2:J$51,0),NA())</f>
        <v>#N/A</v>
      </c>
      <c r="T39" t="e">
        <f>_xlfn.IFNA(51-MATCH(Songs!$A39,Data!K$2:K$51,0),NA())</f>
        <v>#N/A</v>
      </c>
      <c r="U39" t="e">
        <f>_xlfn.IFNA(51-MATCH(Songs!$A39,Data!L$2:L$51,0),NA())</f>
        <v>#N/A</v>
      </c>
      <c r="V39" t="e">
        <f>_xlfn.IFNA(51-MATCH(Songs!$A39,Data!M$2:M$51,0),NA())</f>
        <v>#N/A</v>
      </c>
      <c r="W39" t="e">
        <f>_xlfn.IFNA(51-MATCH(Songs!$A39,Data!N$2:N$51,0),NA())</f>
        <v>#N/A</v>
      </c>
      <c r="X39" t="e">
        <f>_xlfn.IFNA(51-MATCH(Songs!$A39,Data!O$2:O$51,0),NA())</f>
        <v>#N/A</v>
      </c>
      <c r="Y39" t="e">
        <f>_xlfn.IFNA(51-MATCH(Songs!$A39,Data!P$2:P$51,0),NA())</f>
        <v>#N/A</v>
      </c>
      <c r="Z39" t="e">
        <f>_xlfn.IFNA(51-MATCH(Songs!$A39,Data!Q$2:Q$51,0),NA())</f>
        <v>#N/A</v>
      </c>
      <c r="AA39" t="e">
        <f>_xlfn.IFNA(51-MATCH(Songs!$A39,Data!R$2:R$51,0),NA())</f>
        <v>#N/A</v>
      </c>
      <c r="AB39" t="e">
        <f>_xlfn.IFNA(51-MATCH(Songs!$A39,Data!S$2:S$51,0),NA())</f>
        <v>#N/A</v>
      </c>
      <c r="AC39" t="e">
        <f>_xlfn.IFNA(51-MATCH(Songs!$A39,Data!T$2:T$51,0),NA())</f>
        <v>#N/A</v>
      </c>
      <c r="AD39" t="e">
        <f>_xlfn.IFNA(51-MATCH(Songs!$A39,Data!U$2:U$51,0),NA())</f>
        <v>#N/A</v>
      </c>
    </row>
    <row r="40" spans="1:30" ht="13.2" x14ac:dyDescent="0.25">
      <c r="A40" s="2" t="s">
        <v>57</v>
      </c>
      <c r="B40" s="2" t="s">
        <v>110</v>
      </c>
      <c r="C40" s="2" t="s">
        <v>203</v>
      </c>
      <c r="F40" s="2">
        <v>6</v>
      </c>
      <c r="G40" s="2">
        <f ca="1">COUNTIF(INDIRECT(_xlfn.CONCAT("Data!$B$2:", ADDRESS(51,COUNTA(Data!$1:$1)+1,1,1))), Songs!A40) + F40</f>
        <v>20</v>
      </c>
      <c r="H40" s="8"/>
      <c r="I40" s="8"/>
      <c r="J40" s="8" cm="1">
        <f t="array" ref="J40">51 - MAX(IF(NOT(ISNA(K40:BB40)),K40:BB40))</f>
        <v>36</v>
      </c>
      <c r="K40">
        <f>_xlfn.IFNA(51-MATCH(Songs!$A40,Data!B$2:B$51,0),NA())</f>
        <v>12</v>
      </c>
      <c r="L40">
        <f>_xlfn.IFNA(51-MATCH(Songs!$A40,Data!C$2:C$51,0),NA())</f>
        <v>6</v>
      </c>
      <c r="M40">
        <f>_xlfn.IFNA(51-MATCH(Songs!$A40,Data!D$2:D$51,0),NA())</f>
        <v>5</v>
      </c>
      <c r="N40">
        <f>_xlfn.IFNA(51-MATCH(Songs!$A40,Data!E$2:E$51,0),NA())</f>
        <v>5</v>
      </c>
      <c r="O40">
        <f>_xlfn.IFNA(51-MATCH(Songs!$A40,Data!F$2:F$51,0),NA())</f>
        <v>3</v>
      </c>
      <c r="P40">
        <f>_xlfn.IFNA(51-MATCH(Songs!$A40,Data!G$2:G$51,0),NA())</f>
        <v>15</v>
      </c>
      <c r="Q40">
        <f>_xlfn.IFNA(51-MATCH(Songs!$A40,Data!H$2:H$51,0),NA())</f>
        <v>8</v>
      </c>
      <c r="R40">
        <f>_xlfn.IFNA(51-MATCH(Songs!$A40,Data!I$2:I$51,0),NA())</f>
        <v>7</v>
      </c>
      <c r="S40">
        <f>_xlfn.IFNA(51-MATCH(Songs!$A40,Data!J$2:J$51,0),NA())</f>
        <v>7</v>
      </c>
      <c r="T40">
        <f>_xlfn.IFNA(51-MATCH(Songs!$A40,Data!K$2:K$51,0),NA())</f>
        <v>4</v>
      </c>
      <c r="U40">
        <f>_xlfn.IFNA(51-MATCH(Songs!$A40,Data!L$2:L$51,0),NA())</f>
        <v>6</v>
      </c>
      <c r="V40" t="e">
        <f>_xlfn.IFNA(51-MATCH(Songs!$A40,Data!M$2:M$51,0),NA())</f>
        <v>#N/A</v>
      </c>
      <c r="W40" t="e">
        <f>_xlfn.IFNA(51-MATCH(Songs!$A40,Data!N$2:N$51,0),NA())</f>
        <v>#N/A</v>
      </c>
      <c r="X40" t="e">
        <f>_xlfn.IFNA(51-MATCH(Songs!$A40,Data!O$2:O$51,0),NA())</f>
        <v>#N/A</v>
      </c>
      <c r="Y40">
        <f>_xlfn.IFNA(51-MATCH(Songs!$A40,Data!P$2:P$51,0),NA())</f>
        <v>4</v>
      </c>
      <c r="Z40">
        <f>_xlfn.IFNA(51-MATCH(Songs!$A40,Data!Q$2:Q$51,0),NA())</f>
        <v>9</v>
      </c>
      <c r="AA40">
        <f>_xlfn.IFNA(51-MATCH(Songs!$A40,Data!R$2:R$51,0),NA())</f>
        <v>11</v>
      </c>
      <c r="AB40" t="e">
        <f>_xlfn.IFNA(51-MATCH(Songs!$A40,Data!S$2:S$51,0),NA())</f>
        <v>#N/A</v>
      </c>
      <c r="AC40" t="e">
        <f>_xlfn.IFNA(51-MATCH(Songs!$A40,Data!T$2:T$51,0),NA())</f>
        <v>#N/A</v>
      </c>
      <c r="AD40" t="e">
        <f>_xlfn.IFNA(51-MATCH(Songs!$A40,Data!U$2:U$51,0),NA())</f>
        <v>#N/A</v>
      </c>
    </row>
    <row r="41" spans="1:30" ht="13.2" x14ac:dyDescent="0.25">
      <c r="A41" s="2" t="s">
        <v>42</v>
      </c>
      <c r="B41" s="2" t="s">
        <v>111</v>
      </c>
      <c r="F41" s="2">
        <v>2</v>
      </c>
      <c r="G41" s="2">
        <f ca="1">COUNTIF(INDIRECT(_xlfn.CONCAT("Data!$B$2:", ADDRESS(51,COUNTA(Data!$1:$1)+1,1,1))), Songs!A41) + F41</f>
        <v>19</v>
      </c>
      <c r="H41" s="8"/>
      <c r="I41" s="8"/>
      <c r="J41" s="8" cm="1">
        <f t="array" ref="J41">51 - MAX(IF(NOT(ISNA(K41:BB41)),K41:BB41))</f>
        <v>9</v>
      </c>
      <c r="K41">
        <f>_xlfn.IFNA(51-MATCH(Songs!$A41,Data!B$2:B$51,0),NA())</f>
        <v>11</v>
      </c>
      <c r="L41">
        <f>_xlfn.IFNA(51-MATCH(Songs!$A41,Data!C$2:C$51,0),NA())</f>
        <v>12</v>
      </c>
      <c r="M41">
        <f>_xlfn.IFNA(51-MATCH(Songs!$A41,Data!D$2:D$51,0),NA())</f>
        <v>21</v>
      </c>
      <c r="N41">
        <f>_xlfn.IFNA(51-MATCH(Songs!$A41,Data!E$2:E$51,0),NA())</f>
        <v>16</v>
      </c>
      <c r="O41">
        <f>_xlfn.IFNA(51-MATCH(Songs!$A41,Data!F$2:F$51,0),NA())</f>
        <v>19</v>
      </c>
      <c r="P41">
        <f>_xlfn.IFNA(51-MATCH(Songs!$A41,Data!G$2:G$51,0),NA())</f>
        <v>26</v>
      </c>
      <c r="Q41">
        <f>_xlfn.IFNA(51-MATCH(Songs!$A41,Data!H$2:H$51,0),NA())</f>
        <v>26</v>
      </c>
      <c r="R41">
        <f>_xlfn.IFNA(51-MATCH(Songs!$A41,Data!I$2:I$51,0),NA())</f>
        <v>25</v>
      </c>
      <c r="S41">
        <f>_xlfn.IFNA(51-MATCH(Songs!$A41,Data!J$2:J$51,0),NA())</f>
        <v>29</v>
      </c>
      <c r="T41">
        <f>_xlfn.IFNA(51-MATCH(Songs!$A41,Data!K$2:K$51,0),NA())</f>
        <v>31</v>
      </c>
      <c r="U41">
        <f>_xlfn.IFNA(51-MATCH(Songs!$A41,Data!L$2:L$51,0),NA())</f>
        <v>33</v>
      </c>
      <c r="V41">
        <f>_xlfn.IFNA(51-MATCH(Songs!$A41,Data!M$2:M$51,0),NA())</f>
        <v>24</v>
      </c>
      <c r="W41">
        <f>_xlfn.IFNA(51-MATCH(Songs!$A41,Data!N$2:N$51,0),NA())</f>
        <v>33</v>
      </c>
      <c r="X41">
        <f>_xlfn.IFNA(51-MATCH(Songs!$A41,Data!O$2:O$51,0),NA())</f>
        <v>39</v>
      </c>
      <c r="Y41">
        <f>_xlfn.IFNA(51-MATCH(Songs!$A41,Data!P$2:P$51,0),NA())</f>
        <v>42</v>
      </c>
      <c r="Z41">
        <f>_xlfn.IFNA(51-MATCH(Songs!$A41,Data!Q$2:Q$51,0),NA())</f>
        <v>41</v>
      </c>
      <c r="AA41">
        <f>_xlfn.IFNA(51-MATCH(Songs!$A41,Data!R$2:R$51,0),NA())</f>
        <v>39</v>
      </c>
      <c r="AB41" t="e">
        <f>_xlfn.IFNA(51-MATCH(Songs!$A41,Data!S$2:S$51,0),NA())</f>
        <v>#N/A</v>
      </c>
      <c r="AC41" t="e">
        <f>_xlfn.IFNA(51-MATCH(Songs!$A41,Data!T$2:T$51,0),NA())</f>
        <v>#N/A</v>
      </c>
      <c r="AD41" t="e">
        <f>_xlfn.IFNA(51-MATCH(Songs!$A41,Data!U$2:U$51,0),NA())</f>
        <v>#N/A</v>
      </c>
    </row>
    <row r="42" spans="1:30" ht="13.2" x14ac:dyDescent="0.25">
      <c r="A42" s="2" t="s">
        <v>60</v>
      </c>
      <c r="B42" s="2" t="s">
        <v>74</v>
      </c>
      <c r="F42" s="2">
        <v>20</v>
      </c>
      <c r="G42" s="2">
        <f ca="1">COUNTIF(INDIRECT(_xlfn.CONCAT("Data!$B$2:", ADDRESS(51,COUNTA(Data!$1:$1)+1,1,1))), Songs!A42) + F42</f>
        <v>21</v>
      </c>
      <c r="H42" s="8"/>
      <c r="I42" s="8"/>
      <c r="J42" s="8" cm="1">
        <f t="array" ref="J42">51 - MAX(IF(NOT(ISNA(K42:BB42)),K42:BB42))</f>
        <v>41</v>
      </c>
      <c r="K42">
        <f>_xlfn.IFNA(51-MATCH(Songs!$A42,Data!B$2:B$51,0),NA())</f>
        <v>10</v>
      </c>
      <c r="L42" t="e">
        <f>_xlfn.IFNA(51-MATCH(Songs!$A42,Data!C$2:C$51,0),NA())</f>
        <v>#N/A</v>
      </c>
      <c r="M42" t="e">
        <f>_xlfn.IFNA(51-MATCH(Songs!$A42,Data!D$2:D$51,0),NA())</f>
        <v>#N/A</v>
      </c>
      <c r="N42" t="e">
        <f>_xlfn.IFNA(51-MATCH(Songs!$A42,Data!E$2:E$51,0),NA())</f>
        <v>#N/A</v>
      </c>
      <c r="O42" t="e">
        <f>_xlfn.IFNA(51-MATCH(Songs!$A42,Data!F$2:F$51,0),NA())</f>
        <v>#N/A</v>
      </c>
      <c r="P42" t="e">
        <f>_xlfn.IFNA(51-MATCH(Songs!$A42,Data!G$2:G$51,0),NA())</f>
        <v>#N/A</v>
      </c>
      <c r="Q42" t="e">
        <f>_xlfn.IFNA(51-MATCH(Songs!$A42,Data!H$2:H$51,0),NA())</f>
        <v>#N/A</v>
      </c>
      <c r="R42" t="e">
        <f>_xlfn.IFNA(51-MATCH(Songs!$A42,Data!I$2:I$51,0),NA())</f>
        <v>#N/A</v>
      </c>
      <c r="S42" t="e">
        <f>_xlfn.IFNA(51-MATCH(Songs!$A42,Data!J$2:J$51,0),NA())</f>
        <v>#N/A</v>
      </c>
      <c r="T42" t="e">
        <f>_xlfn.IFNA(51-MATCH(Songs!$A42,Data!K$2:K$51,0),NA())</f>
        <v>#N/A</v>
      </c>
      <c r="U42" t="e">
        <f>_xlfn.IFNA(51-MATCH(Songs!$A42,Data!L$2:L$51,0),NA())</f>
        <v>#N/A</v>
      </c>
      <c r="V42" t="e">
        <f>_xlfn.IFNA(51-MATCH(Songs!$A42,Data!M$2:M$51,0),NA())</f>
        <v>#N/A</v>
      </c>
      <c r="W42" t="e">
        <f>_xlfn.IFNA(51-MATCH(Songs!$A42,Data!N$2:N$51,0),NA())</f>
        <v>#N/A</v>
      </c>
      <c r="X42" t="e">
        <f>_xlfn.IFNA(51-MATCH(Songs!$A42,Data!O$2:O$51,0),NA())</f>
        <v>#N/A</v>
      </c>
      <c r="Y42" t="e">
        <f>_xlfn.IFNA(51-MATCH(Songs!$A42,Data!P$2:P$51,0),NA())</f>
        <v>#N/A</v>
      </c>
      <c r="Z42" t="e">
        <f>_xlfn.IFNA(51-MATCH(Songs!$A42,Data!Q$2:Q$51,0),NA())</f>
        <v>#N/A</v>
      </c>
      <c r="AA42" t="e">
        <f>_xlfn.IFNA(51-MATCH(Songs!$A42,Data!R$2:R$51,0),NA())</f>
        <v>#N/A</v>
      </c>
      <c r="AB42" t="e">
        <f>_xlfn.IFNA(51-MATCH(Songs!$A42,Data!S$2:S$51,0),NA())</f>
        <v>#N/A</v>
      </c>
      <c r="AC42" t="e">
        <f>_xlfn.IFNA(51-MATCH(Songs!$A42,Data!T$2:T$51,0),NA())</f>
        <v>#N/A</v>
      </c>
      <c r="AD42" t="e">
        <f>_xlfn.IFNA(51-MATCH(Songs!$A42,Data!U$2:U$51,0),NA())</f>
        <v>#N/A</v>
      </c>
    </row>
    <row r="43" spans="1:30" ht="13.2" x14ac:dyDescent="0.25">
      <c r="A43" s="2" t="s">
        <v>50</v>
      </c>
      <c r="B43" s="2" t="s">
        <v>80</v>
      </c>
      <c r="F43" s="2">
        <v>2</v>
      </c>
      <c r="G43" s="2">
        <f ca="1">COUNTIF(INDIRECT(_xlfn.CONCAT("Data!$B$2:", ADDRESS(51,COUNTA(Data!$1:$1)+1,1,1))), Songs!A43) + F43</f>
        <v>19</v>
      </c>
      <c r="H43" s="8"/>
      <c r="I43" s="8"/>
      <c r="J43" s="8" cm="1">
        <f t="array" ref="J43">51 - MAX(IF(NOT(ISNA(K43:BB43)),K43:BB43))</f>
        <v>13</v>
      </c>
      <c r="K43">
        <f>_xlfn.IFNA(51-MATCH(Songs!$A43,Data!B$2:B$51,0),NA())</f>
        <v>9</v>
      </c>
      <c r="L43">
        <f>_xlfn.IFNA(51-MATCH(Songs!$A43,Data!C$2:C$51,0),NA())</f>
        <v>3</v>
      </c>
      <c r="M43">
        <f>_xlfn.IFNA(51-MATCH(Songs!$A43,Data!D$2:D$51,0),NA())</f>
        <v>10</v>
      </c>
      <c r="N43">
        <f>_xlfn.IFNA(51-MATCH(Songs!$A43,Data!E$2:E$51,0),NA())</f>
        <v>9</v>
      </c>
      <c r="O43">
        <f>_xlfn.IFNA(51-MATCH(Songs!$A43,Data!F$2:F$51,0),NA())</f>
        <v>16</v>
      </c>
      <c r="P43">
        <f>_xlfn.IFNA(51-MATCH(Songs!$A43,Data!G$2:G$51,0),NA())</f>
        <v>19</v>
      </c>
      <c r="Q43">
        <f>_xlfn.IFNA(51-MATCH(Songs!$A43,Data!H$2:H$51,0),NA())</f>
        <v>18</v>
      </c>
      <c r="R43">
        <f>_xlfn.IFNA(51-MATCH(Songs!$A43,Data!I$2:I$51,0),NA())</f>
        <v>15</v>
      </c>
      <c r="S43">
        <f>_xlfn.IFNA(51-MATCH(Songs!$A43,Data!J$2:J$51,0),NA())</f>
        <v>18</v>
      </c>
      <c r="T43">
        <f>_xlfn.IFNA(51-MATCH(Songs!$A43,Data!K$2:K$51,0),NA())</f>
        <v>23</v>
      </c>
      <c r="U43">
        <f>_xlfn.IFNA(51-MATCH(Songs!$A43,Data!L$2:L$51,0),NA())</f>
        <v>27</v>
      </c>
      <c r="V43">
        <f>_xlfn.IFNA(51-MATCH(Songs!$A43,Data!M$2:M$51,0),NA())</f>
        <v>20</v>
      </c>
      <c r="W43">
        <f>_xlfn.IFNA(51-MATCH(Songs!$A43,Data!N$2:N$51,0),NA())</f>
        <v>34</v>
      </c>
      <c r="X43">
        <f>_xlfn.IFNA(51-MATCH(Songs!$A43,Data!O$2:O$51,0),NA())</f>
        <v>33</v>
      </c>
      <c r="Y43">
        <f>_xlfn.IFNA(51-MATCH(Songs!$A43,Data!P$2:P$51,0),NA())</f>
        <v>35</v>
      </c>
      <c r="Z43">
        <f>_xlfn.IFNA(51-MATCH(Songs!$A43,Data!Q$2:Q$51,0),NA())</f>
        <v>38</v>
      </c>
      <c r="AA43">
        <f>_xlfn.IFNA(51-MATCH(Songs!$A43,Data!R$2:R$51,0),NA())</f>
        <v>37</v>
      </c>
      <c r="AB43" t="e">
        <f>_xlfn.IFNA(51-MATCH(Songs!$A43,Data!S$2:S$51,0),NA())</f>
        <v>#N/A</v>
      </c>
      <c r="AC43" t="e">
        <f>_xlfn.IFNA(51-MATCH(Songs!$A43,Data!T$2:T$51,0),NA())</f>
        <v>#N/A</v>
      </c>
      <c r="AD43" t="e">
        <f>_xlfn.IFNA(51-MATCH(Songs!$A43,Data!U$2:U$51,0),NA())</f>
        <v>#N/A</v>
      </c>
    </row>
    <row r="44" spans="1:30" ht="13.2" x14ac:dyDescent="0.25">
      <c r="A44" s="2" t="s">
        <v>45</v>
      </c>
      <c r="B44" s="2" t="s">
        <v>84</v>
      </c>
      <c r="F44" s="2">
        <v>11</v>
      </c>
      <c r="G44" s="2">
        <f ca="1">COUNTIF(INDIRECT(_xlfn.CONCAT("Data!$B$2:", ADDRESS(51,COUNTA(Data!$1:$1)+1,1,1))), Songs!A44) + F44</f>
        <v>28</v>
      </c>
      <c r="H44" s="8"/>
      <c r="I44" s="8"/>
      <c r="J44" s="8" cm="1">
        <f t="array" ref="J44">51 - MAX(IF(NOT(ISNA(K44:BB44)),K44:BB44))</f>
        <v>17</v>
      </c>
      <c r="K44">
        <f>_xlfn.IFNA(51-MATCH(Songs!$A44,Data!B$2:B$51,0),NA())</f>
        <v>8</v>
      </c>
      <c r="L44">
        <f>_xlfn.IFNA(51-MATCH(Songs!$A44,Data!C$2:C$51,0),NA())</f>
        <v>17</v>
      </c>
      <c r="M44">
        <f>_xlfn.IFNA(51-MATCH(Songs!$A44,Data!D$2:D$51,0),NA())</f>
        <v>19</v>
      </c>
      <c r="N44">
        <f>_xlfn.IFNA(51-MATCH(Songs!$A44,Data!E$2:E$51,0),NA())</f>
        <v>12</v>
      </c>
      <c r="O44">
        <f>_xlfn.IFNA(51-MATCH(Songs!$A44,Data!F$2:F$51,0),NA())</f>
        <v>12</v>
      </c>
      <c r="P44">
        <f>_xlfn.IFNA(51-MATCH(Songs!$A44,Data!G$2:G$51,0),NA())</f>
        <v>10</v>
      </c>
      <c r="Q44">
        <f>_xlfn.IFNA(51-MATCH(Songs!$A44,Data!H$2:H$51,0),NA())</f>
        <v>16</v>
      </c>
      <c r="R44">
        <f>_xlfn.IFNA(51-MATCH(Songs!$A44,Data!I$2:I$51,0),NA())</f>
        <v>18</v>
      </c>
      <c r="S44">
        <f>_xlfn.IFNA(51-MATCH(Songs!$A44,Data!J$2:J$51,0),NA())</f>
        <v>21</v>
      </c>
      <c r="T44">
        <f>_xlfn.IFNA(51-MATCH(Songs!$A44,Data!K$2:K$51,0),NA())</f>
        <v>16</v>
      </c>
      <c r="U44">
        <f>_xlfn.IFNA(51-MATCH(Songs!$A44,Data!L$2:L$51,0),NA())</f>
        <v>21</v>
      </c>
      <c r="V44">
        <f>_xlfn.IFNA(51-MATCH(Songs!$A44,Data!M$2:M$51,0),NA())</f>
        <v>17</v>
      </c>
      <c r="W44">
        <f>_xlfn.IFNA(51-MATCH(Songs!$A44,Data!N$2:N$51,0),NA())</f>
        <v>25</v>
      </c>
      <c r="X44">
        <f>_xlfn.IFNA(51-MATCH(Songs!$A44,Data!O$2:O$51,0),NA())</f>
        <v>29</v>
      </c>
      <c r="Y44">
        <f>_xlfn.IFNA(51-MATCH(Songs!$A44,Data!P$2:P$51,0),NA())</f>
        <v>30</v>
      </c>
      <c r="Z44">
        <f>_xlfn.IFNA(51-MATCH(Songs!$A44,Data!Q$2:Q$51,0),NA())</f>
        <v>34</v>
      </c>
      <c r="AA44">
        <f>_xlfn.IFNA(51-MATCH(Songs!$A44,Data!R$2:R$51,0),NA())</f>
        <v>34</v>
      </c>
      <c r="AB44" t="e">
        <f>_xlfn.IFNA(51-MATCH(Songs!$A44,Data!S$2:S$51,0),NA())</f>
        <v>#N/A</v>
      </c>
      <c r="AC44" t="e">
        <f>_xlfn.IFNA(51-MATCH(Songs!$A44,Data!T$2:T$51,0),NA())</f>
        <v>#N/A</v>
      </c>
      <c r="AD44" t="e">
        <f>_xlfn.IFNA(51-MATCH(Songs!$A44,Data!U$2:U$51,0),NA())</f>
        <v>#N/A</v>
      </c>
    </row>
    <row r="45" spans="1:30" ht="13.2" x14ac:dyDescent="0.25">
      <c r="A45" s="2" t="s">
        <v>55</v>
      </c>
      <c r="B45" s="2" t="s">
        <v>112</v>
      </c>
      <c r="F45" s="2">
        <v>2</v>
      </c>
      <c r="G45" s="2">
        <f ca="1">COUNTIF(INDIRECT(_xlfn.CONCAT("Data!$B$2:", ADDRESS(51,COUNTA(Data!$1:$1)+1,1,1))), Songs!A45) + F45</f>
        <v>19</v>
      </c>
      <c r="H45" s="8"/>
      <c r="I45" s="8"/>
      <c r="J45" s="8" cm="1">
        <f t="array" ref="J45">51 - MAX(IF(NOT(ISNA(K45:BB45)),K45:BB45))</f>
        <v>24</v>
      </c>
      <c r="K45">
        <f>_xlfn.IFNA(51-MATCH(Songs!$A45,Data!B$2:B$51,0),NA())</f>
        <v>7</v>
      </c>
      <c r="L45">
        <f>_xlfn.IFNA(51-MATCH(Songs!$A45,Data!C$2:C$51,0),NA())</f>
        <v>13</v>
      </c>
      <c r="M45">
        <f>_xlfn.IFNA(51-MATCH(Songs!$A45,Data!D$2:D$51,0),NA())</f>
        <v>12</v>
      </c>
      <c r="N45">
        <f>_xlfn.IFNA(51-MATCH(Songs!$A45,Data!E$2:E$51,0),NA())</f>
        <v>8</v>
      </c>
      <c r="O45">
        <f>_xlfn.IFNA(51-MATCH(Songs!$A45,Data!F$2:F$51,0),NA())</f>
        <v>13</v>
      </c>
      <c r="P45">
        <f>_xlfn.IFNA(51-MATCH(Songs!$A45,Data!G$2:G$51,0),NA())</f>
        <v>16</v>
      </c>
      <c r="Q45">
        <f>_xlfn.IFNA(51-MATCH(Songs!$A45,Data!H$2:H$51,0),NA())</f>
        <v>13</v>
      </c>
      <c r="R45">
        <f>_xlfn.IFNA(51-MATCH(Songs!$A45,Data!I$2:I$51,0),NA())</f>
        <v>16</v>
      </c>
      <c r="S45">
        <f>_xlfn.IFNA(51-MATCH(Songs!$A45,Data!J$2:J$51,0),NA())</f>
        <v>11</v>
      </c>
      <c r="T45">
        <f>_xlfn.IFNA(51-MATCH(Songs!$A45,Data!K$2:K$51,0),NA())</f>
        <v>17</v>
      </c>
      <c r="U45">
        <f>_xlfn.IFNA(51-MATCH(Songs!$A45,Data!L$2:L$51,0),NA())</f>
        <v>20</v>
      </c>
      <c r="V45">
        <f>_xlfn.IFNA(51-MATCH(Songs!$A45,Data!M$2:M$51,0),NA())</f>
        <v>11</v>
      </c>
      <c r="W45">
        <f>_xlfn.IFNA(51-MATCH(Songs!$A45,Data!N$2:N$51,0),NA())</f>
        <v>13</v>
      </c>
      <c r="X45">
        <f>_xlfn.IFNA(51-MATCH(Songs!$A45,Data!O$2:O$51,0),NA())</f>
        <v>20</v>
      </c>
      <c r="Y45">
        <f>_xlfn.IFNA(51-MATCH(Songs!$A45,Data!P$2:P$51,0),NA())</f>
        <v>24</v>
      </c>
      <c r="Z45">
        <f>_xlfn.IFNA(51-MATCH(Songs!$A45,Data!Q$2:Q$51,0),NA())</f>
        <v>27</v>
      </c>
      <c r="AA45">
        <f>_xlfn.IFNA(51-MATCH(Songs!$A45,Data!R$2:R$51,0),NA())</f>
        <v>27</v>
      </c>
      <c r="AB45" t="e">
        <f>_xlfn.IFNA(51-MATCH(Songs!$A45,Data!S$2:S$51,0),NA())</f>
        <v>#N/A</v>
      </c>
      <c r="AC45" t="e">
        <f>_xlfn.IFNA(51-MATCH(Songs!$A45,Data!T$2:T$51,0),NA())</f>
        <v>#N/A</v>
      </c>
      <c r="AD45" t="e">
        <f>_xlfn.IFNA(51-MATCH(Songs!$A45,Data!U$2:U$51,0),NA())</f>
        <v>#N/A</v>
      </c>
    </row>
    <row r="46" spans="1:30" ht="13.2" x14ac:dyDescent="0.25">
      <c r="A46" s="2" t="s">
        <v>58</v>
      </c>
      <c r="B46" s="2" t="s">
        <v>113</v>
      </c>
      <c r="F46" s="2">
        <v>8</v>
      </c>
      <c r="G46" s="2">
        <f ca="1">COUNTIF(INDIRECT(_xlfn.CONCAT("Data!$B$2:", ADDRESS(51,COUNTA(Data!$1:$1)+1,1,1))), Songs!A46) + F46</f>
        <v>21</v>
      </c>
      <c r="H46" s="8"/>
      <c r="I46" s="8"/>
      <c r="J46" s="8" cm="1">
        <f t="array" ref="J46">51 - MAX(IF(NOT(ISNA(K46:BB46)),K46:BB46))</f>
        <v>40</v>
      </c>
      <c r="K46">
        <f>_xlfn.IFNA(51-MATCH(Songs!$A46,Data!B$2:B$51,0),NA())</f>
        <v>6</v>
      </c>
      <c r="L46">
        <f>_xlfn.IFNA(51-MATCH(Songs!$A46,Data!C$2:C$51,0),NA())</f>
        <v>8</v>
      </c>
      <c r="M46">
        <f>_xlfn.IFNA(51-MATCH(Songs!$A46,Data!D$2:D$51,0),NA())</f>
        <v>11</v>
      </c>
      <c r="N46">
        <f>_xlfn.IFNA(51-MATCH(Songs!$A46,Data!E$2:E$51,0),NA())</f>
        <v>6</v>
      </c>
      <c r="O46">
        <f>_xlfn.IFNA(51-MATCH(Songs!$A46,Data!F$2:F$51,0),NA())</f>
        <v>6</v>
      </c>
      <c r="P46">
        <f>_xlfn.IFNA(51-MATCH(Songs!$A46,Data!G$2:G$51,0),NA())</f>
        <v>6</v>
      </c>
      <c r="Q46">
        <f>_xlfn.IFNA(51-MATCH(Songs!$A46,Data!H$2:H$51,0),NA())</f>
        <v>10</v>
      </c>
      <c r="R46">
        <f>_xlfn.IFNA(51-MATCH(Songs!$A46,Data!I$2:I$51,0),NA())</f>
        <v>5</v>
      </c>
      <c r="S46">
        <f>_xlfn.IFNA(51-MATCH(Songs!$A46,Data!J$2:J$51,0),NA())</f>
        <v>6</v>
      </c>
      <c r="T46">
        <f>_xlfn.IFNA(51-MATCH(Songs!$A46,Data!K$2:K$51,0),NA())</f>
        <v>6</v>
      </c>
      <c r="U46">
        <f>_xlfn.IFNA(51-MATCH(Songs!$A46,Data!L$2:L$51,0),NA())</f>
        <v>10</v>
      </c>
      <c r="V46">
        <f>_xlfn.IFNA(51-MATCH(Songs!$A46,Data!M$2:M$51,0),NA())</f>
        <v>3</v>
      </c>
      <c r="W46" t="e">
        <f>_xlfn.IFNA(51-MATCH(Songs!$A46,Data!N$2:N$51,0),NA())</f>
        <v>#N/A</v>
      </c>
      <c r="X46" t="e">
        <f>_xlfn.IFNA(51-MATCH(Songs!$A46,Data!O$2:O$51,0),NA())</f>
        <v>#N/A</v>
      </c>
      <c r="Y46" t="e">
        <f>_xlfn.IFNA(51-MATCH(Songs!$A46,Data!P$2:P$51,0),NA())</f>
        <v>#N/A</v>
      </c>
      <c r="Z46">
        <f>_xlfn.IFNA(51-MATCH(Songs!$A46,Data!Q$2:Q$51,0),NA())</f>
        <v>1</v>
      </c>
      <c r="AA46" t="e">
        <f>_xlfn.IFNA(51-MATCH(Songs!$A46,Data!R$2:R$51,0),NA())</f>
        <v>#N/A</v>
      </c>
      <c r="AB46" t="e">
        <f>_xlfn.IFNA(51-MATCH(Songs!$A46,Data!S$2:S$51,0),NA())</f>
        <v>#N/A</v>
      </c>
      <c r="AC46" t="e">
        <f>_xlfn.IFNA(51-MATCH(Songs!$A46,Data!T$2:T$51,0),NA())</f>
        <v>#N/A</v>
      </c>
      <c r="AD46" t="e">
        <f>_xlfn.IFNA(51-MATCH(Songs!$A46,Data!U$2:U$51,0),NA())</f>
        <v>#N/A</v>
      </c>
    </row>
    <row r="47" spans="1:30" ht="13.2" x14ac:dyDescent="0.25">
      <c r="A47" s="2" t="s">
        <v>63</v>
      </c>
      <c r="B47" s="2" t="s">
        <v>114</v>
      </c>
      <c r="F47" s="2">
        <v>13</v>
      </c>
      <c r="G47" s="2">
        <f ca="1">COUNTIF(INDIRECT(_xlfn.CONCAT("Data!$B$2:", ADDRESS(51,COUNTA(Data!$1:$1)+1,1,1))), Songs!A47) + F47</f>
        <v>29</v>
      </c>
      <c r="H47" s="8"/>
      <c r="I47" s="8"/>
      <c r="J47" s="8" cm="1">
        <f t="array" ref="J47">51 - MAX(IF(NOT(ISNA(K47:BB47)),K47:BB47))</f>
        <v>29</v>
      </c>
      <c r="K47">
        <f>_xlfn.IFNA(51-MATCH(Songs!$A47,Data!B$2:B$51,0),NA())</f>
        <v>5</v>
      </c>
      <c r="L47">
        <f>_xlfn.IFNA(51-MATCH(Songs!$A47,Data!C$2:C$51,0),NA())</f>
        <v>9</v>
      </c>
      <c r="M47">
        <f>_xlfn.IFNA(51-MATCH(Songs!$A47,Data!D$2:D$51,0),NA())</f>
        <v>3</v>
      </c>
      <c r="N47">
        <f>_xlfn.IFNA(51-MATCH(Songs!$A47,Data!E$2:E$51,0),NA())</f>
        <v>3</v>
      </c>
      <c r="O47">
        <f>_xlfn.IFNA(51-MATCH(Songs!$A47,Data!F$2:F$51,0),NA())</f>
        <v>2</v>
      </c>
      <c r="P47">
        <f>_xlfn.IFNA(51-MATCH(Songs!$A47,Data!G$2:G$51,0),NA())</f>
        <v>8</v>
      </c>
      <c r="Q47">
        <f>_xlfn.IFNA(51-MATCH(Songs!$A47,Data!H$2:H$51,0),NA())</f>
        <v>6</v>
      </c>
      <c r="R47">
        <f>_xlfn.IFNA(51-MATCH(Songs!$A47,Data!I$2:I$51,0),NA())</f>
        <v>6</v>
      </c>
      <c r="S47">
        <f>_xlfn.IFNA(51-MATCH(Songs!$A47,Data!J$2:J$51,0),NA())</f>
        <v>5</v>
      </c>
      <c r="T47">
        <f>_xlfn.IFNA(51-MATCH(Songs!$A47,Data!K$2:K$51,0),NA())</f>
        <v>7</v>
      </c>
      <c r="U47">
        <f>_xlfn.IFNA(51-MATCH(Songs!$A47,Data!L$2:L$51,0),NA())</f>
        <v>9</v>
      </c>
      <c r="V47" t="e">
        <f>_xlfn.IFNA(51-MATCH(Songs!$A47,Data!M$2:M$51,0),NA())</f>
        <v>#N/A</v>
      </c>
      <c r="W47">
        <f>_xlfn.IFNA(51-MATCH(Songs!$A47,Data!N$2:N$51,0),NA())</f>
        <v>3</v>
      </c>
      <c r="X47">
        <f>_xlfn.IFNA(51-MATCH(Songs!$A47,Data!O$2:O$51,0),NA())</f>
        <v>8</v>
      </c>
      <c r="Y47">
        <f>_xlfn.IFNA(51-MATCH(Songs!$A47,Data!P$2:P$51,0),NA())</f>
        <v>17</v>
      </c>
      <c r="Z47">
        <f>_xlfn.IFNA(51-MATCH(Songs!$A47,Data!Q$2:Q$51,0),NA())</f>
        <v>22</v>
      </c>
      <c r="AA47">
        <f>_xlfn.IFNA(51-MATCH(Songs!$A47,Data!R$2:R$51,0),NA())</f>
        <v>22</v>
      </c>
      <c r="AB47" t="e">
        <f>_xlfn.IFNA(51-MATCH(Songs!$A47,Data!S$2:S$51,0),NA())</f>
        <v>#N/A</v>
      </c>
      <c r="AC47" t="e">
        <f>_xlfn.IFNA(51-MATCH(Songs!$A47,Data!T$2:T$51,0),NA())</f>
        <v>#N/A</v>
      </c>
      <c r="AD47" t="e">
        <f>_xlfn.IFNA(51-MATCH(Songs!$A47,Data!U$2:U$51,0),NA())</f>
        <v>#N/A</v>
      </c>
    </row>
    <row r="48" spans="1:30" ht="13.2" x14ac:dyDescent="0.25">
      <c r="A48" s="2" t="s">
        <v>53</v>
      </c>
      <c r="B48" s="2" t="s">
        <v>78</v>
      </c>
      <c r="F48" s="2">
        <v>10</v>
      </c>
      <c r="G48" s="2">
        <f ca="1">COUNTIF(INDIRECT(_xlfn.CONCAT("Data!$B$2:", ADDRESS(51,COUNTA(Data!$1:$1)+1,1,1))), Songs!A48) + F48</f>
        <v>26</v>
      </c>
      <c r="H48" s="8"/>
      <c r="I48" s="8"/>
      <c r="J48" s="8" cm="1">
        <f t="array" ref="J48">51 - MAX(IF(NOT(ISNA(K48:BB48)),K48:BB48))</f>
        <v>20</v>
      </c>
      <c r="K48">
        <f>_xlfn.IFNA(51-MATCH(Songs!$A48,Data!B$2:B$51,0),NA())</f>
        <v>4</v>
      </c>
      <c r="L48">
        <f>_xlfn.IFNA(51-MATCH(Songs!$A48,Data!C$2:C$51,0),NA())</f>
        <v>14</v>
      </c>
      <c r="M48">
        <f>_xlfn.IFNA(51-MATCH(Songs!$A48,Data!D$2:D$51,0),NA())</f>
        <v>4</v>
      </c>
      <c r="N48" t="e">
        <f>_xlfn.IFNA(51-MATCH(Songs!$A48,Data!E$2:E$51,0),NA())</f>
        <v>#N/A</v>
      </c>
      <c r="O48">
        <f>_xlfn.IFNA(51-MATCH(Songs!$A48,Data!F$2:F$51,0),NA())</f>
        <v>7</v>
      </c>
      <c r="P48">
        <f>_xlfn.IFNA(51-MATCH(Songs!$A48,Data!G$2:G$51,0),NA())</f>
        <v>12</v>
      </c>
      <c r="Q48">
        <f>_xlfn.IFNA(51-MATCH(Songs!$A48,Data!H$2:H$51,0),NA())</f>
        <v>12</v>
      </c>
      <c r="R48">
        <f>_xlfn.IFNA(51-MATCH(Songs!$A48,Data!I$2:I$51,0),NA())</f>
        <v>9</v>
      </c>
      <c r="S48">
        <f>_xlfn.IFNA(51-MATCH(Songs!$A48,Data!J$2:J$51,0),NA())</f>
        <v>17</v>
      </c>
      <c r="T48">
        <f>_xlfn.IFNA(51-MATCH(Songs!$A48,Data!K$2:K$51,0),NA())</f>
        <v>11</v>
      </c>
      <c r="U48">
        <f>_xlfn.IFNA(51-MATCH(Songs!$A48,Data!L$2:L$51,0),NA())</f>
        <v>14</v>
      </c>
      <c r="V48">
        <f>_xlfn.IFNA(51-MATCH(Songs!$A48,Data!M$2:M$51,0),NA())</f>
        <v>4</v>
      </c>
      <c r="W48">
        <f>_xlfn.IFNA(51-MATCH(Songs!$A48,Data!N$2:N$51,0),NA())</f>
        <v>17</v>
      </c>
      <c r="X48">
        <f>_xlfn.IFNA(51-MATCH(Songs!$A48,Data!O$2:O$51,0),NA())</f>
        <v>30</v>
      </c>
      <c r="Y48">
        <f>_xlfn.IFNA(51-MATCH(Songs!$A48,Data!P$2:P$51,0),NA())</f>
        <v>29</v>
      </c>
      <c r="Z48">
        <f>_xlfn.IFNA(51-MATCH(Songs!$A48,Data!Q$2:Q$51,0),NA())</f>
        <v>31</v>
      </c>
      <c r="AA48">
        <f>_xlfn.IFNA(51-MATCH(Songs!$A48,Data!R$2:R$51,0),NA())</f>
        <v>28</v>
      </c>
      <c r="AB48" t="e">
        <f>_xlfn.IFNA(51-MATCH(Songs!$A48,Data!S$2:S$51,0),NA())</f>
        <v>#N/A</v>
      </c>
      <c r="AC48" t="e">
        <f>_xlfn.IFNA(51-MATCH(Songs!$A48,Data!T$2:T$51,0),NA())</f>
        <v>#N/A</v>
      </c>
      <c r="AD48" t="e">
        <f>_xlfn.IFNA(51-MATCH(Songs!$A48,Data!U$2:U$51,0),NA())</f>
        <v>#N/A</v>
      </c>
    </row>
    <row r="49" spans="1:30" ht="13.2" x14ac:dyDescent="0.25">
      <c r="A49" s="2" t="s">
        <v>62</v>
      </c>
      <c r="B49" s="2" t="s">
        <v>115</v>
      </c>
      <c r="F49" s="2">
        <v>1</v>
      </c>
      <c r="G49" s="2">
        <f ca="1">COUNTIF(INDIRECT(_xlfn.CONCAT("Data!$B$2:", ADDRESS(51,COUNTA(Data!$1:$1)+1,1,1))), Songs!A49) + F49</f>
        <v>18</v>
      </c>
      <c r="H49" s="8"/>
      <c r="I49" s="8"/>
      <c r="J49" s="8" cm="1">
        <f t="array" ref="J49">51 - MAX(IF(NOT(ISNA(K49:BB49)),K49:BB49))</f>
        <v>20</v>
      </c>
      <c r="K49">
        <f>_xlfn.IFNA(51-MATCH(Songs!$A49,Data!B$2:B$51,0),NA())</f>
        <v>3</v>
      </c>
      <c r="L49">
        <f>_xlfn.IFNA(51-MATCH(Songs!$A49,Data!C$2:C$51,0),NA())</f>
        <v>5</v>
      </c>
      <c r="M49">
        <f>_xlfn.IFNA(51-MATCH(Songs!$A49,Data!D$2:D$51,0),NA())</f>
        <v>7</v>
      </c>
      <c r="N49">
        <f>_xlfn.IFNA(51-MATCH(Songs!$A49,Data!E$2:E$51,0),NA())</f>
        <v>4</v>
      </c>
      <c r="O49">
        <f>_xlfn.IFNA(51-MATCH(Songs!$A49,Data!F$2:F$51,0),NA())</f>
        <v>10</v>
      </c>
      <c r="P49">
        <f>_xlfn.IFNA(51-MATCH(Songs!$A49,Data!G$2:G$51,0),NA())</f>
        <v>14</v>
      </c>
      <c r="Q49">
        <f>_xlfn.IFNA(51-MATCH(Songs!$A49,Data!H$2:H$51,0),NA())</f>
        <v>15</v>
      </c>
      <c r="R49">
        <f>_xlfn.IFNA(51-MATCH(Songs!$A49,Data!I$2:I$51,0),NA())</f>
        <v>14</v>
      </c>
      <c r="S49">
        <f>_xlfn.IFNA(51-MATCH(Songs!$A49,Data!J$2:J$51,0),NA())</f>
        <v>19</v>
      </c>
      <c r="T49">
        <f>_xlfn.IFNA(51-MATCH(Songs!$A49,Data!K$2:K$51,0),NA())</f>
        <v>21</v>
      </c>
      <c r="U49">
        <f>_xlfn.IFNA(51-MATCH(Songs!$A49,Data!L$2:L$51,0),NA())</f>
        <v>23</v>
      </c>
      <c r="V49">
        <f>_xlfn.IFNA(51-MATCH(Songs!$A49,Data!M$2:M$51,0),NA())</f>
        <v>16</v>
      </c>
      <c r="W49">
        <f>_xlfn.IFNA(51-MATCH(Songs!$A49,Data!N$2:N$51,0),NA())</f>
        <v>23</v>
      </c>
      <c r="X49">
        <f>_xlfn.IFNA(51-MATCH(Songs!$A49,Data!O$2:O$51,0),NA())</f>
        <v>23</v>
      </c>
      <c r="Y49">
        <f>_xlfn.IFNA(51-MATCH(Songs!$A49,Data!P$2:P$51,0),NA())</f>
        <v>31</v>
      </c>
      <c r="Z49">
        <f>_xlfn.IFNA(51-MATCH(Songs!$A49,Data!Q$2:Q$51,0),NA())</f>
        <v>26</v>
      </c>
      <c r="AA49">
        <f>_xlfn.IFNA(51-MATCH(Songs!$A49,Data!R$2:R$51,0),NA())</f>
        <v>8</v>
      </c>
      <c r="AB49" t="e">
        <f>_xlfn.IFNA(51-MATCH(Songs!$A49,Data!S$2:S$51,0),NA())</f>
        <v>#N/A</v>
      </c>
      <c r="AC49" t="e">
        <f>_xlfn.IFNA(51-MATCH(Songs!$A49,Data!T$2:T$51,0),NA())</f>
        <v>#N/A</v>
      </c>
      <c r="AD49" t="e">
        <f>_xlfn.IFNA(51-MATCH(Songs!$A49,Data!U$2:U$51,0),NA())</f>
        <v>#N/A</v>
      </c>
    </row>
    <row r="50" spans="1:30" ht="13.2" x14ac:dyDescent="0.25">
      <c r="A50" s="2" t="s">
        <v>67</v>
      </c>
      <c r="B50" s="2" t="s">
        <v>116</v>
      </c>
      <c r="F50" s="2">
        <v>15</v>
      </c>
      <c r="G50" s="2">
        <f ca="1">COUNTIF(INDIRECT(_xlfn.CONCAT("Data!$B$2:", ADDRESS(51,COUNTA(Data!$1:$1)+1,1,1))), Songs!A50) + F50</f>
        <v>16</v>
      </c>
      <c r="H50" s="8"/>
      <c r="I50" s="8"/>
      <c r="J50" s="8" cm="1">
        <f t="array" ref="J50">51 - MAX(IF(NOT(ISNA(K50:BB50)),K50:BB50))</f>
        <v>49</v>
      </c>
      <c r="K50">
        <f>_xlfn.IFNA(51-MATCH(Songs!$A50,Data!B$2:B$51,0),NA())</f>
        <v>2</v>
      </c>
      <c r="L50" t="e">
        <f>_xlfn.IFNA(51-MATCH(Songs!$A50,Data!C$2:C$51,0),NA())</f>
        <v>#N/A</v>
      </c>
      <c r="M50" t="e">
        <f>_xlfn.IFNA(51-MATCH(Songs!$A50,Data!D$2:D$51,0),NA())</f>
        <v>#N/A</v>
      </c>
      <c r="N50" t="e">
        <f>_xlfn.IFNA(51-MATCH(Songs!$A50,Data!E$2:E$51,0),NA())</f>
        <v>#N/A</v>
      </c>
      <c r="O50" t="e">
        <f>_xlfn.IFNA(51-MATCH(Songs!$A50,Data!F$2:F$51,0),NA())</f>
        <v>#N/A</v>
      </c>
      <c r="P50" t="e">
        <f>_xlfn.IFNA(51-MATCH(Songs!$A50,Data!G$2:G$51,0),NA())</f>
        <v>#N/A</v>
      </c>
      <c r="Q50" t="e">
        <f>_xlfn.IFNA(51-MATCH(Songs!$A50,Data!H$2:H$51,0),NA())</f>
        <v>#N/A</v>
      </c>
      <c r="R50" t="e">
        <f>_xlfn.IFNA(51-MATCH(Songs!$A50,Data!I$2:I$51,0),NA())</f>
        <v>#N/A</v>
      </c>
      <c r="S50" t="e">
        <f>_xlfn.IFNA(51-MATCH(Songs!$A50,Data!J$2:J$51,0),NA())</f>
        <v>#N/A</v>
      </c>
      <c r="T50" t="e">
        <f>_xlfn.IFNA(51-MATCH(Songs!$A50,Data!K$2:K$51,0),NA())</f>
        <v>#N/A</v>
      </c>
      <c r="U50" t="e">
        <f>_xlfn.IFNA(51-MATCH(Songs!$A50,Data!L$2:L$51,0),NA())</f>
        <v>#N/A</v>
      </c>
      <c r="V50" t="e">
        <f>_xlfn.IFNA(51-MATCH(Songs!$A50,Data!M$2:M$51,0),NA())</f>
        <v>#N/A</v>
      </c>
      <c r="W50" t="e">
        <f>_xlfn.IFNA(51-MATCH(Songs!$A50,Data!N$2:N$51,0),NA())</f>
        <v>#N/A</v>
      </c>
      <c r="X50" t="e">
        <f>_xlfn.IFNA(51-MATCH(Songs!$A50,Data!O$2:O$51,0),NA())</f>
        <v>#N/A</v>
      </c>
      <c r="Y50" t="e">
        <f>_xlfn.IFNA(51-MATCH(Songs!$A50,Data!P$2:P$51,0),NA())</f>
        <v>#N/A</v>
      </c>
      <c r="Z50" t="e">
        <f>_xlfn.IFNA(51-MATCH(Songs!$A50,Data!Q$2:Q$51,0),NA())</f>
        <v>#N/A</v>
      </c>
      <c r="AA50" t="e">
        <f>_xlfn.IFNA(51-MATCH(Songs!$A50,Data!R$2:R$51,0),NA())</f>
        <v>#N/A</v>
      </c>
      <c r="AB50" t="e">
        <f>_xlfn.IFNA(51-MATCH(Songs!$A50,Data!S$2:S$51,0),NA())</f>
        <v>#N/A</v>
      </c>
      <c r="AC50" t="e">
        <f>_xlfn.IFNA(51-MATCH(Songs!$A50,Data!T$2:T$51,0),NA())</f>
        <v>#N/A</v>
      </c>
      <c r="AD50" t="e">
        <f>_xlfn.IFNA(51-MATCH(Songs!$A50,Data!U$2:U$51,0),NA())</f>
        <v>#N/A</v>
      </c>
    </row>
    <row r="51" spans="1:30" ht="13.2" x14ac:dyDescent="0.25">
      <c r="A51" s="2" t="s">
        <v>66</v>
      </c>
      <c r="B51" s="2" t="s">
        <v>117</v>
      </c>
      <c r="F51" s="2">
        <v>1</v>
      </c>
      <c r="G51" s="2">
        <f ca="1">COUNTIF(INDIRECT(_xlfn.CONCAT("Data!$B$2:", ADDRESS(51,COUNTA(Data!$1:$1)+1,1,1))), Songs!A51) + F51</f>
        <v>18</v>
      </c>
      <c r="H51" s="8"/>
      <c r="I51" s="8"/>
      <c r="J51" s="8" cm="1">
        <f t="array" ref="J51">51 - MAX(IF(NOT(ISNA(K51:BB51)),K51:BB51))</f>
        <v>26</v>
      </c>
      <c r="K51">
        <f>_xlfn.IFNA(51-MATCH(Songs!$A51,Data!B$2:B$51,0),NA())</f>
        <v>1</v>
      </c>
      <c r="L51">
        <f>_xlfn.IFNA(51-MATCH(Songs!$A51,Data!C$2:C$51,0),NA())</f>
        <v>2</v>
      </c>
      <c r="M51">
        <f>_xlfn.IFNA(51-MATCH(Songs!$A51,Data!D$2:D$51,0),NA())</f>
        <v>6</v>
      </c>
      <c r="N51">
        <f>_xlfn.IFNA(51-MATCH(Songs!$A51,Data!E$2:E$51,0),NA())</f>
        <v>1</v>
      </c>
      <c r="O51">
        <f>_xlfn.IFNA(51-MATCH(Songs!$A51,Data!F$2:F$51,0),NA())</f>
        <v>1</v>
      </c>
      <c r="P51">
        <f>_xlfn.IFNA(51-MATCH(Songs!$A51,Data!G$2:G$51,0),NA())</f>
        <v>7</v>
      </c>
      <c r="Q51">
        <f>_xlfn.IFNA(51-MATCH(Songs!$A51,Data!H$2:H$51,0),NA())</f>
        <v>3</v>
      </c>
      <c r="R51">
        <f>_xlfn.IFNA(51-MATCH(Songs!$A51,Data!I$2:I$51,0),NA())</f>
        <v>2</v>
      </c>
      <c r="S51">
        <f>_xlfn.IFNA(51-MATCH(Songs!$A51,Data!J$2:J$51,0),NA())</f>
        <v>4</v>
      </c>
      <c r="T51">
        <f>_xlfn.IFNA(51-MATCH(Songs!$A51,Data!K$2:K$51,0),NA())</f>
        <v>5</v>
      </c>
      <c r="U51">
        <f>_xlfn.IFNA(51-MATCH(Songs!$A51,Data!L$2:L$51,0),NA())</f>
        <v>11</v>
      </c>
      <c r="V51">
        <f>_xlfn.IFNA(51-MATCH(Songs!$A51,Data!M$2:M$51,0),NA())</f>
        <v>2</v>
      </c>
      <c r="W51">
        <f>_xlfn.IFNA(51-MATCH(Songs!$A51,Data!N$2:N$51,0),NA())</f>
        <v>9</v>
      </c>
      <c r="X51">
        <f>_xlfn.IFNA(51-MATCH(Songs!$A51,Data!O$2:O$51,0),NA())</f>
        <v>17</v>
      </c>
      <c r="Y51">
        <f>_xlfn.IFNA(51-MATCH(Songs!$A51,Data!P$2:P$51,0),NA())</f>
        <v>22</v>
      </c>
      <c r="Z51">
        <f>_xlfn.IFNA(51-MATCH(Songs!$A51,Data!Q$2:Q$51,0),NA())</f>
        <v>25</v>
      </c>
      <c r="AA51">
        <f>_xlfn.IFNA(51-MATCH(Songs!$A51,Data!R$2:R$51,0),NA())</f>
        <v>24</v>
      </c>
      <c r="AB51" t="e">
        <f>_xlfn.IFNA(51-MATCH(Songs!$A51,Data!S$2:S$51,0),NA())</f>
        <v>#N/A</v>
      </c>
      <c r="AC51" t="e">
        <f>_xlfn.IFNA(51-MATCH(Songs!$A51,Data!T$2:T$51,0),NA())</f>
        <v>#N/A</v>
      </c>
      <c r="AD51" t="e">
        <f>_xlfn.IFNA(51-MATCH(Songs!$A51,Data!U$2:U$51,0),NA())</f>
        <v>#N/A</v>
      </c>
    </row>
    <row r="52" spans="1:30" ht="13.2" x14ac:dyDescent="0.25">
      <c r="A52" s="2" t="s">
        <v>18</v>
      </c>
      <c r="B52" s="2" t="s">
        <v>104</v>
      </c>
      <c r="F52" s="2">
        <v>0</v>
      </c>
      <c r="G52" s="2">
        <f ca="1">COUNTIF(INDIRECT(_xlfn.CONCAT("Data!$B$2:", ADDRESS(51,COUNTA(Data!$1:$1)+1,1,1))), Songs!A52) + F52</f>
        <v>16</v>
      </c>
      <c r="H52" s="8"/>
      <c r="I52" s="8"/>
      <c r="J52" s="8" cm="1">
        <f t="array" ref="J52">51 - MAX(IF(NOT(ISNA(K52:BB52)),K52:BB52))</f>
        <v>13</v>
      </c>
      <c r="K52" t="e">
        <f>_xlfn.IFNA(51-MATCH(Songs!$A52,Data!B$2:B$51,0),NA())</f>
        <v>#N/A</v>
      </c>
      <c r="L52">
        <f>_xlfn.IFNA(51-MATCH(Songs!$A52,Data!C$2:C$51,0),NA())</f>
        <v>38</v>
      </c>
      <c r="M52">
        <f>_xlfn.IFNA(51-MATCH(Songs!$A52,Data!D$2:D$51,0),NA())</f>
        <v>29</v>
      </c>
      <c r="N52">
        <f>_xlfn.IFNA(51-MATCH(Songs!$A52,Data!E$2:E$51,0),NA())</f>
        <v>22</v>
      </c>
      <c r="O52">
        <f>_xlfn.IFNA(51-MATCH(Songs!$A52,Data!F$2:F$51,0),NA())</f>
        <v>22</v>
      </c>
      <c r="P52">
        <f>_xlfn.IFNA(51-MATCH(Songs!$A52,Data!G$2:G$51,0),NA())</f>
        <v>28</v>
      </c>
      <c r="Q52">
        <f>_xlfn.IFNA(51-MATCH(Songs!$A52,Data!H$2:H$51,0),NA())</f>
        <v>22</v>
      </c>
      <c r="R52">
        <f>_xlfn.IFNA(51-MATCH(Songs!$A52,Data!I$2:I$51,0),NA())</f>
        <v>23</v>
      </c>
      <c r="S52">
        <f>_xlfn.IFNA(51-MATCH(Songs!$A52,Data!J$2:J$51,0),NA())</f>
        <v>23</v>
      </c>
      <c r="T52">
        <f>_xlfn.IFNA(51-MATCH(Songs!$A52,Data!K$2:K$51,0),NA())</f>
        <v>20</v>
      </c>
      <c r="U52">
        <f>_xlfn.IFNA(51-MATCH(Songs!$A52,Data!L$2:L$51,0),NA())</f>
        <v>18</v>
      </c>
      <c r="V52">
        <f>_xlfn.IFNA(51-MATCH(Songs!$A52,Data!M$2:M$51,0),NA())</f>
        <v>7</v>
      </c>
      <c r="W52">
        <f>_xlfn.IFNA(51-MATCH(Songs!$A52,Data!N$2:N$51,0),NA())</f>
        <v>7</v>
      </c>
      <c r="X52">
        <f>_xlfn.IFNA(51-MATCH(Songs!$A52,Data!O$2:O$51,0),NA())</f>
        <v>15</v>
      </c>
      <c r="Y52">
        <f>_xlfn.IFNA(51-MATCH(Songs!$A52,Data!P$2:P$51,0),NA())</f>
        <v>13</v>
      </c>
      <c r="Z52">
        <f>_xlfn.IFNA(51-MATCH(Songs!$A52,Data!Q$2:Q$51,0),NA())</f>
        <v>16</v>
      </c>
      <c r="AA52">
        <f>_xlfn.IFNA(51-MATCH(Songs!$A52,Data!R$2:R$51,0),NA())</f>
        <v>14</v>
      </c>
      <c r="AB52" t="e">
        <f>_xlfn.IFNA(51-MATCH(Songs!$A52,Data!S$2:S$51,0),NA())</f>
        <v>#N/A</v>
      </c>
      <c r="AC52" t="e">
        <f>_xlfn.IFNA(51-MATCH(Songs!$A52,Data!T$2:T$51,0),NA())</f>
        <v>#N/A</v>
      </c>
      <c r="AD52" t="e">
        <f>_xlfn.IFNA(51-MATCH(Songs!$A52,Data!U$2:U$51,0),NA())</f>
        <v>#N/A</v>
      </c>
    </row>
    <row r="53" spans="1:30" ht="13.2" x14ac:dyDescent="0.25">
      <c r="A53" s="2" t="s">
        <v>65</v>
      </c>
      <c r="B53" s="2" t="s">
        <v>118</v>
      </c>
      <c r="C53" s="2" t="s">
        <v>204</v>
      </c>
      <c r="F53" s="2">
        <v>4</v>
      </c>
      <c r="G53" s="2">
        <f ca="1">COUNTIF(INDIRECT(_xlfn.CONCAT("Data!$B$2:", ADDRESS(51,COUNTA(Data!$1:$1)+1,1,1))), Songs!A53) + F53</f>
        <v>14</v>
      </c>
      <c r="H53" s="8"/>
      <c r="I53" s="8"/>
      <c r="J53" s="8" cm="1">
        <f t="array" ref="J53">51 - MAX(IF(NOT(ISNA(K53:BB53)),K53:BB53))</f>
        <v>43</v>
      </c>
      <c r="K53" t="e">
        <f>_xlfn.IFNA(51-MATCH(Songs!$A53,Data!B$2:B$51,0),NA())</f>
        <v>#N/A</v>
      </c>
      <c r="L53">
        <f>_xlfn.IFNA(51-MATCH(Songs!$A53,Data!C$2:C$51,0),NA())</f>
        <v>7</v>
      </c>
      <c r="M53">
        <f>_xlfn.IFNA(51-MATCH(Songs!$A53,Data!D$2:D$51,0),NA())</f>
        <v>1</v>
      </c>
      <c r="N53" t="e">
        <f>_xlfn.IFNA(51-MATCH(Songs!$A53,Data!E$2:E$51,0),NA())</f>
        <v>#N/A</v>
      </c>
      <c r="O53" t="e">
        <f>_xlfn.IFNA(51-MATCH(Songs!$A53,Data!F$2:F$51,0),NA())</f>
        <v>#N/A</v>
      </c>
      <c r="P53">
        <f>_xlfn.IFNA(51-MATCH(Songs!$A53,Data!G$2:G$51,0),NA())</f>
        <v>5</v>
      </c>
      <c r="Q53">
        <f>_xlfn.IFNA(51-MATCH(Songs!$A53,Data!H$2:H$51,0),NA())</f>
        <v>5</v>
      </c>
      <c r="R53">
        <f>_xlfn.IFNA(51-MATCH(Songs!$A53,Data!I$2:I$51,0),NA())</f>
        <v>4</v>
      </c>
      <c r="S53">
        <f>_xlfn.IFNA(51-MATCH(Songs!$A53,Data!J$2:J$51,0),NA())</f>
        <v>1</v>
      </c>
      <c r="T53" t="e">
        <f>_xlfn.IFNA(51-MATCH(Songs!$A53,Data!K$2:K$51,0),NA())</f>
        <v>#N/A</v>
      </c>
      <c r="U53">
        <f>_xlfn.IFNA(51-MATCH(Songs!$A53,Data!L$2:L$51,0),NA())</f>
        <v>7</v>
      </c>
      <c r="V53" t="e">
        <f>_xlfn.IFNA(51-MATCH(Songs!$A53,Data!M$2:M$51,0),NA())</f>
        <v>#N/A</v>
      </c>
      <c r="W53" t="e">
        <f>_xlfn.IFNA(51-MATCH(Songs!$A53,Data!N$2:N$51,0),NA())</f>
        <v>#N/A</v>
      </c>
      <c r="X53" t="e">
        <f>_xlfn.IFNA(51-MATCH(Songs!$A53,Data!O$2:O$51,0),NA())</f>
        <v>#N/A</v>
      </c>
      <c r="Y53">
        <f>_xlfn.IFNA(51-MATCH(Songs!$A53,Data!P$2:P$51,0),NA())</f>
        <v>6</v>
      </c>
      <c r="Z53">
        <f>_xlfn.IFNA(51-MATCH(Songs!$A53,Data!Q$2:Q$51,0),NA())</f>
        <v>8</v>
      </c>
      <c r="AA53">
        <f>_xlfn.IFNA(51-MATCH(Songs!$A53,Data!R$2:R$51,0),NA())</f>
        <v>7</v>
      </c>
      <c r="AB53" t="e">
        <f>_xlfn.IFNA(51-MATCH(Songs!$A53,Data!S$2:S$51,0),NA())</f>
        <v>#N/A</v>
      </c>
      <c r="AC53" t="e">
        <f>_xlfn.IFNA(51-MATCH(Songs!$A53,Data!T$2:T$51,0),NA())</f>
        <v>#N/A</v>
      </c>
      <c r="AD53" t="e">
        <f>_xlfn.IFNA(51-MATCH(Songs!$A53,Data!U$2:U$51,0),NA())</f>
        <v>#N/A</v>
      </c>
    </row>
    <row r="54" spans="1:30" ht="13.2" x14ac:dyDescent="0.25">
      <c r="A54" s="2" t="s">
        <v>68</v>
      </c>
      <c r="B54" s="2" t="s">
        <v>119</v>
      </c>
      <c r="F54" s="2">
        <v>12</v>
      </c>
      <c r="G54" s="2">
        <f ca="1">COUNTIF(INDIRECT(_xlfn.CONCAT("Data!$B$2:", ADDRESS(51,COUNTA(Data!$1:$1)+1,1,1))), Songs!A54) + F54</f>
        <v>15</v>
      </c>
      <c r="H54" s="8"/>
      <c r="I54" s="8"/>
      <c r="J54" s="8" cm="1">
        <f t="array" ref="J54">51 - MAX(IF(NOT(ISNA(K54:BB54)),K54:BB54))</f>
        <v>49</v>
      </c>
      <c r="K54" t="e">
        <f>_xlfn.IFNA(51-MATCH(Songs!$A54,Data!B$2:B$51,0),NA())</f>
        <v>#N/A</v>
      </c>
      <c r="L54">
        <f>_xlfn.IFNA(51-MATCH(Songs!$A54,Data!C$2:C$51,0),NA())</f>
        <v>1</v>
      </c>
      <c r="M54" t="e">
        <f>_xlfn.IFNA(51-MATCH(Songs!$A54,Data!D$2:D$51,0),NA())</f>
        <v>#N/A</v>
      </c>
      <c r="N54" t="e">
        <f>_xlfn.IFNA(51-MATCH(Songs!$A54,Data!E$2:E$51,0),NA())</f>
        <v>#N/A</v>
      </c>
      <c r="O54" t="e">
        <f>_xlfn.IFNA(51-MATCH(Songs!$A54,Data!F$2:F$51,0),NA())</f>
        <v>#N/A</v>
      </c>
      <c r="P54">
        <f>_xlfn.IFNA(51-MATCH(Songs!$A54,Data!G$2:G$51,0),NA())</f>
        <v>2</v>
      </c>
      <c r="Q54" t="e">
        <f>_xlfn.IFNA(51-MATCH(Songs!$A54,Data!H$2:H$51,0),NA())</f>
        <v>#N/A</v>
      </c>
      <c r="R54">
        <f>_xlfn.IFNA(51-MATCH(Songs!$A54,Data!I$2:I$51,0),NA())</f>
        <v>1</v>
      </c>
      <c r="S54" t="e">
        <f>_xlfn.IFNA(51-MATCH(Songs!$A54,Data!J$2:J$51,0),NA())</f>
        <v>#N/A</v>
      </c>
      <c r="T54" t="e">
        <f>_xlfn.IFNA(51-MATCH(Songs!$A54,Data!K$2:K$51,0),NA())</f>
        <v>#N/A</v>
      </c>
      <c r="U54" t="e">
        <f>_xlfn.IFNA(51-MATCH(Songs!$A54,Data!L$2:L$51,0),NA())</f>
        <v>#N/A</v>
      </c>
      <c r="V54" t="e">
        <f>_xlfn.IFNA(51-MATCH(Songs!$A54,Data!M$2:M$51,0),NA())</f>
        <v>#N/A</v>
      </c>
      <c r="W54" t="e">
        <f>_xlfn.IFNA(51-MATCH(Songs!$A54,Data!N$2:N$51,0),NA())</f>
        <v>#N/A</v>
      </c>
      <c r="X54" t="e">
        <f>_xlfn.IFNA(51-MATCH(Songs!$A54,Data!O$2:O$51,0),NA())</f>
        <v>#N/A</v>
      </c>
      <c r="Y54" t="e">
        <f>_xlfn.IFNA(51-MATCH(Songs!$A54,Data!P$2:P$51,0),NA())</f>
        <v>#N/A</v>
      </c>
      <c r="Z54" t="e">
        <f>_xlfn.IFNA(51-MATCH(Songs!$A54,Data!Q$2:Q$51,0),NA())</f>
        <v>#N/A</v>
      </c>
      <c r="AA54" t="e">
        <f>_xlfn.IFNA(51-MATCH(Songs!$A54,Data!R$2:R$51,0),NA())</f>
        <v>#N/A</v>
      </c>
      <c r="AB54" t="e">
        <f>_xlfn.IFNA(51-MATCH(Songs!$A54,Data!S$2:S$51,0),NA())</f>
        <v>#N/A</v>
      </c>
      <c r="AC54" t="e">
        <f>_xlfn.IFNA(51-MATCH(Songs!$A54,Data!T$2:T$51,0),NA())</f>
        <v>#N/A</v>
      </c>
      <c r="AD54" t="e">
        <f>_xlfn.IFNA(51-MATCH(Songs!$A54,Data!U$2:U$51,0),NA())</f>
        <v>#N/A</v>
      </c>
    </row>
    <row r="55" spans="1:30" ht="13.2" x14ac:dyDescent="0.25">
      <c r="A55" s="2" t="s">
        <v>6</v>
      </c>
      <c r="B55" s="2" t="s">
        <v>76</v>
      </c>
      <c r="F55" s="2">
        <v>0</v>
      </c>
      <c r="G55" s="2">
        <f ca="1">COUNTIF(INDIRECT(_xlfn.CONCAT("Data!$B$2:", ADDRESS(51,COUNTA(Data!$1:$1)+1,1,1))), Songs!A55) + F55</f>
        <v>15</v>
      </c>
      <c r="H55" s="8"/>
      <c r="I55" s="8"/>
      <c r="J55" s="8" cm="1">
        <f t="array" ref="J55">51 - MAX(IF(NOT(ISNA(K55:BB55)),K55:BB55))</f>
        <v>5</v>
      </c>
      <c r="K55" t="e">
        <f>_xlfn.IFNA(51-MATCH(Songs!$A55,Data!B$2:B$51,0),NA())</f>
        <v>#N/A</v>
      </c>
      <c r="L55" t="e">
        <f>_xlfn.IFNA(51-MATCH(Songs!$A55,Data!C$2:C$51,0),NA())</f>
        <v>#N/A</v>
      </c>
      <c r="M55">
        <f>_xlfn.IFNA(51-MATCH(Songs!$A55,Data!D$2:D$51,0),NA())</f>
        <v>46</v>
      </c>
      <c r="N55">
        <f>_xlfn.IFNA(51-MATCH(Songs!$A55,Data!E$2:E$51,0),NA())</f>
        <v>38</v>
      </c>
      <c r="O55">
        <f>_xlfn.IFNA(51-MATCH(Songs!$A55,Data!F$2:F$51,0),NA())</f>
        <v>35</v>
      </c>
      <c r="P55">
        <f>_xlfn.IFNA(51-MATCH(Songs!$A55,Data!G$2:G$51,0),NA())</f>
        <v>35</v>
      </c>
      <c r="Q55">
        <f>_xlfn.IFNA(51-MATCH(Songs!$A55,Data!H$2:H$51,0),NA())</f>
        <v>32</v>
      </c>
      <c r="R55">
        <f>_xlfn.IFNA(51-MATCH(Songs!$A55,Data!I$2:I$51,0),NA())</f>
        <v>34</v>
      </c>
      <c r="S55">
        <f>_xlfn.IFNA(51-MATCH(Songs!$A55,Data!J$2:J$51,0),NA())</f>
        <v>33</v>
      </c>
      <c r="T55">
        <f>_xlfn.IFNA(51-MATCH(Songs!$A55,Data!K$2:K$51,0),NA())</f>
        <v>33</v>
      </c>
      <c r="U55">
        <f>_xlfn.IFNA(51-MATCH(Songs!$A55,Data!L$2:L$51,0),NA())</f>
        <v>36</v>
      </c>
      <c r="V55">
        <f>_xlfn.IFNA(51-MATCH(Songs!$A55,Data!M$2:M$51,0),NA())</f>
        <v>26</v>
      </c>
      <c r="W55">
        <f>_xlfn.IFNA(51-MATCH(Songs!$A55,Data!N$2:N$51,0),NA())</f>
        <v>32</v>
      </c>
      <c r="X55">
        <f>_xlfn.IFNA(51-MATCH(Songs!$A55,Data!O$2:O$51,0),NA())</f>
        <v>31</v>
      </c>
      <c r="Y55">
        <f>_xlfn.IFNA(51-MATCH(Songs!$A55,Data!P$2:P$51,0),NA())</f>
        <v>33</v>
      </c>
      <c r="Z55">
        <f>_xlfn.IFNA(51-MATCH(Songs!$A55,Data!Q$2:Q$51,0),NA())</f>
        <v>32</v>
      </c>
      <c r="AA55">
        <f>_xlfn.IFNA(51-MATCH(Songs!$A55,Data!R$2:R$51,0),NA())</f>
        <v>31</v>
      </c>
      <c r="AB55" t="e">
        <f>_xlfn.IFNA(51-MATCH(Songs!$A55,Data!S$2:S$51,0),NA())</f>
        <v>#N/A</v>
      </c>
      <c r="AC55" t="e">
        <f>_xlfn.IFNA(51-MATCH(Songs!$A55,Data!T$2:T$51,0),NA())</f>
        <v>#N/A</v>
      </c>
      <c r="AD55" t="e">
        <f>_xlfn.IFNA(51-MATCH(Songs!$A55,Data!U$2:U$51,0),NA())</f>
        <v>#N/A</v>
      </c>
    </row>
    <row r="56" spans="1:30" ht="13.2" x14ac:dyDescent="0.25">
      <c r="A56" s="2" t="s">
        <v>54</v>
      </c>
      <c r="B56" s="2" t="s">
        <v>116</v>
      </c>
      <c r="F56" s="2">
        <v>0</v>
      </c>
      <c r="G56" s="2">
        <f ca="1">COUNTIF(INDIRECT(_xlfn.CONCAT("Data!$B$2:", ADDRESS(51,COUNTA(Data!$1:$1)+1,1,1))), Songs!A56) + F56</f>
        <v>1</v>
      </c>
      <c r="H56" s="8"/>
      <c r="I56" s="8"/>
      <c r="J56" s="8" cm="1">
        <f t="array" ref="J56">51 - MAX(IF(NOT(ISNA(K56:BB56)),K56:BB56))</f>
        <v>37</v>
      </c>
      <c r="K56" t="e">
        <f>_xlfn.IFNA(51-MATCH(Songs!$A56,Data!B$2:B$51,0),NA())</f>
        <v>#N/A</v>
      </c>
      <c r="L56" t="e">
        <f>_xlfn.IFNA(51-MATCH(Songs!$A56,Data!C$2:C$51,0),NA())</f>
        <v>#N/A</v>
      </c>
      <c r="M56">
        <f>_xlfn.IFNA(51-MATCH(Songs!$A56,Data!D$2:D$51,0),NA())</f>
        <v>14</v>
      </c>
      <c r="N56" t="e">
        <f>_xlfn.IFNA(51-MATCH(Songs!$A56,Data!E$2:E$51,0),NA())</f>
        <v>#N/A</v>
      </c>
      <c r="O56" t="e">
        <f>_xlfn.IFNA(51-MATCH(Songs!$A56,Data!F$2:F$51,0),NA())</f>
        <v>#N/A</v>
      </c>
      <c r="P56" t="e">
        <f>_xlfn.IFNA(51-MATCH(Songs!$A56,Data!G$2:G$51,0),NA())</f>
        <v>#N/A</v>
      </c>
      <c r="Q56" t="e">
        <f>_xlfn.IFNA(51-MATCH(Songs!$A56,Data!H$2:H$51,0),NA())</f>
        <v>#N/A</v>
      </c>
      <c r="R56" t="e">
        <f>_xlfn.IFNA(51-MATCH(Songs!$A56,Data!I$2:I$51,0),NA())</f>
        <v>#N/A</v>
      </c>
      <c r="S56" t="e">
        <f>_xlfn.IFNA(51-MATCH(Songs!$A56,Data!J$2:J$51,0),NA())</f>
        <v>#N/A</v>
      </c>
      <c r="T56" t="e">
        <f>_xlfn.IFNA(51-MATCH(Songs!$A56,Data!K$2:K$51,0),NA())</f>
        <v>#N/A</v>
      </c>
      <c r="U56" t="e">
        <f>_xlfn.IFNA(51-MATCH(Songs!$A56,Data!L$2:L$51,0),NA())</f>
        <v>#N/A</v>
      </c>
      <c r="V56" t="e">
        <f>_xlfn.IFNA(51-MATCH(Songs!$A56,Data!M$2:M$51,0),NA())</f>
        <v>#N/A</v>
      </c>
      <c r="W56" t="e">
        <f>_xlfn.IFNA(51-MATCH(Songs!$A56,Data!N$2:N$51,0),NA())</f>
        <v>#N/A</v>
      </c>
      <c r="X56" t="e">
        <f>_xlfn.IFNA(51-MATCH(Songs!$A56,Data!O$2:O$51,0),NA())</f>
        <v>#N/A</v>
      </c>
      <c r="Y56" t="e">
        <f>_xlfn.IFNA(51-MATCH(Songs!$A56,Data!P$2:P$51,0),NA())</f>
        <v>#N/A</v>
      </c>
      <c r="Z56" t="e">
        <f>_xlfn.IFNA(51-MATCH(Songs!$A56,Data!Q$2:Q$51,0),NA())</f>
        <v>#N/A</v>
      </c>
      <c r="AA56" t="e">
        <f>_xlfn.IFNA(51-MATCH(Songs!$A56,Data!R$2:R$51,0),NA())</f>
        <v>#N/A</v>
      </c>
      <c r="AB56" t="e">
        <f>_xlfn.IFNA(51-MATCH(Songs!$A56,Data!S$2:S$51,0),NA())</f>
        <v>#N/A</v>
      </c>
      <c r="AC56" t="e">
        <f>_xlfn.IFNA(51-MATCH(Songs!$A56,Data!T$2:T$51,0),NA())</f>
        <v>#N/A</v>
      </c>
      <c r="AD56" t="e">
        <f>_xlfn.IFNA(51-MATCH(Songs!$A56,Data!U$2:U$51,0),NA())</f>
        <v>#N/A</v>
      </c>
    </row>
    <row r="57" spans="1:30" ht="13.2" x14ac:dyDescent="0.25">
      <c r="A57" s="2" t="s">
        <v>56</v>
      </c>
      <c r="B57" s="2" t="s">
        <v>75</v>
      </c>
      <c r="F57" s="2">
        <v>0</v>
      </c>
      <c r="G57" s="2">
        <f ca="1">COUNTIF(INDIRECT(_xlfn.CONCAT("Data!$B$2:", ADDRESS(51,COUNTA(Data!$1:$1)+1,1,1))), Songs!A57) + F57</f>
        <v>1</v>
      </c>
      <c r="H57" s="8"/>
      <c r="I57" s="8"/>
      <c r="J57" s="8" cm="1">
        <f t="array" ref="J57">51 - MAX(IF(NOT(ISNA(K57:BB57)),K57:BB57))</f>
        <v>38</v>
      </c>
      <c r="K57" t="e">
        <f>_xlfn.IFNA(51-MATCH(Songs!$A57,Data!B$2:B$51,0),NA())</f>
        <v>#N/A</v>
      </c>
      <c r="L57" t="e">
        <f>_xlfn.IFNA(51-MATCH(Songs!$A57,Data!C$2:C$51,0),NA())</f>
        <v>#N/A</v>
      </c>
      <c r="M57">
        <f>_xlfn.IFNA(51-MATCH(Songs!$A57,Data!D$2:D$51,0),NA())</f>
        <v>13</v>
      </c>
      <c r="N57" t="e">
        <f>_xlfn.IFNA(51-MATCH(Songs!$A57,Data!E$2:E$51,0),NA())</f>
        <v>#N/A</v>
      </c>
      <c r="O57" t="e">
        <f>_xlfn.IFNA(51-MATCH(Songs!$A57,Data!F$2:F$51,0),NA())</f>
        <v>#N/A</v>
      </c>
      <c r="P57" t="e">
        <f>_xlfn.IFNA(51-MATCH(Songs!$A57,Data!G$2:G$51,0),NA())</f>
        <v>#N/A</v>
      </c>
      <c r="Q57" t="e">
        <f>_xlfn.IFNA(51-MATCH(Songs!$A57,Data!H$2:H$51,0),NA())</f>
        <v>#N/A</v>
      </c>
      <c r="R57" t="e">
        <f>_xlfn.IFNA(51-MATCH(Songs!$A57,Data!I$2:I$51,0),NA())</f>
        <v>#N/A</v>
      </c>
      <c r="S57" t="e">
        <f>_xlfn.IFNA(51-MATCH(Songs!$A57,Data!J$2:J$51,0),NA())</f>
        <v>#N/A</v>
      </c>
      <c r="T57" t="e">
        <f>_xlfn.IFNA(51-MATCH(Songs!$A57,Data!K$2:K$51,0),NA())</f>
        <v>#N/A</v>
      </c>
      <c r="U57" t="e">
        <f>_xlfn.IFNA(51-MATCH(Songs!$A57,Data!L$2:L$51,0),NA())</f>
        <v>#N/A</v>
      </c>
      <c r="V57" t="e">
        <f>_xlfn.IFNA(51-MATCH(Songs!$A57,Data!M$2:M$51,0),NA())</f>
        <v>#N/A</v>
      </c>
      <c r="W57" t="e">
        <f>_xlfn.IFNA(51-MATCH(Songs!$A57,Data!N$2:N$51,0),NA())</f>
        <v>#N/A</v>
      </c>
      <c r="X57" t="e">
        <f>_xlfn.IFNA(51-MATCH(Songs!$A57,Data!O$2:O$51,0),NA())</f>
        <v>#N/A</v>
      </c>
      <c r="Y57" t="e">
        <f>_xlfn.IFNA(51-MATCH(Songs!$A57,Data!P$2:P$51,0),NA())</f>
        <v>#N/A</v>
      </c>
      <c r="Z57" t="e">
        <f>_xlfn.IFNA(51-MATCH(Songs!$A57,Data!Q$2:Q$51,0),NA())</f>
        <v>#N/A</v>
      </c>
      <c r="AA57" t="e">
        <f>_xlfn.IFNA(51-MATCH(Songs!$A57,Data!R$2:R$51,0),NA())</f>
        <v>#N/A</v>
      </c>
      <c r="AB57" t="e">
        <f>_xlfn.IFNA(51-MATCH(Songs!$A57,Data!S$2:S$51,0),NA())</f>
        <v>#N/A</v>
      </c>
      <c r="AC57" t="e">
        <f>_xlfn.IFNA(51-MATCH(Songs!$A57,Data!T$2:T$51,0),NA())</f>
        <v>#N/A</v>
      </c>
      <c r="AD57" t="e">
        <f>_xlfn.IFNA(51-MATCH(Songs!$A57,Data!U$2:U$51,0),NA())</f>
        <v>#N/A</v>
      </c>
    </row>
    <row r="58" spans="1:30" ht="13.2" x14ac:dyDescent="0.25">
      <c r="A58" s="2" t="s">
        <v>64</v>
      </c>
      <c r="B58" s="2" t="s">
        <v>120</v>
      </c>
      <c r="C58" s="2" t="s">
        <v>205</v>
      </c>
      <c r="F58" s="2">
        <v>0</v>
      </c>
      <c r="G58" s="2">
        <f ca="1">COUNTIF(INDIRECT(_xlfn.CONCAT("Data!$B$2:", ADDRESS(51,COUNTA(Data!$1:$1)+1,1,1))), Songs!A58) + F58</f>
        <v>1</v>
      </c>
      <c r="H58" s="8"/>
      <c r="I58" s="8"/>
      <c r="J58" s="8" cm="1">
        <f t="array" ref="J58">51 - MAX(IF(NOT(ISNA(K58:BB58)),K58:BB58))</f>
        <v>43</v>
      </c>
      <c r="K58" t="e">
        <f>_xlfn.IFNA(51-MATCH(Songs!$A58,Data!B$2:B$51,0),NA())</f>
        <v>#N/A</v>
      </c>
      <c r="L58" t="e">
        <f>_xlfn.IFNA(51-MATCH(Songs!$A58,Data!C$2:C$51,0),NA())</f>
        <v>#N/A</v>
      </c>
      <c r="M58">
        <f>_xlfn.IFNA(51-MATCH(Songs!$A58,Data!D$2:D$51,0),NA())</f>
        <v>8</v>
      </c>
      <c r="N58" t="e">
        <f>_xlfn.IFNA(51-MATCH(Songs!$A58,Data!E$2:E$51,0),NA())</f>
        <v>#N/A</v>
      </c>
      <c r="O58" t="e">
        <f>_xlfn.IFNA(51-MATCH(Songs!$A58,Data!F$2:F$51,0),NA())</f>
        <v>#N/A</v>
      </c>
      <c r="P58" t="e">
        <f>_xlfn.IFNA(51-MATCH(Songs!$A58,Data!G$2:G$51,0),NA())</f>
        <v>#N/A</v>
      </c>
      <c r="Q58" t="e">
        <f>_xlfn.IFNA(51-MATCH(Songs!$A58,Data!H$2:H$51,0),NA())</f>
        <v>#N/A</v>
      </c>
      <c r="R58" t="e">
        <f>_xlfn.IFNA(51-MATCH(Songs!$A58,Data!I$2:I$51,0),NA())</f>
        <v>#N/A</v>
      </c>
      <c r="S58" t="e">
        <f>_xlfn.IFNA(51-MATCH(Songs!$A58,Data!J$2:J$51,0),NA())</f>
        <v>#N/A</v>
      </c>
      <c r="T58" t="e">
        <f>_xlfn.IFNA(51-MATCH(Songs!$A58,Data!K$2:K$51,0),NA())</f>
        <v>#N/A</v>
      </c>
      <c r="U58" t="e">
        <f>_xlfn.IFNA(51-MATCH(Songs!$A58,Data!L$2:L$51,0),NA())</f>
        <v>#N/A</v>
      </c>
      <c r="V58" t="e">
        <f>_xlfn.IFNA(51-MATCH(Songs!$A58,Data!M$2:M$51,0),NA())</f>
        <v>#N/A</v>
      </c>
      <c r="W58" t="e">
        <f>_xlfn.IFNA(51-MATCH(Songs!$A58,Data!N$2:N$51,0),NA())</f>
        <v>#N/A</v>
      </c>
      <c r="X58" t="e">
        <f>_xlfn.IFNA(51-MATCH(Songs!$A58,Data!O$2:O$51,0),NA())</f>
        <v>#N/A</v>
      </c>
      <c r="Y58" t="e">
        <f>_xlfn.IFNA(51-MATCH(Songs!$A58,Data!P$2:P$51,0),NA())</f>
        <v>#N/A</v>
      </c>
      <c r="Z58" t="e">
        <f>_xlfn.IFNA(51-MATCH(Songs!$A58,Data!Q$2:Q$51,0),NA())</f>
        <v>#N/A</v>
      </c>
      <c r="AA58" t="e">
        <f>_xlfn.IFNA(51-MATCH(Songs!$A58,Data!R$2:R$51,0),NA())</f>
        <v>#N/A</v>
      </c>
      <c r="AB58" t="e">
        <f>_xlfn.IFNA(51-MATCH(Songs!$A58,Data!S$2:S$51,0),NA())</f>
        <v>#N/A</v>
      </c>
      <c r="AC58" t="e">
        <f>_xlfn.IFNA(51-MATCH(Songs!$A58,Data!T$2:T$51,0),NA())</f>
        <v>#N/A</v>
      </c>
      <c r="AD58" t="e">
        <f>_xlfn.IFNA(51-MATCH(Songs!$A58,Data!U$2:U$51,0),NA())</f>
        <v>#N/A</v>
      </c>
    </row>
    <row r="59" spans="1:30" ht="13.2" x14ac:dyDescent="0.25">
      <c r="A59" s="6" t="s">
        <v>17</v>
      </c>
      <c r="B59" s="6" t="s">
        <v>164</v>
      </c>
      <c r="C59" s="2"/>
      <c r="F59" s="2">
        <v>20</v>
      </c>
      <c r="G59" s="2">
        <f ca="1">COUNTIF(INDIRECT(_xlfn.CONCAT("Data!$B$2:", ADDRESS(51,COUNTA(Data!$1:$1)+1,1,1))), Songs!A59) + F59</f>
        <v>23</v>
      </c>
      <c r="H59" s="8"/>
      <c r="I59" s="8"/>
      <c r="J59" s="8" cm="1">
        <f t="array" ref="J59">51 - MAX(IF(NOT(ISNA(K59:BB59)),K59:BB59))</f>
        <v>12</v>
      </c>
      <c r="K59" t="e">
        <f>_xlfn.IFNA(51-MATCH(Songs!$A59,Data!B$2:B$51,0),NA())</f>
        <v>#N/A</v>
      </c>
      <c r="L59" t="e">
        <f>_xlfn.IFNA(51-MATCH(Songs!$A59,Data!C$2:C$51,0),NA())</f>
        <v>#N/A</v>
      </c>
      <c r="M59" t="e">
        <f>_xlfn.IFNA(51-MATCH(Songs!$A59,Data!D$2:D$51,0),NA())</f>
        <v>#N/A</v>
      </c>
      <c r="N59">
        <f>_xlfn.IFNA(51-MATCH(Songs!$A59,Data!E$2:E$51,0),NA())</f>
        <v>39</v>
      </c>
      <c r="O59">
        <f>_xlfn.IFNA(51-MATCH(Songs!$A59,Data!F$2:F$51,0),NA())</f>
        <v>36</v>
      </c>
      <c r="P59">
        <f>_xlfn.IFNA(51-MATCH(Songs!$A59,Data!G$2:G$51,0),NA())</f>
        <v>29</v>
      </c>
      <c r="Q59" t="e">
        <f>_xlfn.IFNA(51-MATCH(Songs!$A59,Data!H$2:H$51,0),NA())</f>
        <v>#N/A</v>
      </c>
      <c r="R59" t="e">
        <f>_xlfn.IFNA(51-MATCH(Songs!$A59,Data!I$2:I$51,0),NA())</f>
        <v>#N/A</v>
      </c>
      <c r="S59" t="e">
        <f>_xlfn.IFNA(51-MATCH(Songs!$A59,Data!J$2:J$51,0),NA())</f>
        <v>#N/A</v>
      </c>
      <c r="T59" t="e">
        <f>_xlfn.IFNA(51-MATCH(Songs!$A59,Data!K$2:K$51,0),NA())</f>
        <v>#N/A</v>
      </c>
      <c r="U59" t="e">
        <f>_xlfn.IFNA(51-MATCH(Songs!$A59,Data!L$2:L$51,0),NA())</f>
        <v>#N/A</v>
      </c>
      <c r="V59" t="e">
        <f>_xlfn.IFNA(51-MATCH(Songs!$A59,Data!M$2:M$51,0),NA())</f>
        <v>#N/A</v>
      </c>
      <c r="W59" t="e">
        <f>_xlfn.IFNA(51-MATCH(Songs!$A59,Data!N$2:N$51,0),NA())</f>
        <v>#N/A</v>
      </c>
      <c r="X59" t="e">
        <f>_xlfn.IFNA(51-MATCH(Songs!$A59,Data!O$2:O$51,0),NA())</f>
        <v>#N/A</v>
      </c>
      <c r="Y59" t="e">
        <f>_xlfn.IFNA(51-MATCH(Songs!$A59,Data!P$2:P$51,0),NA())</f>
        <v>#N/A</v>
      </c>
      <c r="Z59" t="e">
        <f>_xlfn.IFNA(51-MATCH(Songs!$A59,Data!Q$2:Q$51,0),NA())</f>
        <v>#N/A</v>
      </c>
      <c r="AA59" t="e">
        <f>_xlfn.IFNA(51-MATCH(Songs!$A59,Data!R$2:R$51,0),NA())</f>
        <v>#N/A</v>
      </c>
      <c r="AB59" t="e">
        <f>_xlfn.IFNA(51-MATCH(Songs!$A59,Data!S$2:S$51,0),NA())</f>
        <v>#N/A</v>
      </c>
      <c r="AC59" t="e">
        <f>_xlfn.IFNA(51-MATCH(Songs!$A59,Data!T$2:T$51,0),NA())</f>
        <v>#N/A</v>
      </c>
      <c r="AD59" t="e">
        <f>_xlfn.IFNA(51-MATCH(Songs!$A59,Data!U$2:U$51,0),NA())</f>
        <v>#N/A</v>
      </c>
    </row>
    <row r="60" spans="1:30" ht="13.2" x14ac:dyDescent="0.25">
      <c r="A60" s="6" t="s">
        <v>22</v>
      </c>
      <c r="B60" s="6" t="s">
        <v>164</v>
      </c>
      <c r="C60" s="2"/>
      <c r="F60" s="2">
        <v>20</v>
      </c>
      <c r="G60" s="2">
        <f ca="1">COUNTIF(INDIRECT(_xlfn.CONCAT("Data!$B$2:", ADDRESS(51,COUNTA(Data!$1:$1)+1,1,1))), Songs!A60) + F60</f>
        <v>22</v>
      </c>
      <c r="H60" s="8"/>
      <c r="I60" s="8"/>
      <c r="J60" s="8" cm="1">
        <f t="array" ref="J60">51 - MAX(IF(NOT(ISNA(K60:BB60)),K60:BB60))</f>
        <v>15</v>
      </c>
      <c r="K60" t="e">
        <f>_xlfn.IFNA(51-MATCH(Songs!$A60,Data!B$2:B$51,0),NA())</f>
        <v>#N/A</v>
      </c>
      <c r="L60" t="e">
        <f>_xlfn.IFNA(51-MATCH(Songs!$A60,Data!C$2:C$51,0),NA())</f>
        <v>#N/A</v>
      </c>
      <c r="M60" t="e">
        <f>_xlfn.IFNA(51-MATCH(Songs!$A60,Data!D$2:D$51,0),NA())</f>
        <v>#N/A</v>
      </c>
      <c r="N60">
        <f>_xlfn.IFNA(51-MATCH(Songs!$A60,Data!E$2:E$51,0),NA())</f>
        <v>36</v>
      </c>
      <c r="O60">
        <f>_xlfn.IFNA(51-MATCH(Songs!$A60,Data!F$2:F$51,0),NA())</f>
        <v>27</v>
      </c>
      <c r="P60" t="e">
        <f>_xlfn.IFNA(51-MATCH(Songs!$A60,Data!G$2:G$51,0),NA())</f>
        <v>#N/A</v>
      </c>
      <c r="Q60" t="e">
        <f>_xlfn.IFNA(51-MATCH(Songs!$A60,Data!H$2:H$51,0),NA())</f>
        <v>#N/A</v>
      </c>
      <c r="R60" t="e">
        <f>_xlfn.IFNA(51-MATCH(Songs!$A60,Data!I$2:I$51,0),NA())</f>
        <v>#N/A</v>
      </c>
      <c r="S60" t="e">
        <f>_xlfn.IFNA(51-MATCH(Songs!$A60,Data!J$2:J$51,0),NA())</f>
        <v>#N/A</v>
      </c>
      <c r="T60" t="e">
        <f>_xlfn.IFNA(51-MATCH(Songs!$A60,Data!K$2:K$51,0),NA())</f>
        <v>#N/A</v>
      </c>
      <c r="U60" t="e">
        <f>_xlfn.IFNA(51-MATCH(Songs!$A60,Data!L$2:L$51,0),NA())</f>
        <v>#N/A</v>
      </c>
      <c r="V60" t="e">
        <f>_xlfn.IFNA(51-MATCH(Songs!$A60,Data!M$2:M$51,0),NA())</f>
        <v>#N/A</v>
      </c>
      <c r="W60" t="e">
        <f>_xlfn.IFNA(51-MATCH(Songs!$A60,Data!N$2:N$51,0),NA())</f>
        <v>#N/A</v>
      </c>
      <c r="X60" t="e">
        <f>_xlfn.IFNA(51-MATCH(Songs!$A60,Data!O$2:O$51,0),NA())</f>
        <v>#N/A</v>
      </c>
      <c r="Y60" t="e">
        <f>_xlfn.IFNA(51-MATCH(Songs!$A60,Data!P$2:P$51,0),NA())</f>
        <v>#N/A</v>
      </c>
      <c r="Z60" t="e">
        <f>_xlfn.IFNA(51-MATCH(Songs!$A60,Data!Q$2:Q$51,0),NA())</f>
        <v>#N/A</v>
      </c>
      <c r="AA60" t="e">
        <f>_xlfn.IFNA(51-MATCH(Songs!$A60,Data!R$2:R$51,0),NA())</f>
        <v>#N/A</v>
      </c>
      <c r="AB60" t="e">
        <f>_xlfn.IFNA(51-MATCH(Songs!$A60,Data!S$2:S$51,0),NA())</f>
        <v>#N/A</v>
      </c>
      <c r="AC60" t="e">
        <f>_xlfn.IFNA(51-MATCH(Songs!$A60,Data!T$2:T$51,0),NA())</f>
        <v>#N/A</v>
      </c>
      <c r="AD60" t="e">
        <f>_xlfn.IFNA(51-MATCH(Songs!$A60,Data!U$2:U$51,0),NA())</f>
        <v>#N/A</v>
      </c>
    </row>
    <row r="61" spans="1:30" ht="13.2" x14ac:dyDescent="0.25">
      <c r="A61" s="6" t="s">
        <v>28</v>
      </c>
      <c r="B61" s="6" t="s">
        <v>164</v>
      </c>
      <c r="C61" s="2"/>
      <c r="F61" s="2">
        <v>22</v>
      </c>
      <c r="G61" s="2">
        <f ca="1">COUNTIF(INDIRECT(_xlfn.CONCAT("Data!$B$2:", ADDRESS(51,COUNTA(Data!$1:$1)+1,1,1))), Songs!A61) + F61</f>
        <v>23</v>
      </c>
      <c r="H61" s="8"/>
      <c r="I61" s="8"/>
      <c r="J61" s="8" cm="1">
        <f t="array" ref="J61">51 - MAX(IF(NOT(ISNA(K61:BB61)),K61:BB61))</f>
        <v>19</v>
      </c>
      <c r="K61" t="e">
        <f>_xlfn.IFNA(51-MATCH(Songs!$A61,Data!B$2:B$51,0),NA())</f>
        <v>#N/A</v>
      </c>
      <c r="L61" t="e">
        <f>_xlfn.IFNA(51-MATCH(Songs!$A61,Data!C$2:C$51,0),NA())</f>
        <v>#N/A</v>
      </c>
      <c r="M61" t="e">
        <f>_xlfn.IFNA(51-MATCH(Songs!$A61,Data!D$2:D$51,0),NA())</f>
        <v>#N/A</v>
      </c>
      <c r="N61">
        <f>_xlfn.IFNA(51-MATCH(Songs!$A61,Data!E$2:E$51,0),NA())</f>
        <v>32</v>
      </c>
      <c r="O61" t="e">
        <f>_xlfn.IFNA(51-MATCH(Songs!$A61,Data!F$2:F$51,0),NA())</f>
        <v>#N/A</v>
      </c>
      <c r="P61" t="e">
        <f>_xlfn.IFNA(51-MATCH(Songs!$A61,Data!G$2:G$51,0),NA())</f>
        <v>#N/A</v>
      </c>
      <c r="Q61" t="e">
        <f>_xlfn.IFNA(51-MATCH(Songs!$A61,Data!H$2:H$51,0),NA())</f>
        <v>#N/A</v>
      </c>
      <c r="R61" t="e">
        <f>_xlfn.IFNA(51-MATCH(Songs!$A61,Data!I$2:I$51,0),NA())</f>
        <v>#N/A</v>
      </c>
      <c r="S61" t="e">
        <f>_xlfn.IFNA(51-MATCH(Songs!$A61,Data!J$2:J$51,0),NA())</f>
        <v>#N/A</v>
      </c>
      <c r="T61" t="e">
        <f>_xlfn.IFNA(51-MATCH(Songs!$A61,Data!K$2:K$51,0),NA())</f>
        <v>#N/A</v>
      </c>
      <c r="U61" t="e">
        <f>_xlfn.IFNA(51-MATCH(Songs!$A61,Data!L$2:L$51,0),NA())</f>
        <v>#N/A</v>
      </c>
      <c r="V61" t="e">
        <f>_xlfn.IFNA(51-MATCH(Songs!$A61,Data!M$2:M$51,0),NA())</f>
        <v>#N/A</v>
      </c>
      <c r="W61" t="e">
        <f>_xlfn.IFNA(51-MATCH(Songs!$A61,Data!N$2:N$51,0),NA())</f>
        <v>#N/A</v>
      </c>
      <c r="X61" t="e">
        <f>_xlfn.IFNA(51-MATCH(Songs!$A61,Data!O$2:O$51,0),NA())</f>
        <v>#N/A</v>
      </c>
      <c r="Y61" t="e">
        <f>_xlfn.IFNA(51-MATCH(Songs!$A61,Data!P$2:P$51,0),NA())</f>
        <v>#N/A</v>
      </c>
      <c r="Z61" t="e">
        <f>_xlfn.IFNA(51-MATCH(Songs!$A61,Data!Q$2:Q$51,0),NA())</f>
        <v>#N/A</v>
      </c>
      <c r="AA61" t="e">
        <f>_xlfn.IFNA(51-MATCH(Songs!$A61,Data!R$2:R$51,0),NA())</f>
        <v>#N/A</v>
      </c>
      <c r="AB61" t="e">
        <f>_xlfn.IFNA(51-MATCH(Songs!$A61,Data!S$2:S$51,0),NA())</f>
        <v>#N/A</v>
      </c>
      <c r="AC61" t="e">
        <f>_xlfn.IFNA(51-MATCH(Songs!$A61,Data!T$2:T$51,0),NA())</f>
        <v>#N/A</v>
      </c>
      <c r="AD61" t="e">
        <f>_xlfn.IFNA(51-MATCH(Songs!$A61,Data!U$2:U$51,0),NA())</f>
        <v>#N/A</v>
      </c>
    </row>
    <row r="62" spans="1:30" ht="13.2" x14ac:dyDescent="0.25">
      <c r="A62" s="6" t="s">
        <v>32</v>
      </c>
      <c r="B62" s="6" t="s">
        <v>164</v>
      </c>
      <c r="C62" s="2"/>
      <c r="F62" s="2">
        <v>21</v>
      </c>
      <c r="G62" s="2">
        <f ca="1">COUNTIF(INDIRECT(_xlfn.CONCAT("Data!$B$2:", ADDRESS(51,COUNTA(Data!$1:$1)+1,1,1))), Songs!A62) + F62</f>
        <v>22</v>
      </c>
      <c r="H62" s="8"/>
      <c r="I62" s="8"/>
      <c r="J62" s="8" cm="1">
        <f t="array" ref="J62">51 - MAX(IF(NOT(ISNA(K62:BB62)),K62:BB62))</f>
        <v>22</v>
      </c>
      <c r="K62" t="e">
        <f>_xlfn.IFNA(51-MATCH(Songs!$A62,Data!B$2:B$51,0),NA())</f>
        <v>#N/A</v>
      </c>
      <c r="L62" t="e">
        <f>_xlfn.IFNA(51-MATCH(Songs!$A62,Data!C$2:C$51,0),NA())</f>
        <v>#N/A</v>
      </c>
      <c r="M62" t="e">
        <f>_xlfn.IFNA(51-MATCH(Songs!$A62,Data!D$2:D$51,0),NA())</f>
        <v>#N/A</v>
      </c>
      <c r="N62">
        <f>_xlfn.IFNA(51-MATCH(Songs!$A62,Data!E$2:E$51,0),NA())</f>
        <v>29</v>
      </c>
      <c r="O62" t="e">
        <f>_xlfn.IFNA(51-MATCH(Songs!$A62,Data!F$2:F$51,0),NA())</f>
        <v>#N/A</v>
      </c>
      <c r="P62" t="e">
        <f>_xlfn.IFNA(51-MATCH(Songs!$A62,Data!G$2:G$51,0),NA())</f>
        <v>#N/A</v>
      </c>
      <c r="Q62" t="e">
        <f>_xlfn.IFNA(51-MATCH(Songs!$A62,Data!H$2:H$51,0),NA())</f>
        <v>#N/A</v>
      </c>
      <c r="R62" t="e">
        <f>_xlfn.IFNA(51-MATCH(Songs!$A62,Data!I$2:I$51,0),NA())</f>
        <v>#N/A</v>
      </c>
      <c r="S62" t="e">
        <f>_xlfn.IFNA(51-MATCH(Songs!$A62,Data!J$2:J$51,0),NA())</f>
        <v>#N/A</v>
      </c>
      <c r="T62" t="e">
        <f>_xlfn.IFNA(51-MATCH(Songs!$A62,Data!K$2:K$51,0),NA())</f>
        <v>#N/A</v>
      </c>
      <c r="U62" t="e">
        <f>_xlfn.IFNA(51-MATCH(Songs!$A62,Data!L$2:L$51,0),NA())</f>
        <v>#N/A</v>
      </c>
      <c r="V62" t="e">
        <f>_xlfn.IFNA(51-MATCH(Songs!$A62,Data!M$2:M$51,0),NA())</f>
        <v>#N/A</v>
      </c>
      <c r="W62" t="e">
        <f>_xlfn.IFNA(51-MATCH(Songs!$A62,Data!N$2:N$51,0),NA())</f>
        <v>#N/A</v>
      </c>
      <c r="X62" t="e">
        <f>_xlfn.IFNA(51-MATCH(Songs!$A62,Data!O$2:O$51,0),NA())</f>
        <v>#N/A</v>
      </c>
      <c r="Y62" t="e">
        <f>_xlfn.IFNA(51-MATCH(Songs!$A62,Data!P$2:P$51,0),NA())</f>
        <v>#N/A</v>
      </c>
      <c r="Z62" t="e">
        <f>_xlfn.IFNA(51-MATCH(Songs!$A62,Data!Q$2:Q$51,0),NA())</f>
        <v>#N/A</v>
      </c>
      <c r="AA62" t="e">
        <f>_xlfn.IFNA(51-MATCH(Songs!$A62,Data!R$2:R$51,0),NA())</f>
        <v>#N/A</v>
      </c>
      <c r="AB62" t="e">
        <f>_xlfn.IFNA(51-MATCH(Songs!$A62,Data!S$2:S$51,0),NA())</f>
        <v>#N/A</v>
      </c>
      <c r="AC62" t="e">
        <f>_xlfn.IFNA(51-MATCH(Songs!$A62,Data!T$2:T$51,0),NA())</f>
        <v>#N/A</v>
      </c>
      <c r="AD62" t="e">
        <f>_xlfn.IFNA(51-MATCH(Songs!$A62,Data!U$2:U$51,0),NA())</f>
        <v>#N/A</v>
      </c>
    </row>
    <row r="63" spans="1:30" ht="13.2" x14ac:dyDescent="0.25">
      <c r="A63" s="6" t="s">
        <v>35</v>
      </c>
      <c r="B63" s="6" t="s">
        <v>164</v>
      </c>
      <c r="C63" s="2"/>
      <c r="F63" s="2">
        <v>42</v>
      </c>
      <c r="G63" s="2">
        <f ca="1">COUNTIF(INDIRECT(_xlfn.CONCAT("Data!$B$2:", ADDRESS(51,COUNTA(Data!$1:$1)+1,1,1))), Songs!A63) + F63</f>
        <v>43</v>
      </c>
      <c r="H63" s="8"/>
      <c r="I63" s="8"/>
      <c r="J63" s="8" cm="1">
        <f t="array" ref="J63">51 - MAX(IF(NOT(ISNA(K63:BB63)),K63:BB63))</f>
        <v>23</v>
      </c>
      <c r="K63" t="e">
        <f>_xlfn.IFNA(51-MATCH(Songs!$A63,Data!B$2:B$51,0),NA())</f>
        <v>#N/A</v>
      </c>
      <c r="L63" t="e">
        <f>_xlfn.IFNA(51-MATCH(Songs!$A63,Data!C$2:C$51,0),NA())</f>
        <v>#N/A</v>
      </c>
      <c r="M63" t="e">
        <f>_xlfn.IFNA(51-MATCH(Songs!$A63,Data!D$2:D$51,0),NA())</f>
        <v>#N/A</v>
      </c>
      <c r="N63">
        <f>_xlfn.IFNA(51-MATCH(Songs!$A63,Data!E$2:E$51,0),NA())</f>
        <v>28</v>
      </c>
      <c r="O63" t="e">
        <f>_xlfn.IFNA(51-MATCH(Songs!$A63,Data!F$2:F$51,0),NA())</f>
        <v>#N/A</v>
      </c>
      <c r="P63" t="e">
        <f>_xlfn.IFNA(51-MATCH(Songs!$A63,Data!G$2:G$51,0),NA())</f>
        <v>#N/A</v>
      </c>
      <c r="Q63" t="e">
        <f>_xlfn.IFNA(51-MATCH(Songs!$A63,Data!H$2:H$51,0),NA())</f>
        <v>#N/A</v>
      </c>
      <c r="R63" t="e">
        <f>_xlfn.IFNA(51-MATCH(Songs!$A63,Data!I$2:I$51,0),NA())</f>
        <v>#N/A</v>
      </c>
      <c r="S63" t="e">
        <f>_xlfn.IFNA(51-MATCH(Songs!$A63,Data!J$2:J$51,0),NA())</f>
        <v>#N/A</v>
      </c>
      <c r="T63" t="e">
        <f>_xlfn.IFNA(51-MATCH(Songs!$A63,Data!K$2:K$51,0),NA())</f>
        <v>#N/A</v>
      </c>
      <c r="U63" t="e">
        <f>_xlfn.IFNA(51-MATCH(Songs!$A63,Data!L$2:L$51,0),NA())</f>
        <v>#N/A</v>
      </c>
      <c r="V63" t="e">
        <f>_xlfn.IFNA(51-MATCH(Songs!$A63,Data!M$2:M$51,0),NA())</f>
        <v>#N/A</v>
      </c>
      <c r="W63" t="e">
        <f>_xlfn.IFNA(51-MATCH(Songs!$A63,Data!N$2:N$51,0),NA())</f>
        <v>#N/A</v>
      </c>
      <c r="X63" t="e">
        <f>_xlfn.IFNA(51-MATCH(Songs!$A63,Data!O$2:O$51,0),NA())</f>
        <v>#N/A</v>
      </c>
      <c r="Y63" t="e">
        <f>_xlfn.IFNA(51-MATCH(Songs!$A63,Data!P$2:P$51,0),NA())</f>
        <v>#N/A</v>
      </c>
      <c r="Z63" t="e">
        <f>_xlfn.IFNA(51-MATCH(Songs!$A63,Data!Q$2:Q$51,0),NA())</f>
        <v>#N/A</v>
      </c>
      <c r="AA63" t="e">
        <f>_xlfn.IFNA(51-MATCH(Songs!$A63,Data!R$2:R$51,0),NA())</f>
        <v>#N/A</v>
      </c>
      <c r="AB63" t="e">
        <f>_xlfn.IFNA(51-MATCH(Songs!$A63,Data!S$2:S$51,0),NA())</f>
        <v>#N/A</v>
      </c>
      <c r="AC63" t="e">
        <f>_xlfn.IFNA(51-MATCH(Songs!$A63,Data!T$2:T$51,0),NA())</f>
        <v>#N/A</v>
      </c>
      <c r="AD63" t="e">
        <f>_xlfn.IFNA(51-MATCH(Songs!$A63,Data!U$2:U$51,0),NA())</f>
        <v>#N/A</v>
      </c>
    </row>
    <row r="64" spans="1:30" ht="13.2" x14ac:dyDescent="0.25">
      <c r="A64" s="6" t="s">
        <v>61</v>
      </c>
      <c r="B64" s="6" t="s">
        <v>81</v>
      </c>
      <c r="C64" s="2"/>
      <c r="F64" s="2">
        <v>0</v>
      </c>
      <c r="G64" s="2">
        <f ca="1">COUNTIF(INDIRECT(_xlfn.CONCAT("Data!$B$2:", ADDRESS(51,COUNTA(Data!$1:$1)+1,1,1))), Songs!A64) + F64</f>
        <v>3</v>
      </c>
      <c r="H64" s="8"/>
      <c r="I64" s="8"/>
      <c r="J64" s="8" cm="1">
        <f t="array" ref="J64">51 - MAX(IF(NOT(ISNA(K64:BB64)),K64:BB64))</f>
        <v>41</v>
      </c>
      <c r="K64" t="e">
        <f>_xlfn.IFNA(51-MATCH(Songs!$A64,Data!B$2:B$51,0),NA())</f>
        <v>#N/A</v>
      </c>
      <c r="L64" t="e">
        <f>_xlfn.IFNA(51-MATCH(Songs!$A64,Data!C$2:C$51,0),NA())</f>
        <v>#N/A</v>
      </c>
      <c r="M64" t="e">
        <f>_xlfn.IFNA(51-MATCH(Songs!$A64,Data!D$2:D$51,0),NA())</f>
        <v>#N/A</v>
      </c>
      <c r="N64">
        <f>_xlfn.IFNA(51-MATCH(Songs!$A64,Data!E$2:E$51,0),NA())</f>
        <v>10</v>
      </c>
      <c r="O64">
        <f>_xlfn.IFNA(51-MATCH(Songs!$A64,Data!F$2:F$51,0),NA())</f>
        <v>5</v>
      </c>
      <c r="P64" t="e">
        <f>_xlfn.IFNA(51-MATCH(Songs!$A64,Data!G$2:G$51,0),NA())</f>
        <v>#N/A</v>
      </c>
      <c r="Q64" t="e">
        <f>_xlfn.IFNA(51-MATCH(Songs!$A64,Data!H$2:H$51,0),NA())</f>
        <v>#N/A</v>
      </c>
      <c r="R64" t="e">
        <f>_xlfn.IFNA(51-MATCH(Songs!$A64,Data!I$2:I$51,0),NA())</f>
        <v>#N/A</v>
      </c>
      <c r="S64" t="e">
        <f>_xlfn.IFNA(51-MATCH(Songs!$A64,Data!J$2:J$51,0),NA())</f>
        <v>#N/A</v>
      </c>
      <c r="T64" t="e">
        <f>_xlfn.IFNA(51-MATCH(Songs!$A64,Data!K$2:K$51,0),NA())</f>
        <v>#N/A</v>
      </c>
      <c r="U64" t="e">
        <f>_xlfn.IFNA(51-MATCH(Songs!$A64,Data!L$2:L$51,0),NA())</f>
        <v>#N/A</v>
      </c>
      <c r="V64" t="e">
        <f>_xlfn.IFNA(51-MATCH(Songs!$A64,Data!M$2:M$51,0),NA())</f>
        <v>#N/A</v>
      </c>
      <c r="W64" t="e">
        <f>_xlfn.IFNA(51-MATCH(Songs!$A64,Data!N$2:N$51,0),NA())</f>
        <v>#N/A</v>
      </c>
      <c r="X64" t="e">
        <f>_xlfn.IFNA(51-MATCH(Songs!$A64,Data!O$2:O$51,0),NA())</f>
        <v>#N/A</v>
      </c>
      <c r="Y64" t="e">
        <f>_xlfn.IFNA(51-MATCH(Songs!$A64,Data!P$2:P$51,0),NA())</f>
        <v>#N/A</v>
      </c>
      <c r="Z64">
        <f>_xlfn.IFNA(51-MATCH(Songs!$A64,Data!Q$2:Q$51,0),NA())</f>
        <v>2</v>
      </c>
      <c r="AA64" t="e">
        <f>_xlfn.IFNA(51-MATCH(Songs!$A64,Data!R$2:R$51,0),NA())</f>
        <v>#N/A</v>
      </c>
      <c r="AB64" t="e">
        <f>_xlfn.IFNA(51-MATCH(Songs!$A64,Data!S$2:S$51,0),NA())</f>
        <v>#N/A</v>
      </c>
      <c r="AC64" t="e">
        <f>_xlfn.IFNA(51-MATCH(Songs!$A64,Data!T$2:T$51,0),NA())</f>
        <v>#N/A</v>
      </c>
      <c r="AD64" t="e">
        <f>_xlfn.IFNA(51-MATCH(Songs!$A64,Data!U$2:U$51,0),NA())</f>
        <v>#N/A</v>
      </c>
    </row>
    <row r="65" spans="1:30" ht="13.2" x14ac:dyDescent="0.25">
      <c r="A65" s="2" t="s">
        <v>1</v>
      </c>
      <c r="B65" s="2" t="s">
        <v>121</v>
      </c>
      <c r="F65" s="2">
        <v>0</v>
      </c>
      <c r="G65" s="2">
        <f ca="1">COUNTIF(INDIRECT(_xlfn.CONCAT("Data!$B$2:", ADDRESS(51,COUNTA(Data!$1:$1)+1,1,1))), Songs!A65) + F65</f>
        <v>13</v>
      </c>
      <c r="H65" s="8"/>
      <c r="I65" s="8"/>
      <c r="J65" s="8" cm="1">
        <f t="array" ref="J65">51 - MAX(IF(NOT(ISNA(K65:BB65)),K65:BB65))</f>
        <v>1</v>
      </c>
      <c r="K65" t="e">
        <f>_xlfn.IFNA(51-MATCH(Songs!$A65,Data!B$2:B$51,0),NA())</f>
        <v>#N/A</v>
      </c>
      <c r="L65" t="e">
        <f>_xlfn.IFNA(51-MATCH(Songs!$A65,Data!C$2:C$51,0),NA())</f>
        <v>#N/A</v>
      </c>
      <c r="M65" t="e">
        <f>_xlfn.IFNA(51-MATCH(Songs!$A65,Data!D$2:D$51,0),NA())</f>
        <v>#N/A</v>
      </c>
      <c r="N65" t="e">
        <f>_xlfn.IFNA(51-MATCH(Songs!$A65,Data!E$2:E$51,0),NA())</f>
        <v>#N/A</v>
      </c>
      <c r="O65">
        <f>_xlfn.IFNA(51-MATCH(Songs!$A65,Data!F$2:F$51,0),NA())</f>
        <v>50</v>
      </c>
      <c r="P65">
        <f>_xlfn.IFNA(51-MATCH(Songs!$A65,Data!G$2:G$51,0),NA())</f>
        <v>50</v>
      </c>
      <c r="Q65">
        <f>_xlfn.IFNA(51-MATCH(Songs!$A65,Data!H$2:H$51,0),NA())</f>
        <v>50</v>
      </c>
      <c r="R65">
        <f>_xlfn.IFNA(51-MATCH(Songs!$A65,Data!I$2:I$51,0),NA())</f>
        <v>50</v>
      </c>
      <c r="S65">
        <f>_xlfn.IFNA(51-MATCH(Songs!$A65,Data!J$2:J$51,0),NA())</f>
        <v>50</v>
      </c>
      <c r="T65">
        <f>_xlfn.IFNA(51-MATCH(Songs!$A65,Data!K$2:K$51,0),NA())</f>
        <v>50</v>
      </c>
      <c r="U65">
        <f>_xlfn.IFNA(51-MATCH(Songs!$A65,Data!L$2:L$51,0),NA())</f>
        <v>50</v>
      </c>
      <c r="V65">
        <f>_xlfn.IFNA(51-MATCH(Songs!$A65,Data!M$2:M$51,0),NA())</f>
        <v>50</v>
      </c>
      <c r="W65">
        <f>_xlfn.IFNA(51-MATCH(Songs!$A65,Data!N$2:N$51,0),NA())</f>
        <v>50</v>
      </c>
      <c r="X65">
        <f>_xlfn.IFNA(51-MATCH(Songs!$A65,Data!O$2:O$51,0),NA())</f>
        <v>50</v>
      </c>
      <c r="Y65">
        <f>_xlfn.IFNA(51-MATCH(Songs!$A65,Data!P$2:P$51,0),NA())</f>
        <v>49</v>
      </c>
      <c r="Z65">
        <f>_xlfn.IFNA(51-MATCH(Songs!$A65,Data!Q$2:Q$51,0),NA())</f>
        <v>48</v>
      </c>
      <c r="AA65">
        <f>_xlfn.IFNA(51-MATCH(Songs!$A65,Data!R$2:R$51,0),NA())</f>
        <v>47</v>
      </c>
      <c r="AB65" t="e">
        <f>_xlfn.IFNA(51-MATCH(Songs!$A65,Data!S$2:S$51,0),NA())</f>
        <v>#N/A</v>
      </c>
      <c r="AC65" t="e">
        <f>_xlfn.IFNA(51-MATCH(Songs!$A65,Data!T$2:T$51,0),NA())</f>
        <v>#N/A</v>
      </c>
      <c r="AD65" t="e">
        <f>_xlfn.IFNA(51-MATCH(Songs!$A65,Data!U$2:U$51,0),NA())</f>
        <v>#N/A</v>
      </c>
    </row>
    <row r="66" spans="1:30" ht="13.2" x14ac:dyDescent="0.25">
      <c r="A66" s="2" t="s">
        <v>14</v>
      </c>
      <c r="B66" s="2" t="s">
        <v>121</v>
      </c>
      <c r="F66" s="2">
        <v>0</v>
      </c>
      <c r="G66" s="2">
        <f ca="1">COUNTIF(INDIRECT(_xlfn.CONCAT("Data!$B$2:", ADDRESS(51,COUNTA(Data!$1:$1)+1,1,1))), Songs!A66) + F66</f>
        <v>10</v>
      </c>
      <c r="H66" s="8"/>
      <c r="I66" s="8"/>
      <c r="J66" s="8" cm="1">
        <f t="array" ref="J66">51 - MAX(IF(NOT(ISNA(K66:BB66)),K66:BB66))</f>
        <v>9</v>
      </c>
      <c r="K66" t="e">
        <f>_xlfn.IFNA(51-MATCH(Songs!$A66,Data!B$2:B$51,0),NA())</f>
        <v>#N/A</v>
      </c>
      <c r="L66" t="e">
        <f>_xlfn.IFNA(51-MATCH(Songs!$A66,Data!C$2:C$51,0),NA())</f>
        <v>#N/A</v>
      </c>
      <c r="M66" t="e">
        <f>_xlfn.IFNA(51-MATCH(Songs!$A66,Data!D$2:D$51,0),NA())</f>
        <v>#N/A</v>
      </c>
      <c r="N66" t="e">
        <f>_xlfn.IFNA(51-MATCH(Songs!$A66,Data!E$2:E$51,0),NA())</f>
        <v>#N/A</v>
      </c>
      <c r="O66">
        <f>_xlfn.IFNA(51-MATCH(Songs!$A66,Data!F$2:F$51,0),NA())</f>
        <v>42</v>
      </c>
      <c r="P66">
        <f>_xlfn.IFNA(51-MATCH(Songs!$A66,Data!G$2:G$51,0),NA())</f>
        <v>38</v>
      </c>
      <c r="Q66">
        <f>_xlfn.IFNA(51-MATCH(Songs!$A66,Data!H$2:H$51,0),NA())</f>
        <v>30</v>
      </c>
      <c r="R66">
        <f>_xlfn.IFNA(51-MATCH(Songs!$A66,Data!I$2:I$51,0),NA())</f>
        <v>28</v>
      </c>
      <c r="S66">
        <f>_xlfn.IFNA(51-MATCH(Songs!$A66,Data!J$2:J$51,0),NA())</f>
        <v>9</v>
      </c>
      <c r="T66">
        <f>_xlfn.IFNA(51-MATCH(Songs!$A66,Data!K$2:K$51,0),NA())</f>
        <v>3</v>
      </c>
      <c r="U66" t="e">
        <f>_xlfn.IFNA(51-MATCH(Songs!$A66,Data!L$2:L$51,0),NA())</f>
        <v>#N/A</v>
      </c>
      <c r="V66">
        <f>_xlfn.IFNA(51-MATCH(Songs!$A66,Data!M$2:M$51,0),NA())</f>
        <v>41</v>
      </c>
      <c r="W66">
        <f>_xlfn.IFNA(51-MATCH(Songs!$A66,Data!N$2:N$51,0),NA())</f>
        <v>26</v>
      </c>
      <c r="X66">
        <f>_xlfn.IFNA(51-MATCH(Songs!$A66,Data!O$2:O$51,0),NA())</f>
        <v>11</v>
      </c>
      <c r="Y66">
        <f>_xlfn.IFNA(51-MATCH(Songs!$A66,Data!P$2:P$51,0),NA())</f>
        <v>3</v>
      </c>
      <c r="Z66" t="e">
        <f>_xlfn.IFNA(51-MATCH(Songs!$A66,Data!Q$2:Q$51,0),NA())</f>
        <v>#N/A</v>
      </c>
      <c r="AA66" t="e">
        <f>_xlfn.IFNA(51-MATCH(Songs!$A66,Data!R$2:R$51,0),NA())</f>
        <v>#N/A</v>
      </c>
      <c r="AB66" t="e">
        <f>_xlfn.IFNA(51-MATCH(Songs!$A66,Data!S$2:S$51,0),NA())</f>
        <v>#N/A</v>
      </c>
      <c r="AC66" t="e">
        <f>_xlfn.IFNA(51-MATCH(Songs!$A66,Data!T$2:T$51,0),NA())</f>
        <v>#N/A</v>
      </c>
      <c r="AD66" t="e">
        <f>_xlfn.IFNA(51-MATCH(Songs!$A66,Data!U$2:U$51,0),NA())</f>
        <v>#N/A</v>
      </c>
    </row>
    <row r="67" spans="1:30" ht="13.2" x14ac:dyDescent="0.25">
      <c r="A67" s="2" t="s">
        <v>39</v>
      </c>
      <c r="B67" s="2" t="s">
        <v>75</v>
      </c>
      <c r="F67" s="2">
        <v>0</v>
      </c>
      <c r="G67" s="2">
        <f ca="1">COUNTIF(INDIRECT(_xlfn.CONCAT("Data!$B$2:", ADDRESS(51,COUNTA(Data!$1:$1)+1,1,1))), Songs!A67) + F67</f>
        <v>10</v>
      </c>
      <c r="H67" s="8"/>
      <c r="I67" s="8"/>
      <c r="J67" s="8" cm="1">
        <f t="array" ref="J67">51 - MAX(IF(NOT(ISNA(K67:BB67)),K67:BB67))</f>
        <v>17</v>
      </c>
      <c r="K67" t="e">
        <f>_xlfn.IFNA(51-MATCH(Songs!$A67,Data!B$2:B$51,0),NA())</f>
        <v>#N/A</v>
      </c>
      <c r="L67" t="e">
        <f>_xlfn.IFNA(51-MATCH(Songs!$A67,Data!C$2:C$51,0),NA())</f>
        <v>#N/A</v>
      </c>
      <c r="M67" t="e">
        <f>_xlfn.IFNA(51-MATCH(Songs!$A67,Data!D$2:D$51,0),NA())</f>
        <v>#N/A</v>
      </c>
      <c r="N67" t="e">
        <f>_xlfn.IFNA(51-MATCH(Songs!$A67,Data!E$2:E$51,0),NA())</f>
        <v>#N/A</v>
      </c>
      <c r="O67">
        <f>_xlfn.IFNA(51-MATCH(Songs!$A67,Data!F$2:F$51,0),NA())</f>
        <v>25</v>
      </c>
      <c r="P67">
        <f>_xlfn.IFNA(51-MATCH(Songs!$A67,Data!G$2:G$51,0),NA())</f>
        <v>20</v>
      </c>
      <c r="Q67">
        <f>_xlfn.IFNA(51-MATCH(Songs!$A67,Data!H$2:H$51,0),NA())</f>
        <v>20</v>
      </c>
      <c r="R67">
        <f>_xlfn.IFNA(51-MATCH(Songs!$A67,Data!I$2:I$51,0),NA())</f>
        <v>19</v>
      </c>
      <c r="S67">
        <f>_xlfn.IFNA(51-MATCH(Songs!$A67,Data!J$2:J$51,0),NA())</f>
        <v>14</v>
      </c>
      <c r="T67">
        <f>_xlfn.IFNA(51-MATCH(Songs!$A67,Data!K$2:K$51,0),NA())</f>
        <v>34</v>
      </c>
      <c r="U67">
        <f>_xlfn.IFNA(51-MATCH(Songs!$A67,Data!L$2:L$51,0),NA())</f>
        <v>22</v>
      </c>
      <c r="V67">
        <f>_xlfn.IFNA(51-MATCH(Songs!$A67,Data!M$2:M$51,0),NA())</f>
        <v>5</v>
      </c>
      <c r="W67">
        <f>_xlfn.IFNA(51-MATCH(Songs!$A67,Data!N$2:N$51,0),NA())</f>
        <v>4</v>
      </c>
      <c r="X67" t="e">
        <f>_xlfn.IFNA(51-MATCH(Songs!$A67,Data!O$2:O$51,0),NA())</f>
        <v>#N/A</v>
      </c>
      <c r="Y67">
        <f>_xlfn.IFNA(51-MATCH(Songs!$A67,Data!P$2:P$51,0),NA())</f>
        <v>1</v>
      </c>
      <c r="Z67" t="e">
        <f>_xlfn.IFNA(51-MATCH(Songs!$A67,Data!Q$2:Q$51,0),NA())</f>
        <v>#N/A</v>
      </c>
      <c r="AA67" t="e">
        <f>_xlfn.IFNA(51-MATCH(Songs!$A67,Data!R$2:R$51,0),NA())</f>
        <v>#N/A</v>
      </c>
      <c r="AB67" t="e">
        <f>_xlfn.IFNA(51-MATCH(Songs!$A67,Data!S$2:S$51,0),NA())</f>
        <v>#N/A</v>
      </c>
      <c r="AC67" t="e">
        <f>_xlfn.IFNA(51-MATCH(Songs!$A67,Data!T$2:T$51,0),NA())</f>
        <v>#N/A</v>
      </c>
      <c r="AD67" t="e">
        <f>_xlfn.IFNA(51-MATCH(Songs!$A67,Data!U$2:U$51,0),NA())</f>
        <v>#N/A</v>
      </c>
    </row>
    <row r="68" spans="1:30" ht="13.2" x14ac:dyDescent="0.25">
      <c r="A68" s="2" t="s">
        <v>43</v>
      </c>
      <c r="B68" s="2" t="s">
        <v>79</v>
      </c>
      <c r="F68" s="2">
        <v>0</v>
      </c>
      <c r="G68" s="2">
        <f ca="1">COUNTIF(INDIRECT(_xlfn.CONCAT("Data!$B$2:", ADDRESS(51,COUNTA(Data!$1:$1)+1,1,1))), Songs!A68) + F68</f>
        <v>13</v>
      </c>
      <c r="H68" s="8"/>
      <c r="I68" s="8"/>
      <c r="J68" s="8" cm="1">
        <f t="array" ref="J68">51 - MAX(IF(NOT(ISNA(K68:BB68)),K68:BB68))</f>
        <v>11</v>
      </c>
      <c r="K68" t="e">
        <f>_xlfn.IFNA(51-MATCH(Songs!$A68,Data!B$2:B$51,0),NA())</f>
        <v>#N/A</v>
      </c>
      <c r="L68" t="e">
        <f>_xlfn.IFNA(51-MATCH(Songs!$A68,Data!C$2:C$51,0),NA())</f>
        <v>#N/A</v>
      </c>
      <c r="M68" t="e">
        <f>_xlfn.IFNA(51-MATCH(Songs!$A68,Data!D$2:D$51,0),NA())</f>
        <v>#N/A</v>
      </c>
      <c r="N68" t="e">
        <f>_xlfn.IFNA(51-MATCH(Songs!$A68,Data!E$2:E$51,0),NA())</f>
        <v>#N/A</v>
      </c>
      <c r="O68">
        <f>_xlfn.IFNA(51-MATCH(Songs!$A68,Data!F$2:F$51,0),NA())</f>
        <v>21</v>
      </c>
      <c r="P68">
        <f>_xlfn.IFNA(51-MATCH(Songs!$A68,Data!G$2:G$51,0),NA())</f>
        <v>22</v>
      </c>
      <c r="Q68">
        <f>_xlfn.IFNA(51-MATCH(Songs!$A68,Data!H$2:H$51,0),NA())</f>
        <v>24</v>
      </c>
      <c r="R68">
        <f>_xlfn.IFNA(51-MATCH(Songs!$A68,Data!I$2:I$51,0),NA())</f>
        <v>22</v>
      </c>
      <c r="S68">
        <f>_xlfn.IFNA(51-MATCH(Songs!$A68,Data!J$2:J$51,0),NA())</f>
        <v>16</v>
      </c>
      <c r="T68">
        <f>_xlfn.IFNA(51-MATCH(Songs!$A68,Data!K$2:K$51,0),NA())</f>
        <v>12</v>
      </c>
      <c r="U68">
        <f>_xlfn.IFNA(51-MATCH(Songs!$A68,Data!L$2:L$51,0),NA())</f>
        <v>19</v>
      </c>
      <c r="V68">
        <f>_xlfn.IFNA(51-MATCH(Songs!$A68,Data!M$2:M$51,0),NA())</f>
        <v>15</v>
      </c>
      <c r="W68">
        <f>_xlfn.IFNA(51-MATCH(Songs!$A68,Data!N$2:N$51,0),NA())</f>
        <v>28</v>
      </c>
      <c r="X68">
        <f>_xlfn.IFNA(51-MATCH(Songs!$A68,Data!O$2:O$51,0),NA())</f>
        <v>38</v>
      </c>
      <c r="Y68">
        <f>_xlfn.IFNA(51-MATCH(Songs!$A68,Data!P$2:P$51,0),NA())</f>
        <v>39</v>
      </c>
      <c r="Z68">
        <f>_xlfn.IFNA(51-MATCH(Songs!$A68,Data!Q$2:Q$51,0),NA())</f>
        <v>40</v>
      </c>
      <c r="AA68">
        <f>_xlfn.IFNA(51-MATCH(Songs!$A68,Data!R$2:R$51,0),NA())</f>
        <v>40</v>
      </c>
      <c r="AB68" t="e">
        <f>_xlfn.IFNA(51-MATCH(Songs!$A68,Data!S$2:S$51,0),NA())</f>
        <v>#N/A</v>
      </c>
      <c r="AC68" t="e">
        <f>_xlfn.IFNA(51-MATCH(Songs!$A68,Data!T$2:T$51,0),NA())</f>
        <v>#N/A</v>
      </c>
      <c r="AD68" t="e">
        <f>_xlfn.IFNA(51-MATCH(Songs!$A68,Data!U$2:U$51,0),NA())</f>
        <v>#N/A</v>
      </c>
    </row>
    <row r="69" spans="1:30" ht="13.2" x14ac:dyDescent="0.25">
      <c r="A69" s="2" t="s">
        <v>59</v>
      </c>
      <c r="B69" s="2" t="s">
        <v>122</v>
      </c>
      <c r="C69" s="2" t="s">
        <v>206</v>
      </c>
      <c r="F69" s="2">
        <v>0</v>
      </c>
      <c r="G69" s="2">
        <f ca="1">COUNTIF(INDIRECT(_xlfn.CONCAT("Data!$B$2:", ADDRESS(51,COUNTA(Data!$1:$1)+1,1,1))), Songs!A69) + F69</f>
        <v>1</v>
      </c>
      <c r="H69" s="8"/>
      <c r="I69" s="8"/>
      <c r="J69" s="8" cm="1">
        <f t="array" ref="J69">51 - MAX(IF(NOT(ISNA(K69:BB69)),K69:BB69))</f>
        <v>40</v>
      </c>
      <c r="K69" t="e">
        <f>_xlfn.IFNA(51-MATCH(Songs!$A69,Data!B$2:B$51,0),NA())</f>
        <v>#N/A</v>
      </c>
      <c r="L69" t="e">
        <f>_xlfn.IFNA(51-MATCH(Songs!$A69,Data!C$2:C$51,0),NA())</f>
        <v>#N/A</v>
      </c>
      <c r="M69" t="e">
        <f>_xlfn.IFNA(51-MATCH(Songs!$A69,Data!D$2:D$51,0),NA())</f>
        <v>#N/A</v>
      </c>
      <c r="N69" t="e">
        <f>_xlfn.IFNA(51-MATCH(Songs!$A69,Data!E$2:E$51,0),NA())</f>
        <v>#N/A</v>
      </c>
      <c r="O69">
        <f>_xlfn.IFNA(51-MATCH(Songs!$A69,Data!F$2:F$51,0),NA())</f>
        <v>11</v>
      </c>
      <c r="P69" t="e">
        <f>_xlfn.IFNA(51-MATCH(Songs!$A69,Data!G$2:G$51,0),NA())</f>
        <v>#N/A</v>
      </c>
      <c r="Q69" t="e">
        <f>_xlfn.IFNA(51-MATCH(Songs!$A69,Data!H$2:H$51,0),NA())</f>
        <v>#N/A</v>
      </c>
      <c r="R69" t="e">
        <f>_xlfn.IFNA(51-MATCH(Songs!$A69,Data!I$2:I$51,0),NA())</f>
        <v>#N/A</v>
      </c>
      <c r="S69" t="e">
        <f>_xlfn.IFNA(51-MATCH(Songs!$A69,Data!J$2:J$51,0),NA())</f>
        <v>#N/A</v>
      </c>
      <c r="T69" t="e">
        <f>_xlfn.IFNA(51-MATCH(Songs!$A69,Data!K$2:K$51,0),NA())</f>
        <v>#N/A</v>
      </c>
      <c r="U69" t="e">
        <f>_xlfn.IFNA(51-MATCH(Songs!$A69,Data!L$2:L$51,0),NA())</f>
        <v>#N/A</v>
      </c>
      <c r="V69" t="e">
        <f>_xlfn.IFNA(51-MATCH(Songs!$A69,Data!M$2:M$51,0),NA())</f>
        <v>#N/A</v>
      </c>
      <c r="W69" t="e">
        <f>_xlfn.IFNA(51-MATCH(Songs!$A69,Data!N$2:N$51,0),NA())</f>
        <v>#N/A</v>
      </c>
      <c r="X69" t="e">
        <f>_xlfn.IFNA(51-MATCH(Songs!$A69,Data!O$2:O$51,0),NA())</f>
        <v>#N/A</v>
      </c>
      <c r="Y69" t="e">
        <f>_xlfn.IFNA(51-MATCH(Songs!$A69,Data!P$2:P$51,0),NA())</f>
        <v>#N/A</v>
      </c>
      <c r="Z69" t="e">
        <f>_xlfn.IFNA(51-MATCH(Songs!$A69,Data!Q$2:Q$51,0),NA())</f>
        <v>#N/A</v>
      </c>
      <c r="AA69" t="e">
        <f>_xlfn.IFNA(51-MATCH(Songs!$A69,Data!R$2:R$51,0),NA())</f>
        <v>#N/A</v>
      </c>
      <c r="AB69" t="e">
        <f>_xlfn.IFNA(51-MATCH(Songs!$A69,Data!S$2:S$51,0),NA())</f>
        <v>#N/A</v>
      </c>
      <c r="AC69" t="e">
        <f>_xlfn.IFNA(51-MATCH(Songs!$A69,Data!T$2:T$51,0),NA())</f>
        <v>#N/A</v>
      </c>
      <c r="AD69" t="e">
        <f>_xlfn.IFNA(51-MATCH(Songs!$A69,Data!U$2:U$51,0),NA())</f>
        <v>#N/A</v>
      </c>
    </row>
    <row r="70" spans="1:30" ht="15.75" customHeight="1" x14ac:dyDescent="0.25">
      <c r="A70" s="6" t="s">
        <v>128</v>
      </c>
      <c r="B70" s="6" t="s">
        <v>130</v>
      </c>
      <c r="F70" s="6">
        <v>1</v>
      </c>
      <c r="G70" s="2">
        <f ca="1">COUNTIF(INDIRECT(_xlfn.CONCAT("Data!$B$2:", ADDRESS(51,COUNTA(Data!$1:$1)+1,1,1))), Songs!A70) + F70</f>
        <v>13</v>
      </c>
      <c r="H70" s="8"/>
      <c r="I70" s="8"/>
      <c r="J70" s="8" cm="1">
        <f t="array" ref="J70">51 - MAX(IF(NOT(ISNA(K70:BB70)),K70:BB70))</f>
        <v>19</v>
      </c>
      <c r="K70" t="e">
        <f>_xlfn.IFNA(51-MATCH(Songs!$A70,Data!B$2:B$51,0),NA())</f>
        <v>#N/A</v>
      </c>
      <c r="L70" t="e">
        <f>_xlfn.IFNA(51-MATCH(Songs!$A70,Data!C$2:C$51,0),NA())</f>
        <v>#N/A</v>
      </c>
      <c r="M70" t="e">
        <f>_xlfn.IFNA(51-MATCH(Songs!$A70,Data!D$2:D$51,0),NA())</f>
        <v>#N/A</v>
      </c>
      <c r="N70" t="e">
        <f>_xlfn.IFNA(51-MATCH(Songs!$A70,Data!E$2:E$51,0),NA())</f>
        <v>#N/A</v>
      </c>
      <c r="O70" t="e">
        <f>_xlfn.IFNA(51-MATCH(Songs!$A70,Data!F$2:F$51,0),NA())</f>
        <v>#N/A</v>
      </c>
      <c r="P70">
        <f>_xlfn.IFNA(51-MATCH(Songs!$A70,Data!G$2:G$51,0),NA())</f>
        <v>9</v>
      </c>
      <c r="Q70">
        <f>_xlfn.IFNA(51-MATCH(Songs!$A70,Data!H$2:H$51,0),NA())</f>
        <v>17</v>
      </c>
      <c r="R70">
        <f>_xlfn.IFNA(51-MATCH(Songs!$A70,Data!I$2:I$51,0),NA())</f>
        <v>12</v>
      </c>
      <c r="S70">
        <f>_xlfn.IFNA(51-MATCH(Songs!$A70,Data!J$2:J$51,0),NA())</f>
        <v>15</v>
      </c>
      <c r="T70">
        <f>_xlfn.IFNA(51-MATCH(Songs!$A70,Data!K$2:K$51,0),NA())</f>
        <v>19</v>
      </c>
      <c r="U70">
        <f>_xlfn.IFNA(51-MATCH(Songs!$A70,Data!L$2:L$51,0),NA())</f>
        <v>32</v>
      </c>
      <c r="V70">
        <f>_xlfn.IFNA(51-MATCH(Songs!$A70,Data!M$2:M$51,0),NA())</f>
        <v>18</v>
      </c>
      <c r="W70">
        <f>_xlfn.IFNA(51-MATCH(Songs!$A70,Data!N$2:N$51,0),NA())</f>
        <v>19</v>
      </c>
      <c r="X70">
        <f>_xlfn.IFNA(51-MATCH(Songs!$A70,Data!O$2:O$51,0),NA())</f>
        <v>26</v>
      </c>
      <c r="Y70">
        <f>_xlfn.IFNA(51-MATCH(Songs!$A70,Data!P$2:P$51,0),NA())</f>
        <v>28</v>
      </c>
      <c r="Z70">
        <f>_xlfn.IFNA(51-MATCH(Songs!$A70,Data!Q$2:Q$51,0),NA())</f>
        <v>30</v>
      </c>
      <c r="AA70">
        <f>_xlfn.IFNA(51-MATCH(Songs!$A70,Data!R$2:R$51,0),NA())</f>
        <v>30</v>
      </c>
      <c r="AB70" t="e">
        <f>_xlfn.IFNA(51-MATCH(Songs!$A70,Data!S$2:S$51,0),NA())</f>
        <v>#N/A</v>
      </c>
      <c r="AC70" t="e">
        <f>_xlfn.IFNA(51-MATCH(Songs!$A70,Data!T$2:T$51,0),NA())</f>
        <v>#N/A</v>
      </c>
      <c r="AD70" t="e">
        <f>_xlfn.IFNA(51-MATCH(Songs!$A70,Data!U$2:U$51,0),NA())</f>
        <v>#N/A</v>
      </c>
    </row>
    <row r="71" spans="1:30" ht="15.75" customHeight="1" x14ac:dyDescent="0.25">
      <c r="A71" s="6" t="s">
        <v>129</v>
      </c>
      <c r="B71" s="6" t="s">
        <v>131</v>
      </c>
      <c r="D71" s="8" t="s">
        <v>80</v>
      </c>
      <c r="E71" s="8"/>
      <c r="F71" s="6">
        <v>1</v>
      </c>
      <c r="G71" s="2">
        <f ca="1">COUNTIF(INDIRECT(_xlfn.CONCAT("Data!$B$2:", ADDRESS(51,COUNTA(Data!$1:$1)+1,1,1))), Songs!A71) + F71</f>
        <v>9</v>
      </c>
      <c r="H71" s="8"/>
      <c r="I71" s="8"/>
      <c r="J71" s="8" cm="1">
        <f t="array" ref="J71">51 - MAX(IF(NOT(ISNA(K71:BB71)),K71:BB71))</f>
        <v>36</v>
      </c>
      <c r="K71" t="e">
        <f>_xlfn.IFNA(51-MATCH(Songs!$A71,Data!B$2:B$51,0),NA())</f>
        <v>#N/A</v>
      </c>
      <c r="L71" t="e">
        <f>_xlfn.IFNA(51-MATCH(Songs!$A71,Data!C$2:C$51,0),NA())</f>
        <v>#N/A</v>
      </c>
      <c r="M71" t="e">
        <f>_xlfn.IFNA(51-MATCH(Songs!$A71,Data!D$2:D$51,0),NA())</f>
        <v>#N/A</v>
      </c>
      <c r="N71" t="e">
        <f>_xlfn.IFNA(51-MATCH(Songs!$A71,Data!E$2:E$51,0),NA())</f>
        <v>#N/A</v>
      </c>
      <c r="O71" t="e">
        <f>_xlfn.IFNA(51-MATCH(Songs!$A71,Data!F$2:F$51,0),NA())</f>
        <v>#N/A</v>
      </c>
      <c r="P71">
        <f>_xlfn.IFNA(51-MATCH(Songs!$A71,Data!G$2:G$51,0),NA())</f>
        <v>1</v>
      </c>
      <c r="Q71" t="e">
        <f>_xlfn.IFNA(51-MATCH(Songs!$A71,Data!H$2:H$51,0),NA())</f>
        <v>#N/A</v>
      </c>
      <c r="R71" t="e">
        <f>_xlfn.IFNA(51-MATCH(Songs!$A71,Data!I$2:I$51,0),NA())</f>
        <v>#N/A</v>
      </c>
      <c r="S71">
        <f>_xlfn.IFNA(51-MATCH(Songs!$A71,Data!J$2:J$51,0),NA())</f>
        <v>3</v>
      </c>
      <c r="T71">
        <f>_xlfn.IFNA(51-MATCH(Songs!$A71,Data!K$2:K$51,0),NA())</f>
        <v>2</v>
      </c>
      <c r="U71">
        <f>_xlfn.IFNA(51-MATCH(Songs!$A71,Data!L$2:L$51,0),NA())</f>
        <v>3</v>
      </c>
      <c r="V71" t="e">
        <f>_xlfn.IFNA(51-MATCH(Songs!$A71,Data!M$2:M$51,0),NA())</f>
        <v>#N/A</v>
      </c>
      <c r="W71" t="e">
        <f>_xlfn.IFNA(51-MATCH(Songs!$A71,Data!N$2:N$51,0),NA())</f>
        <v>#N/A</v>
      </c>
      <c r="X71">
        <f>_xlfn.IFNA(51-MATCH(Songs!$A71,Data!O$2:O$51,0),NA())</f>
        <v>2</v>
      </c>
      <c r="Y71">
        <f>_xlfn.IFNA(51-MATCH(Songs!$A71,Data!P$2:P$51,0),NA())</f>
        <v>10</v>
      </c>
      <c r="Z71">
        <f>_xlfn.IFNA(51-MATCH(Songs!$A71,Data!Q$2:Q$51,0),NA())</f>
        <v>15</v>
      </c>
      <c r="AA71">
        <f>_xlfn.IFNA(51-MATCH(Songs!$A71,Data!R$2:R$51,0),NA())</f>
        <v>15</v>
      </c>
      <c r="AB71" t="e">
        <f>_xlfn.IFNA(51-MATCH(Songs!$A71,Data!S$2:S$51,0),NA())</f>
        <v>#N/A</v>
      </c>
      <c r="AC71" t="e">
        <f>_xlfn.IFNA(51-MATCH(Songs!$A71,Data!T$2:T$51,0),NA())</f>
        <v>#N/A</v>
      </c>
      <c r="AD71" t="e">
        <f>_xlfn.IFNA(51-MATCH(Songs!$A71,Data!U$2:U$51,0),NA())</f>
        <v>#N/A</v>
      </c>
    </row>
    <row r="72" spans="1:30" ht="15.75" customHeight="1" x14ac:dyDescent="0.25">
      <c r="A72" s="6" t="s">
        <v>136</v>
      </c>
      <c r="B72" s="6" t="s">
        <v>142</v>
      </c>
      <c r="F72" s="6">
        <v>0</v>
      </c>
      <c r="G72" s="2">
        <f ca="1">COUNTIF(INDIRECT(_xlfn.CONCAT("Data!$B$2:", ADDRESS(51,COUNTA(Data!$1:$1)+1,1,1))), Songs!A72) + F72</f>
        <v>11</v>
      </c>
      <c r="H72" s="8"/>
      <c r="I72" s="8"/>
      <c r="J72" s="8" cm="1">
        <f t="array" ref="J72">51 - MAX(IF(NOT(ISNA(K72:BB72)),K72:BB72))</f>
        <v>13</v>
      </c>
      <c r="K72" t="e">
        <f>_xlfn.IFNA(51-MATCH(Songs!$A72,Data!B$2:B$51,0),NA())</f>
        <v>#N/A</v>
      </c>
      <c r="L72" t="e">
        <f>_xlfn.IFNA(51-MATCH(Songs!$A72,Data!C$2:C$51,0),NA())</f>
        <v>#N/A</v>
      </c>
      <c r="M72" t="e">
        <f>_xlfn.IFNA(51-MATCH(Songs!$A72,Data!D$2:D$51,0),NA())</f>
        <v>#N/A</v>
      </c>
      <c r="N72" t="e">
        <f>_xlfn.IFNA(51-MATCH(Songs!$A72,Data!E$2:E$51,0),NA())</f>
        <v>#N/A</v>
      </c>
      <c r="O72" t="e">
        <f>_xlfn.IFNA(51-MATCH(Songs!$A72,Data!F$2:F$51,0),NA())</f>
        <v>#N/A</v>
      </c>
      <c r="P72" t="e">
        <f>_xlfn.IFNA(51-MATCH(Songs!$A72,Data!G$2:G$51,0),NA())</f>
        <v>#N/A</v>
      </c>
      <c r="Q72">
        <f>_xlfn.IFNA(51-MATCH(Songs!$A72,Data!H$2:H$51,0),NA())</f>
        <v>38</v>
      </c>
      <c r="R72">
        <f>_xlfn.IFNA(51-MATCH(Songs!$A72,Data!I$2:I$51,0),NA())</f>
        <v>33</v>
      </c>
      <c r="S72">
        <f>_xlfn.IFNA(51-MATCH(Songs!$A72,Data!J$2:J$51,0),NA())</f>
        <v>32</v>
      </c>
      <c r="T72">
        <f>_xlfn.IFNA(51-MATCH(Songs!$A72,Data!K$2:K$51,0),NA())</f>
        <v>28</v>
      </c>
      <c r="U72">
        <f>_xlfn.IFNA(51-MATCH(Songs!$A72,Data!L$2:L$51,0),NA())</f>
        <v>24</v>
      </c>
      <c r="V72">
        <f>_xlfn.IFNA(51-MATCH(Songs!$A72,Data!M$2:M$51,0),NA())</f>
        <v>10</v>
      </c>
      <c r="W72">
        <f>_xlfn.IFNA(51-MATCH(Songs!$A72,Data!N$2:N$51,0),NA())</f>
        <v>12</v>
      </c>
      <c r="X72">
        <f>_xlfn.IFNA(51-MATCH(Songs!$A72,Data!O$2:O$51,0),NA())</f>
        <v>19</v>
      </c>
      <c r="Y72">
        <f>_xlfn.IFNA(51-MATCH(Songs!$A72,Data!P$2:P$51,0),NA())</f>
        <v>20</v>
      </c>
      <c r="Z72">
        <f>_xlfn.IFNA(51-MATCH(Songs!$A72,Data!Q$2:Q$51,0),NA())</f>
        <v>23</v>
      </c>
      <c r="AA72">
        <f>_xlfn.IFNA(51-MATCH(Songs!$A72,Data!R$2:R$51,0),NA())</f>
        <v>23</v>
      </c>
      <c r="AB72" t="e">
        <f>_xlfn.IFNA(51-MATCH(Songs!$A72,Data!S$2:S$51,0),NA())</f>
        <v>#N/A</v>
      </c>
      <c r="AC72" t="e">
        <f>_xlfn.IFNA(51-MATCH(Songs!$A72,Data!T$2:T$51,0),NA())</f>
        <v>#N/A</v>
      </c>
      <c r="AD72" t="e">
        <f>_xlfn.IFNA(51-MATCH(Songs!$A72,Data!U$2:U$51,0),NA())</f>
        <v>#N/A</v>
      </c>
    </row>
    <row r="73" spans="1:30" ht="15.75" customHeight="1" x14ac:dyDescent="0.25">
      <c r="A73" s="6" t="s">
        <v>137</v>
      </c>
      <c r="B73" s="6" t="s">
        <v>143</v>
      </c>
      <c r="F73" s="6">
        <v>0</v>
      </c>
      <c r="G73" s="2">
        <f ca="1">COUNTIF(INDIRECT(_xlfn.CONCAT("Data!$B$2:", ADDRESS(51,COUNTA(Data!$1:$1)+1,1,1))), Songs!A73) + F73</f>
        <v>11</v>
      </c>
      <c r="H73" s="8"/>
      <c r="I73" s="8"/>
      <c r="J73" s="8" cm="1">
        <f t="array" ref="J73">51 - MAX(IF(NOT(ISNA(K73:BB73)),K73:BB73))</f>
        <v>16</v>
      </c>
      <c r="K73" t="e">
        <f>_xlfn.IFNA(51-MATCH(Songs!$A73,Data!B$2:B$51,0),NA())</f>
        <v>#N/A</v>
      </c>
      <c r="L73" t="e">
        <f>_xlfn.IFNA(51-MATCH(Songs!$A73,Data!C$2:C$51,0),NA())</f>
        <v>#N/A</v>
      </c>
      <c r="M73" t="e">
        <f>_xlfn.IFNA(51-MATCH(Songs!$A73,Data!D$2:D$51,0),NA())</f>
        <v>#N/A</v>
      </c>
      <c r="N73" t="e">
        <f>_xlfn.IFNA(51-MATCH(Songs!$A73,Data!E$2:E$51,0),NA())</f>
        <v>#N/A</v>
      </c>
      <c r="O73" t="e">
        <f>_xlfn.IFNA(51-MATCH(Songs!$A73,Data!F$2:F$51,0),NA())</f>
        <v>#N/A</v>
      </c>
      <c r="P73" t="e">
        <f>_xlfn.IFNA(51-MATCH(Songs!$A73,Data!G$2:G$51,0),NA())</f>
        <v>#N/A</v>
      </c>
      <c r="Q73">
        <f>_xlfn.IFNA(51-MATCH(Songs!$A73,Data!H$2:H$51,0),NA())</f>
        <v>29</v>
      </c>
      <c r="R73">
        <f>_xlfn.IFNA(51-MATCH(Songs!$A73,Data!I$2:I$51,0),NA())</f>
        <v>26</v>
      </c>
      <c r="S73">
        <f>_xlfn.IFNA(51-MATCH(Songs!$A73,Data!J$2:J$51,0),NA())</f>
        <v>20</v>
      </c>
      <c r="T73">
        <f>_xlfn.IFNA(51-MATCH(Songs!$A73,Data!K$2:K$51,0),NA())</f>
        <v>25</v>
      </c>
      <c r="U73">
        <f>_xlfn.IFNA(51-MATCH(Songs!$A73,Data!L$2:L$51,0),NA())</f>
        <v>30</v>
      </c>
      <c r="V73">
        <f>_xlfn.IFNA(51-MATCH(Songs!$A73,Data!M$2:M$51,0),NA())</f>
        <v>22</v>
      </c>
      <c r="W73">
        <f>_xlfn.IFNA(51-MATCH(Songs!$A73,Data!N$2:N$51,0),NA())</f>
        <v>35</v>
      </c>
      <c r="X73">
        <f>_xlfn.IFNA(51-MATCH(Songs!$A73,Data!O$2:O$51,0),NA())</f>
        <v>34</v>
      </c>
      <c r="Y73">
        <f>_xlfn.IFNA(51-MATCH(Songs!$A73,Data!P$2:P$51,0),NA())</f>
        <v>34</v>
      </c>
      <c r="Z73">
        <f>_xlfn.IFNA(51-MATCH(Songs!$A73,Data!Q$2:Q$51,0),NA())</f>
        <v>33</v>
      </c>
      <c r="AA73">
        <f>_xlfn.IFNA(51-MATCH(Songs!$A73,Data!R$2:R$51,0),NA())</f>
        <v>33</v>
      </c>
      <c r="AB73" t="e">
        <f>_xlfn.IFNA(51-MATCH(Songs!$A73,Data!S$2:S$51,0),NA())</f>
        <v>#N/A</v>
      </c>
      <c r="AC73" t="e">
        <f>_xlfn.IFNA(51-MATCH(Songs!$A73,Data!T$2:T$51,0),NA())</f>
        <v>#N/A</v>
      </c>
      <c r="AD73" t="e">
        <f>_xlfn.IFNA(51-MATCH(Songs!$A73,Data!U$2:U$51,0),NA())</f>
        <v>#N/A</v>
      </c>
    </row>
    <row r="74" spans="1:30" ht="15.75" customHeight="1" x14ac:dyDescent="0.25">
      <c r="A74" s="6" t="s">
        <v>140</v>
      </c>
      <c r="B74" s="6" t="s">
        <v>144</v>
      </c>
      <c r="F74" s="6">
        <v>0</v>
      </c>
      <c r="G74" s="2">
        <f ca="1">COUNTIF(INDIRECT(_xlfn.CONCAT("Data!$B$2:", ADDRESS(51,COUNTA(Data!$1:$1)+1,1,1))), Songs!A74) + F74</f>
        <v>1</v>
      </c>
      <c r="H74" s="8"/>
      <c r="I74" s="8"/>
      <c r="J74" s="8" cm="1">
        <f t="array" ref="J74">51 - MAX(IF(NOT(ISNA(K74:BB74)),K74:BB74))</f>
        <v>49</v>
      </c>
      <c r="K74" t="e">
        <f>_xlfn.IFNA(51-MATCH(Songs!$A74,Data!B$2:B$51,0),NA())</f>
        <v>#N/A</v>
      </c>
      <c r="L74" t="e">
        <f>_xlfn.IFNA(51-MATCH(Songs!$A74,Data!C$2:C$51,0),NA())</f>
        <v>#N/A</v>
      </c>
      <c r="M74" t="e">
        <f>_xlfn.IFNA(51-MATCH(Songs!$A74,Data!D$2:D$51,0),NA())</f>
        <v>#N/A</v>
      </c>
      <c r="N74" t="e">
        <f>_xlfn.IFNA(51-MATCH(Songs!$A74,Data!E$2:E$51,0),NA())</f>
        <v>#N/A</v>
      </c>
      <c r="O74" t="e">
        <f>_xlfn.IFNA(51-MATCH(Songs!$A74,Data!F$2:F$51,0),NA())</f>
        <v>#N/A</v>
      </c>
      <c r="P74" t="e">
        <f>_xlfn.IFNA(51-MATCH(Songs!$A74,Data!G$2:G$51,0),NA())</f>
        <v>#N/A</v>
      </c>
      <c r="Q74">
        <f>_xlfn.IFNA(51-MATCH(Songs!$A74,Data!H$2:H$51,0),NA())</f>
        <v>2</v>
      </c>
      <c r="R74" t="e">
        <f>_xlfn.IFNA(51-MATCH(Songs!$A74,Data!I$2:I$51,0),NA())</f>
        <v>#N/A</v>
      </c>
      <c r="S74" t="e">
        <f>_xlfn.IFNA(51-MATCH(Songs!$A74,Data!J$2:J$51,0),NA())</f>
        <v>#N/A</v>
      </c>
      <c r="T74" t="e">
        <f>_xlfn.IFNA(51-MATCH(Songs!$A74,Data!K$2:K$51,0),NA())</f>
        <v>#N/A</v>
      </c>
      <c r="U74" t="e">
        <f>_xlfn.IFNA(51-MATCH(Songs!$A74,Data!L$2:L$51,0),NA())</f>
        <v>#N/A</v>
      </c>
      <c r="V74" t="e">
        <f>_xlfn.IFNA(51-MATCH(Songs!$A74,Data!M$2:M$51,0),NA())</f>
        <v>#N/A</v>
      </c>
      <c r="W74" t="e">
        <f>_xlfn.IFNA(51-MATCH(Songs!$A74,Data!N$2:N$51,0),NA())</f>
        <v>#N/A</v>
      </c>
      <c r="X74" t="e">
        <f>_xlfn.IFNA(51-MATCH(Songs!$A74,Data!O$2:O$51,0),NA())</f>
        <v>#N/A</v>
      </c>
      <c r="Y74" t="e">
        <f>_xlfn.IFNA(51-MATCH(Songs!$A74,Data!P$2:P$51,0),NA())</f>
        <v>#N/A</v>
      </c>
      <c r="Z74" t="e">
        <f>_xlfn.IFNA(51-MATCH(Songs!$A74,Data!Q$2:Q$51,0),NA())</f>
        <v>#N/A</v>
      </c>
      <c r="AA74" t="e">
        <f>_xlfn.IFNA(51-MATCH(Songs!$A74,Data!R$2:R$51,0),NA())</f>
        <v>#N/A</v>
      </c>
      <c r="AB74" t="e">
        <f>_xlfn.IFNA(51-MATCH(Songs!$A74,Data!S$2:S$51,0),NA())</f>
        <v>#N/A</v>
      </c>
      <c r="AC74" t="e">
        <f>_xlfn.IFNA(51-MATCH(Songs!$A74,Data!T$2:T$51,0),NA())</f>
        <v>#N/A</v>
      </c>
      <c r="AD74" t="e">
        <f>_xlfn.IFNA(51-MATCH(Songs!$A74,Data!U$2:U$51,0),NA())</f>
        <v>#N/A</v>
      </c>
    </row>
    <row r="75" spans="1:30" ht="15.75" customHeight="1" x14ac:dyDescent="0.25">
      <c r="A75" s="6" t="s">
        <v>145</v>
      </c>
      <c r="B75" s="6" t="s">
        <v>149</v>
      </c>
      <c r="F75" s="6">
        <v>0</v>
      </c>
      <c r="G75" s="2">
        <f ca="1">COUNTIF(INDIRECT(_xlfn.CONCAT("Data!$B$2:", ADDRESS(51,COUNTA(Data!$1:$1)+1,1,1))), Songs!A75) + F75</f>
        <v>10</v>
      </c>
      <c r="H75" s="8"/>
      <c r="I75" s="8"/>
      <c r="J75" s="8" cm="1">
        <f t="array" ref="J75">51 - MAX(IF(NOT(ISNA(K75:BB75)),K75:BB75))</f>
        <v>3</v>
      </c>
      <c r="K75" t="e">
        <f>_xlfn.IFNA(51-MATCH(Songs!$A75,Data!B$2:B$51,0),NA())</f>
        <v>#N/A</v>
      </c>
      <c r="L75" t="e">
        <f>_xlfn.IFNA(51-MATCH(Songs!$A75,Data!C$2:C$51,0),NA())</f>
        <v>#N/A</v>
      </c>
      <c r="M75" t="e">
        <f>_xlfn.IFNA(51-MATCH(Songs!$A75,Data!D$2:D$51,0),NA())</f>
        <v>#N/A</v>
      </c>
      <c r="N75" t="e">
        <f>_xlfn.IFNA(51-MATCH(Songs!$A75,Data!E$2:E$51,0),NA())</f>
        <v>#N/A</v>
      </c>
      <c r="O75" t="e">
        <f>_xlfn.IFNA(51-MATCH(Songs!$A75,Data!F$2:F$51,0),NA())</f>
        <v>#N/A</v>
      </c>
      <c r="P75" t="e">
        <f>_xlfn.IFNA(51-MATCH(Songs!$A75,Data!G$2:G$51,0),NA())</f>
        <v>#N/A</v>
      </c>
      <c r="Q75" t="e">
        <f>_xlfn.IFNA(51-MATCH(Songs!$A75,Data!H$2:H$51,0),NA())</f>
        <v>#N/A</v>
      </c>
      <c r="R75">
        <f>_xlfn.IFNA(51-MATCH(Songs!$A75,Data!I$2:I$51,0),NA())</f>
        <v>20</v>
      </c>
      <c r="S75">
        <f>_xlfn.IFNA(51-MATCH(Songs!$A75,Data!J$2:J$51,0),NA())</f>
        <v>34</v>
      </c>
      <c r="T75">
        <f>_xlfn.IFNA(51-MATCH(Songs!$A75,Data!K$2:K$51,0),NA())</f>
        <v>36</v>
      </c>
      <c r="U75">
        <f>_xlfn.IFNA(51-MATCH(Songs!$A75,Data!L$2:L$51,0),NA())</f>
        <v>40</v>
      </c>
      <c r="V75">
        <f>_xlfn.IFNA(51-MATCH(Songs!$A75,Data!M$2:M$51,0),NA())</f>
        <v>33</v>
      </c>
      <c r="W75">
        <f>_xlfn.IFNA(51-MATCH(Songs!$A75,Data!N$2:N$51,0),NA())</f>
        <v>46</v>
      </c>
      <c r="X75">
        <f>_xlfn.IFNA(51-MATCH(Songs!$A75,Data!O$2:O$51,0),NA())</f>
        <v>48</v>
      </c>
      <c r="Y75">
        <f>_xlfn.IFNA(51-MATCH(Songs!$A75,Data!P$2:P$51,0),NA())</f>
        <v>47</v>
      </c>
      <c r="Z75">
        <f>_xlfn.IFNA(51-MATCH(Songs!$A75,Data!Q$2:Q$51,0),NA())</f>
        <v>46</v>
      </c>
      <c r="AA75">
        <f>_xlfn.IFNA(51-MATCH(Songs!$A75,Data!R$2:R$51,0),NA())</f>
        <v>48</v>
      </c>
      <c r="AB75" t="e">
        <f>_xlfn.IFNA(51-MATCH(Songs!$A75,Data!S$2:S$51,0),NA())</f>
        <v>#N/A</v>
      </c>
      <c r="AC75" t="e">
        <f>_xlfn.IFNA(51-MATCH(Songs!$A75,Data!T$2:T$51,0),NA())</f>
        <v>#N/A</v>
      </c>
      <c r="AD75" t="e">
        <f>_xlfn.IFNA(51-MATCH(Songs!$A75,Data!U$2:U$51,0),NA())</f>
        <v>#N/A</v>
      </c>
    </row>
    <row r="76" spans="1:30" ht="15.75" customHeight="1" x14ac:dyDescent="0.25">
      <c r="A76" s="6" t="s">
        <v>146</v>
      </c>
      <c r="B76" s="6" t="s">
        <v>150</v>
      </c>
      <c r="F76" s="6">
        <v>0</v>
      </c>
      <c r="G76" s="2">
        <f ca="1">COUNTIF(INDIRECT(_xlfn.CONCAT("Data!$B$2:", ADDRESS(51,COUNTA(Data!$1:$1)+1,1,1))), Songs!A76) + F76</f>
        <v>1</v>
      </c>
      <c r="H76" s="8"/>
      <c r="I76" s="8"/>
      <c r="J76" s="8" cm="1">
        <f t="array" ref="J76">51 - MAX(IF(NOT(ISNA(K76:BB76)),K76:BB76))</f>
        <v>40</v>
      </c>
      <c r="K76" t="e">
        <f>_xlfn.IFNA(51-MATCH(Songs!$A76,Data!B$2:B$51,0),NA())</f>
        <v>#N/A</v>
      </c>
      <c r="L76" t="e">
        <f>_xlfn.IFNA(51-MATCH(Songs!$A76,Data!C$2:C$51,0),NA())</f>
        <v>#N/A</v>
      </c>
      <c r="M76" t="e">
        <f>_xlfn.IFNA(51-MATCH(Songs!$A76,Data!D$2:D$51,0),NA())</f>
        <v>#N/A</v>
      </c>
      <c r="N76" t="e">
        <f>_xlfn.IFNA(51-MATCH(Songs!$A76,Data!E$2:E$51,0),NA())</f>
        <v>#N/A</v>
      </c>
      <c r="O76" t="e">
        <f>_xlfn.IFNA(51-MATCH(Songs!$A76,Data!F$2:F$51,0),NA())</f>
        <v>#N/A</v>
      </c>
      <c r="P76" t="e">
        <f>_xlfn.IFNA(51-MATCH(Songs!$A76,Data!G$2:G$51,0),NA())</f>
        <v>#N/A</v>
      </c>
      <c r="Q76" t="e">
        <f>_xlfn.IFNA(51-MATCH(Songs!$A76,Data!H$2:H$51,0),NA())</f>
        <v>#N/A</v>
      </c>
      <c r="R76">
        <f>_xlfn.IFNA(51-MATCH(Songs!$A76,Data!I$2:I$51,0),NA())</f>
        <v>11</v>
      </c>
      <c r="S76" t="e">
        <f>_xlfn.IFNA(51-MATCH(Songs!$A76,Data!J$2:J$51,0),NA())</f>
        <v>#N/A</v>
      </c>
      <c r="T76" t="e">
        <f>_xlfn.IFNA(51-MATCH(Songs!$A76,Data!K$2:K$51,0),NA())</f>
        <v>#N/A</v>
      </c>
      <c r="U76" t="e">
        <f>_xlfn.IFNA(51-MATCH(Songs!$A76,Data!L$2:L$51,0),NA())</f>
        <v>#N/A</v>
      </c>
      <c r="V76" t="e">
        <f>_xlfn.IFNA(51-MATCH(Songs!$A76,Data!M$2:M$51,0),NA())</f>
        <v>#N/A</v>
      </c>
      <c r="W76" t="e">
        <f>_xlfn.IFNA(51-MATCH(Songs!$A76,Data!N$2:N$51,0),NA())</f>
        <v>#N/A</v>
      </c>
      <c r="X76" t="e">
        <f>_xlfn.IFNA(51-MATCH(Songs!$A76,Data!O$2:O$51,0),NA())</f>
        <v>#N/A</v>
      </c>
      <c r="Y76" t="e">
        <f>_xlfn.IFNA(51-MATCH(Songs!$A76,Data!P$2:P$51,0),NA())</f>
        <v>#N/A</v>
      </c>
      <c r="Z76" t="e">
        <f>_xlfn.IFNA(51-MATCH(Songs!$A76,Data!Q$2:Q$51,0),NA())</f>
        <v>#N/A</v>
      </c>
      <c r="AA76" t="e">
        <f>_xlfn.IFNA(51-MATCH(Songs!$A76,Data!R$2:R$51,0),NA())</f>
        <v>#N/A</v>
      </c>
      <c r="AB76" t="e">
        <f>_xlfn.IFNA(51-MATCH(Songs!$A76,Data!S$2:S$51,0),NA())</f>
        <v>#N/A</v>
      </c>
      <c r="AC76" t="e">
        <f>_xlfn.IFNA(51-MATCH(Songs!$A76,Data!T$2:T$51,0),NA())</f>
        <v>#N/A</v>
      </c>
      <c r="AD76" t="e">
        <f>_xlfn.IFNA(51-MATCH(Songs!$A76,Data!U$2:U$51,0),NA())</f>
        <v>#N/A</v>
      </c>
    </row>
    <row r="77" spans="1:30" ht="15.75" customHeight="1" x14ac:dyDescent="0.25">
      <c r="A77" s="6" t="s">
        <v>147</v>
      </c>
      <c r="B77" s="2" t="s">
        <v>75</v>
      </c>
      <c r="F77" s="6">
        <v>0</v>
      </c>
      <c r="G77" s="2">
        <f ca="1">COUNTIF(INDIRECT(_xlfn.CONCAT("Data!$B$2:", ADDRESS(51,COUNTA(Data!$1:$1)+1,1,1))), Songs!A77) + F77</f>
        <v>3</v>
      </c>
      <c r="H77" s="8"/>
      <c r="I77" s="8"/>
      <c r="J77" s="8" cm="1">
        <f t="array" ref="J77">51 - MAX(IF(NOT(ISNA(K77:BB77)),K77:BB77))</f>
        <v>29</v>
      </c>
      <c r="K77" t="e">
        <f>_xlfn.IFNA(51-MATCH(Songs!$A77,Data!B$2:B$51,0),NA())</f>
        <v>#N/A</v>
      </c>
      <c r="L77" t="e">
        <f>_xlfn.IFNA(51-MATCH(Songs!$A77,Data!C$2:C$51,0),NA())</f>
        <v>#N/A</v>
      </c>
      <c r="M77" t="e">
        <f>_xlfn.IFNA(51-MATCH(Songs!$A77,Data!D$2:D$51,0),NA())</f>
        <v>#N/A</v>
      </c>
      <c r="N77" t="e">
        <f>_xlfn.IFNA(51-MATCH(Songs!$A77,Data!E$2:E$51,0),NA())</f>
        <v>#N/A</v>
      </c>
      <c r="O77" t="e">
        <f>_xlfn.IFNA(51-MATCH(Songs!$A77,Data!F$2:F$51,0),NA())</f>
        <v>#N/A</v>
      </c>
      <c r="P77" t="e">
        <f>_xlfn.IFNA(51-MATCH(Songs!$A77,Data!G$2:G$51,0),NA())</f>
        <v>#N/A</v>
      </c>
      <c r="Q77" t="e">
        <f>_xlfn.IFNA(51-MATCH(Songs!$A77,Data!H$2:H$51,0),NA())</f>
        <v>#N/A</v>
      </c>
      <c r="R77">
        <f>_xlfn.IFNA(51-MATCH(Songs!$A77,Data!I$2:I$51,0),NA())</f>
        <v>10</v>
      </c>
      <c r="S77" t="e">
        <f>_xlfn.IFNA(51-MATCH(Songs!$A77,Data!J$2:J$51,0),NA())</f>
        <v>#N/A</v>
      </c>
      <c r="T77">
        <f>_xlfn.IFNA(51-MATCH(Songs!$A77,Data!K$2:K$51,0),NA())</f>
        <v>22</v>
      </c>
      <c r="U77">
        <f>_xlfn.IFNA(51-MATCH(Songs!$A77,Data!L$2:L$51,0),NA())</f>
        <v>12</v>
      </c>
      <c r="V77" t="e">
        <f>_xlfn.IFNA(51-MATCH(Songs!$A77,Data!M$2:M$51,0),NA())</f>
        <v>#N/A</v>
      </c>
      <c r="W77" t="e">
        <f>_xlfn.IFNA(51-MATCH(Songs!$A77,Data!N$2:N$51,0),NA())</f>
        <v>#N/A</v>
      </c>
      <c r="X77" t="e">
        <f>_xlfn.IFNA(51-MATCH(Songs!$A77,Data!O$2:O$51,0),NA())</f>
        <v>#N/A</v>
      </c>
      <c r="Y77" t="e">
        <f>_xlfn.IFNA(51-MATCH(Songs!$A77,Data!P$2:P$51,0),NA())</f>
        <v>#N/A</v>
      </c>
      <c r="Z77" t="e">
        <f>_xlfn.IFNA(51-MATCH(Songs!$A77,Data!Q$2:Q$51,0),NA())</f>
        <v>#N/A</v>
      </c>
      <c r="AA77" t="e">
        <f>_xlfn.IFNA(51-MATCH(Songs!$A77,Data!R$2:R$51,0),NA())</f>
        <v>#N/A</v>
      </c>
      <c r="AB77" t="e">
        <f>_xlfn.IFNA(51-MATCH(Songs!$A77,Data!S$2:S$51,0),NA())</f>
        <v>#N/A</v>
      </c>
      <c r="AC77" t="e">
        <f>_xlfn.IFNA(51-MATCH(Songs!$A77,Data!T$2:T$51,0),NA())</f>
        <v>#N/A</v>
      </c>
      <c r="AD77" t="e">
        <f>_xlfn.IFNA(51-MATCH(Songs!$A77,Data!U$2:U$51,0),NA())</f>
        <v>#N/A</v>
      </c>
    </row>
    <row r="78" spans="1:30" ht="15.75" customHeight="1" x14ac:dyDescent="0.25">
      <c r="A78" s="6" t="s">
        <v>148</v>
      </c>
      <c r="B78" s="6" t="s">
        <v>151</v>
      </c>
      <c r="C78" t="s">
        <v>207</v>
      </c>
      <c r="F78" s="6">
        <v>0</v>
      </c>
      <c r="G78" s="2">
        <f ca="1">COUNTIF(INDIRECT(_xlfn.CONCAT("Data!$B$2:", ADDRESS(51,COUNTA(Data!$1:$1)+1,1,1))), Songs!A78) + F78</f>
        <v>1</v>
      </c>
      <c r="H78" s="8"/>
      <c r="I78" s="8"/>
      <c r="J78" s="8" cm="1">
        <f t="array" ref="J78">51 - MAX(IF(NOT(ISNA(K78:BB78)),K78:BB78))</f>
        <v>48</v>
      </c>
      <c r="K78" t="e">
        <f>_xlfn.IFNA(51-MATCH(Songs!$A78,Data!B$2:B$51,0),NA())</f>
        <v>#N/A</v>
      </c>
      <c r="L78" t="e">
        <f>_xlfn.IFNA(51-MATCH(Songs!$A78,Data!C$2:C$51,0),NA())</f>
        <v>#N/A</v>
      </c>
      <c r="M78" t="e">
        <f>_xlfn.IFNA(51-MATCH(Songs!$A78,Data!D$2:D$51,0),NA())</f>
        <v>#N/A</v>
      </c>
      <c r="N78" t="e">
        <f>_xlfn.IFNA(51-MATCH(Songs!$A78,Data!E$2:E$51,0),NA())</f>
        <v>#N/A</v>
      </c>
      <c r="O78" t="e">
        <f>_xlfn.IFNA(51-MATCH(Songs!$A78,Data!F$2:F$51,0),NA())</f>
        <v>#N/A</v>
      </c>
      <c r="P78" t="e">
        <f>_xlfn.IFNA(51-MATCH(Songs!$A78,Data!G$2:G$51,0),NA())</f>
        <v>#N/A</v>
      </c>
      <c r="Q78" t="e">
        <f>_xlfn.IFNA(51-MATCH(Songs!$A78,Data!H$2:H$51,0),NA())</f>
        <v>#N/A</v>
      </c>
      <c r="R78">
        <f>_xlfn.IFNA(51-MATCH(Songs!$A78,Data!I$2:I$51,0),NA())</f>
        <v>3</v>
      </c>
      <c r="S78" t="e">
        <f>_xlfn.IFNA(51-MATCH(Songs!$A78,Data!J$2:J$51,0),NA())</f>
        <v>#N/A</v>
      </c>
      <c r="T78" t="e">
        <f>_xlfn.IFNA(51-MATCH(Songs!$A78,Data!K$2:K$51,0),NA())</f>
        <v>#N/A</v>
      </c>
      <c r="U78" t="e">
        <f>_xlfn.IFNA(51-MATCH(Songs!$A78,Data!L$2:L$51,0),NA())</f>
        <v>#N/A</v>
      </c>
      <c r="V78" t="e">
        <f>_xlfn.IFNA(51-MATCH(Songs!$A78,Data!M$2:M$51,0),NA())</f>
        <v>#N/A</v>
      </c>
      <c r="W78" t="e">
        <f>_xlfn.IFNA(51-MATCH(Songs!$A78,Data!N$2:N$51,0),NA())</f>
        <v>#N/A</v>
      </c>
      <c r="X78" t="e">
        <f>_xlfn.IFNA(51-MATCH(Songs!$A78,Data!O$2:O$51,0),NA())</f>
        <v>#N/A</v>
      </c>
      <c r="Y78" t="e">
        <f>_xlfn.IFNA(51-MATCH(Songs!$A78,Data!P$2:P$51,0),NA())</f>
        <v>#N/A</v>
      </c>
      <c r="Z78" t="e">
        <f>_xlfn.IFNA(51-MATCH(Songs!$A78,Data!Q$2:Q$51,0),NA())</f>
        <v>#N/A</v>
      </c>
      <c r="AA78" t="e">
        <f>_xlfn.IFNA(51-MATCH(Songs!$A78,Data!R$2:R$51,0),NA())</f>
        <v>#N/A</v>
      </c>
      <c r="AB78" t="e">
        <f>_xlfn.IFNA(51-MATCH(Songs!$A78,Data!S$2:S$51,0),NA())</f>
        <v>#N/A</v>
      </c>
      <c r="AC78" t="e">
        <f>_xlfn.IFNA(51-MATCH(Songs!$A78,Data!T$2:T$51,0),NA())</f>
        <v>#N/A</v>
      </c>
      <c r="AD78" t="e">
        <f>_xlfn.IFNA(51-MATCH(Songs!$A78,Data!U$2:U$51,0),NA())</f>
        <v>#N/A</v>
      </c>
    </row>
    <row r="79" spans="1:30" ht="15.75" customHeight="1" x14ac:dyDescent="0.25">
      <c r="A79" s="6" t="s">
        <v>153</v>
      </c>
      <c r="B79" s="6" t="s">
        <v>156</v>
      </c>
      <c r="F79" s="6">
        <v>0</v>
      </c>
      <c r="G79" s="2">
        <f ca="1">COUNTIF(INDIRECT(_xlfn.CONCAT("Data!$B$2:", ADDRESS(51,COUNTA(Data!$1:$1)+1,1,1))), Songs!A79) + F79</f>
        <v>3</v>
      </c>
      <c r="H79" s="8"/>
      <c r="I79" s="8"/>
      <c r="J79" s="8" cm="1">
        <f t="array" ref="J79">51 - MAX(IF(NOT(ISNA(K79:BB79)),K79:BB79))</f>
        <v>29</v>
      </c>
      <c r="K79" t="e">
        <f>_xlfn.IFNA(51-MATCH(Songs!$A79,Data!B$2:B$51,0),NA())</f>
        <v>#N/A</v>
      </c>
      <c r="L79" t="e">
        <f>_xlfn.IFNA(51-MATCH(Songs!$A79,Data!C$2:C$51,0),NA())</f>
        <v>#N/A</v>
      </c>
      <c r="M79" t="e">
        <f>_xlfn.IFNA(51-MATCH(Songs!$A79,Data!D$2:D$51,0),NA())</f>
        <v>#N/A</v>
      </c>
      <c r="N79" t="e">
        <f>_xlfn.IFNA(51-MATCH(Songs!$A79,Data!E$2:E$51,0),NA())</f>
        <v>#N/A</v>
      </c>
      <c r="O79" t="e">
        <f>_xlfn.IFNA(51-MATCH(Songs!$A79,Data!F$2:F$51,0),NA())</f>
        <v>#N/A</v>
      </c>
      <c r="P79" t="e">
        <f>_xlfn.IFNA(51-MATCH(Songs!$A79,Data!G$2:G$51,0),NA())</f>
        <v>#N/A</v>
      </c>
      <c r="Q79" t="e">
        <f>_xlfn.IFNA(51-MATCH(Songs!$A79,Data!H$2:H$51,0),NA())</f>
        <v>#N/A</v>
      </c>
      <c r="R79" t="e">
        <f>_xlfn.IFNA(51-MATCH(Songs!$A79,Data!I$2:I$51,0),NA())</f>
        <v>#N/A</v>
      </c>
      <c r="S79">
        <f>_xlfn.IFNA(51-MATCH(Songs!$A79,Data!J$2:J$51,0),NA())</f>
        <v>22</v>
      </c>
      <c r="T79">
        <f>_xlfn.IFNA(51-MATCH(Songs!$A79,Data!K$2:K$51,0),NA())</f>
        <v>8</v>
      </c>
      <c r="U79">
        <f>_xlfn.IFNA(51-MATCH(Songs!$A79,Data!L$2:L$51,0),NA())</f>
        <v>2</v>
      </c>
      <c r="V79" t="e">
        <f>_xlfn.IFNA(51-MATCH(Songs!$A79,Data!M$2:M$51,0),NA())</f>
        <v>#N/A</v>
      </c>
      <c r="W79" t="e">
        <f>_xlfn.IFNA(51-MATCH(Songs!$A79,Data!N$2:N$51,0),NA())</f>
        <v>#N/A</v>
      </c>
      <c r="X79" t="e">
        <f>_xlfn.IFNA(51-MATCH(Songs!$A79,Data!O$2:O$51,0),NA())</f>
        <v>#N/A</v>
      </c>
      <c r="Y79" t="e">
        <f>_xlfn.IFNA(51-MATCH(Songs!$A79,Data!P$2:P$51,0),NA())</f>
        <v>#N/A</v>
      </c>
      <c r="Z79" t="e">
        <f>_xlfn.IFNA(51-MATCH(Songs!$A79,Data!Q$2:Q$51,0),NA())</f>
        <v>#N/A</v>
      </c>
      <c r="AA79" t="e">
        <f>_xlfn.IFNA(51-MATCH(Songs!$A79,Data!R$2:R$51,0),NA())</f>
        <v>#N/A</v>
      </c>
      <c r="AB79" t="e">
        <f>_xlfn.IFNA(51-MATCH(Songs!$A79,Data!S$2:S$51,0),NA())</f>
        <v>#N/A</v>
      </c>
      <c r="AC79" t="e">
        <f>_xlfn.IFNA(51-MATCH(Songs!$A79,Data!T$2:T$51,0),NA())</f>
        <v>#N/A</v>
      </c>
      <c r="AD79" t="e">
        <f>_xlfn.IFNA(51-MATCH(Songs!$A79,Data!U$2:U$51,0),NA())</f>
        <v>#N/A</v>
      </c>
    </row>
    <row r="80" spans="1:30" ht="15.75" customHeight="1" x14ac:dyDescent="0.25">
      <c r="A80" s="6" t="s">
        <v>154</v>
      </c>
      <c r="B80" s="6" t="s">
        <v>157</v>
      </c>
      <c r="F80" s="6">
        <v>0</v>
      </c>
      <c r="G80" s="2">
        <f ca="1">COUNTIF(INDIRECT(_xlfn.CONCAT("Data!$B$2:", ADDRESS(51,COUNTA(Data!$1:$1)+1,1,1))), Songs!A80) + F80</f>
        <v>9</v>
      </c>
      <c r="H80" s="8"/>
      <c r="I80" s="8"/>
      <c r="J80" s="8" cm="1">
        <f t="array" ref="J80">51 - MAX(IF(NOT(ISNA(K80:BB80)),K80:BB80))</f>
        <v>22</v>
      </c>
      <c r="K80" t="e">
        <f>_xlfn.IFNA(51-MATCH(Songs!$A80,Data!B$2:B$51,0),NA())</f>
        <v>#N/A</v>
      </c>
      <c r="L80" t="e">
        <f>_xlfn.IFNA(51-MATCH(Songs!$A80,Data!C$2:C$51,0),NA())</f>
        <v>#N/A</v>
      </c>
      <c r="M80" t="e">
        <f>_xlfn.IFNA(51-MATCH(Songs!$A80,Data!D$2:D$51,0),NA())</f>
        <v>#N/A</v>
      </c>
      <c r="N80" t="e">
        <f>_xlfn.IFNA(51-MATCH(Songs!$A80,Data!E$2:E$51,0),NA())</f>
        <v>#N/A</v>
      </c>
      <c r="O80" t="e">
        <f>_xlfn.IFNA(51-MATCH(Songs!$A80,Data!F$2:F$51,0),NA())</f>
        <v>#N/A</v>
      </c>
      <c r="P80" t="e">
        <f>_xlfn.IFNA(51-MATCH(Songs!$A80,Data!G$2:G$51,0),NA())</f>
        <v>#N/A</v>
      </c>
      <c r="Q80" t="e">
        <f>_xlfn.IFNA(51-MATCH(Songs!$A80,Data!H$2:H$51,0),NA())</f>
        <v>#N/A</v>
      </c>
      <c r="R80" t="e">
        <f>_xlfn.IFNA(51-MATCH(Songs!$A80,Data!I$2:I$51,0),NA())</f>
        <v>#N/A</v>
      </c>
      <c r="S80">
        <f>_xlfn.IFNA(51-MATCH(Songs!$A80,Data!J$2:J$51,0),NA())</f>
        <v>13</v>
      </c>
      <c r="T80">
        <f>_xlfn.IFNA(51-MATCH(Songs!$A80,Data!K$2:K$51,0),NA())</f>
        <v>15</v>
      </c>
      <c r="U80">
        <f>_xlfn.IFNA(51-MATCH(Songs!$A80,Data!L$2:L$51,0),NA())</f>
        <v>29</v>
      </c>
      <c r="V80">
        <f>_xlfn.IFNA(51-MATCH(Songs!$A80,Data!M$2:M$51,0),NA())</f>
        <v>12</v>
      </c>
      <c r="W80">
        <f>_xlfn.IFNA(51-MATCH(Songs!$A80,Data!N$2:N$51,0),NA())</f>
        <v>14</v>
      </c>
      <c r="X80">
        <f>_xlfn.IFNA(51-MATCH(Songs!$A80,Data!O$2:O$51,0),NA())</f>
        <v>21</v>
      </c>
      <c r="Y80">
        <f>_xlfn.IFNA(51-MATCH(Songs!$A80,Data!P$2:P$51,0),NA())</f>
        <v>23</v>
      </c>
      <c r="Z80">
        <f>_xlfn.IFNA(51-MATCH(Songs!$A80,Data!Q$2:Q$51,0),NA())</f>
        <v>24</v>
      </c>
      <c r="AA80">
        <f>_xlfn.IFNA(51-MATCH(Songs!$A80,Data!R$2:R$51,0),NA())</f>
        <v>21</v>
      </c>
      <c r="AB80" t="e">
        <f>_xlfn.IFNA(51-MATCH(Songs!$A80,Data!S$2:S$51,0),NA())</f>
        <v>#N/A</v>
      </c>
      <c r="AC80" t="e">
        <f>_xlfn.IFNA(51-MATCH(Songs!$A80,Data!T$2:T$51,0),NA())</f>
        <v>#N/A</v>
      </c>
      <c r="AD80" t="e">
        <f>_xlfn.IFNA(51-MATCH(Songs!$A80,Data!U$2:U$51,0),NA())</f>
        <v>#N/A</v>
      </c>
    </row>
    <row r="81" spans="1:30" ht="15.75" customHeight="1" x14ac:dyDescent="0.25">
      <c r="A81" s="6" t="s">
        <v>155</v>
      </c>
      <c r="B81" s="6" t="s">
        <v>74</v>
      </c>
      <c r="F81" s="6">
        <v>3</v>
      </c>
      <c r="G81" s="2">
        <f ca="1">COUNTIF(INDIRECT(_xlfn.CONCAT("Data!$B$2:", ADDRESS(51,COUNTA(Data!$1:$1)+1,1,1))), Songs!A81) + F81</f>
        <v>9</v>
      </c>
      <c r="H81" s="8"/>
      <c r="I81" s="8"/>
      <c r="J81" s="8" cm="1">
        <f t="array" ref="J81">51 - MAX(IF(NOT(ISNA(K81:BB81)),K81:BB81))</f>
        <v>38</v>
      </c>
      <c r="K81" t="e">
        <f>_xlfn.IFNA(51-MATCH(Songs!$A81,Data!B$2:B$51,0),NA())</f>
        <v>#N/A</v>
      </c>
      <c r="L81" t="e">
        <f>_xlfn.IFNA(51-MATCH(Songs!$A81,Data!C$2:C$51,0),NA())</f>
        <v>#N/A</v>
      </c>
      <c r="M81" t="e">
        <f>_xlfn.IFNA(51-MATCH(Songs!$A81,Data!D$2:D$51,0),NA())</f>
        <v>#N/A</v>
      </c>
      <c r="N81" t="e">
        <f>_xlfn.IFNA(51-MATCH(Songs!$A81,Data!E$2:E$51,0),NA())</f>
        <v>#N/A</v>
      </c>
      <c r="O81" t="e">
        <f>_xlfn.IFNA(51-MATCH(Songs!$A81,Data!F$2:F$51,0),NA())</f>
        <v>#N/A</v>
      </c>
      <c r="P81" t="e">
        <f>_xlfn.IFNA(51-MATCH(Songs!$A81,Data!G$2:G$51,0),NA())</f>
        <v>#N/A</v>
      </c>
      <c r="Q81" t="e">
        <f>_xlfn.IFNA(51-MATCH(Songs!$A81,Data!H$2:H$51,0),NA())</f>
        <v>#N/A</v>
      </c>
      <c r="R81" t="e">
        <f>_xlfn.IFNA(51-MATCH(Songs!$A81,Data!I$2:I$51,0),NA())</f>
        <v>#N/A</v>
      </c>
      <c r="S81">
        <f>_xlfn.IFNA(51-MATCH(Songs!$A81,Data!J$2:J$51,0),NA())</f>
        <v>2</v>
      </c>
      <c r="T81" t="e">
        <f>_xlfn.IFNA(51-MATCH(Songs!$A81,Data!K$2:K$51,0),NA())</f>
        <v>#N/A</v>
      </c>
      <c r="U81">
        <f>_xlfn.IFNA(51-MATCH(Songs!$A81,Data!L$2:L$51,0),NA())</f>
        <v>4</v>
      </c>
      <c r="V81" t="e">
        <f>_xlfn.IFNA(51-MATCH(Songs!$A81,Data!M$2:M$51,0),NA())</f>
        <v>#N/A</v>
      </c>
      <c r="W81" t="e">
        <f>_xlfn.IFNA(51-MATCH(Songs!$A81,Data!N$2:N$51,0),NA())</f>
        <v>#N/A</v>
      </c>
      <c r="X81">
        <f>_xlfn.IFNA(51-MATCH(Songs!$A81,Data!O$2:O$51,0),NA())</f>
        <v>1</v>
      </c>
      <c r="Y81">
        <f>_xlfn.IFNA(51-MATCH(Songs!$A81,Data!P$2:P$51,0),NA())</f>
        <v>2</v>
      </c>
      <c r="Z81">
        <f>_xlfn.IFNA(51-MATCH(Songs!$A81,Data!Q$2:Q$51,0),NA())</f>
        <v>11</v>
      </c>
      <c r="AA81">
        <f>_xlfn.IFNA(51-MATCH(Songs!$A81,Data!R$2:R$51,0),NA())</f>
        <v>13</v>
      </c>
      <c r="AB81" t="e">
        <f>_xlfn.IFNA(51-MATCH(Songs!$A81,Data!S$2:S$51,0),NA())</f>
        <v>#N/A</v>
      </c>
      <c r="AC81" t="e">
        <f>_xlfn.IFNA(51-MATCH(Songs!$A81,Data!T$2:T$51,0),NA())</f>
        <v>#N/A</v>
      </c>
      <c r="AD81" t="e">
        <f>_xlfn.IFNA(51-MATCH(Songs!$A81,Data!U$2:U$51,0),NA())</f>
        <v>#N/A</v>
      </c>
    </row>
    <row r="82" spans="1:30" ht="15.75" customHeight="1" x14ac:dyDescent="0.25">
      <c r="A82" s="6" t="s">
        <v>177</v>
      </c>
      <c r="B82" s="2" t="s">
        <v>75</v>
      </c>
      <c r="F82" s="6">
        <v>0</v>
      </c>
      <c r="G82" s="2">
        <f ca="1">COUNTIF(INDIRECT(_xlfn.CONCAT("Data!$B$2:", ADDRESS(51,COUNTA(Data!$1:$1)+1,1,1))), Songs!A82) + F82</f>
        <v>1</v>
      </c>
      <c r="H82" s="8"/>
      <c r="I82" s="8"/>
      <c r="J82" s="8" cm="1">
        <f t="array" ref="J82">51 - MAX(IF(NOT(ISNA(K82:BB82)),K82:BB82))</f>
        <v>33</v>
      </c>
      <c r="K82" t="e">
        <f>_xlfn.IFNA(51-MATCH(Songs!$A82,Data!B$2:B$51,0),NA())</f>
        <v>#N/A</v>
      </c>
      <c r="L82" t="e">
        <f>_xlfn.IFNA(51-MATCH(Songs!$A82,Data!C$2:C$51,0),NA())</f>
        <v>#N/A</v>
      </c>
      <c r="M82" t="e">
        <f>_xlfn.IFNA(51-MATCH(Songs!$A82,Data!D$2:D$51,0),NA())</f>
        <v>#N/A</v>
      </c>
      <c r="N82" t="e">
        <f>_xlfn.IFNA(51-MATCH(Songs!$A82,Data!E$2:E$51,0),NA())</f>
        <v>#N/A</v>
      </c>
      <c r="O82" t="e">
        <f>_xlfn.IFNA(51-MATCH(Songs!$A82,Data!F$2:F$51,0),NA())</f>
        <v>#N/A</v>
      </c>
      <c r="P82" t="e">
        <f>_xlfn.IFNA(51-MATCH(Songs!$A82,Data!G$2:G$51,0),NA())</f>
        <v>#N/A</v>
      </c>
      <c r="Q82" t="e">
        <f>_xlfn.IFNA(51-MATCH(Songs!$A82,Data!H$2:H$51,0),NA())</f>
        <v>#N/A</v>
      </c>
      <c r="R82" t="e">
        <f>_xlfn.IFNA(51-MATCH(Songs!$A82,Data!I$2:I$51,0),NA())</f>
        <v>#N/A</v>
      </c>
      <c r="S82" t="e">
        <f>_xlfn.IFNA(51-MATCH(Songs!$A82,Data!J$2:J$51,0),NA())</f>
        <v>#N/A</v>
      </c>
      <c r="T82">
        <f>_xlfn.IFNA(51-MATCH(Songs!$A82,Data!K$2:K$51,0),NA())</f>
        <v>18</v>
      </c>
      <c r="U82" t="e">
        <f>_xlfn.IFNA(51-MATCH(Songs!$A82,Data!L$2:L$51,0),NA())</f>
        <v>#N/A</v>
      </c>
      <c r="V82" t="e">
        <f>_xlfn.IFNA(51-MATCH(Songs!$A82,Data!M$2:M$51,0),NA())</f>
        <v>#N/A</v>
      </c>
      <c r="W82" t="e">
        <f>_xlfn.IFNA(51-MATCH(Songs!$A82,Data!N$2:N$51,0),NA())</f>
        <v>#N/A</v>
      </c>
      <c r="X82" t="e">
        <f>_xlfn.IFNA(51-MATCH(Songs!$A82,Data!O$2:O$51,0),NA())</f>
        <v>#N/A</v>
      </c>
      <c r="Y82" t="e">
        <f>_xlfn.IFNA(51-MATCH(Songs!$A82,Data!P$2:P$51,0),NA())</f>
        <v>#N/A</v>
      </c>
      <c r="Z82" t="e">
        <f>_xlfn.IFNA(51-MATCH(Songs!$A82,Data!Q$2:Q$51,0),NA())</f>
        <v>#N/A</v>
      </c>
      <c r="AA82" t="e">
        <f>_xlfn.IFNA(51-MATCH(Songs!$A82,Data!R$2:R$51,0),NA())</f>
        <v>#N/A</v>
      </c>
      <c r="AB82" t="e">
        <f>_xlfn.IFNA(51-MATCH(Songs!$A82,Data!S$2:S$51,0),NA())</f>
        <v>#N/A</v>
      </c>
      <c r="AC82" t="e">
        <f>_xlfn.IFNA(51-MATCH(Songs!$A82,Data!T$2:T$51,0),NA())</f>
        <v>#N/A</v>
      </c>
      <c r="AD82" t="e">
        <f>_xlfn.IFNA(51-MATCH(Songs!$A82,Data!U$2:U$51,0),NA())</f>
        <v>#N/A</v>
      </c>
    </row>
    <row r="83" spans="1:30" ht="15.75" customHeight="1" x14ac:dyDescent="0.25">
      <c r="A83" s="6" t="s">
        <v>178</v>
      </c>
      <c r="B83" s="2" t="s">
        <v>75</v>
      </c>
      <c r="F83" s="6">
        <v>0</v>
      </c>
      <c r="G83" s="2">
        <f ca="1">COUNTIF(INDIRECT(_xlfn.CONCAT("Data!$B$2:", ADDRESS(51,COUNTA(Data!$1:$1)+1,1,1))), Songs!A83) + F83</f>
        <v>2</v>
      </c>
      <c r="H83" s="8"/>
      <c r="I83" s="8"/>
      <c r="J83" s="8" cm="1">
        <f t="array" ref="J83">51 - MAX(IF(NOT(ISNA(K83:BB83)),K83:BB83))</f>
        <v>38</v>
      </c>
      <c r="K83" t="e">
        <f>_xlfn.IFNA(51-MATCH(Songs!$A83,Data!B$2:B$51,0),NA())</f>
        <v>#N/A</v>
      </c>
      <c r="L83" t="e">
        <f>_xlfn.IFNA(51-MATCH(Songs!$A83,Data!C$2:C$51,0),NA())</f>
        <v>#N/A</v>
      </c>
      <c r="M83" t="e">
        <f>_xlfn.IFNA(51-MATCH(Songs!$A83,Data!D$2:D$51,0),NA())</f>
        <v>#N/A</v>
      </c>
      <c r="N83" t="e">
        <f>_xlfn.IFNA(51-MATCH(Songs!$A83,Data!E$2:E$51,0),NA())</f>
        <v>#N/A</v>
      </c>
      <c r="O83" t="e">
        <f>_xlfn.IFNA(51-MATCH(Songs!$A83,Data!F$2:F$51,0),NA())</f>
        <v>#N/A</v>
      </c>
      <c r="P83" t="e">
        <f>_xlfn.IFNA(51-MATCH(Songs!$A83,Data!G$2:G$51,0),NA())</f>
        <v>#N/A</v>
      </c>
      <c r="Q83" t="e">
        <f>_xlfn.IFNA(51-MATCH(Songs!$A83,Data!H$2:H$51,0),NA())</f>
        <v>#N/A</v>
      </c>
      <c r="R83" t="e">
        <f>_xlfn.IFNA(51-MATCH(Songs!$A83,Data!I$2:I$51,0),NA())</f>
        <v>#N/A</v>
      </c>
      <c r="S83" t="e">
        <f>_xlfn.IFNA(51-MATCH(Songs!$A83,Data!J$2:J$51,0),NA())</f>
        <v>#N/A</v>
      </c>
      <c r="T83">
        <f>_xlfn.IFNA(51-MATCH(Songs!$A83,Data!K$2:K$51,0),NA())</f>
        <v>13</v>
      </c>
      <c r="U83">
        <f>_xlfn.IFNA(51-MATCH(Songs!$A83,Data!L$2:L$51,0),NA())</f>
        <v>5</v>
      </c>
      <c r="V83" t="e">
        <f>_xlfn.IFNA(51-MATCH(Songs!$A83,Data!M$2:M$51,0),NA())</f>
        <v>#N/A</v>
      </c>
      <c r="W83" t="e">
        <f>_xlfn.IFNA(51-MATCH(Songs!$A83,Data!N$2:N$51,0),NA())</f>
        <v>#N/A</v>
      </c>
      <c r="X83" t="e">
        <f>_xlfn.IFNA(51-MATCH(Songs!$A83,Data!O$2:O$51,0),NA())</f>
        <v>#N/A</v>
      </c>
      <c r="Y83" t="e">
        <f>_xlfn.IFNA(51-MATCH(Songs!$A83,Data!P$2:P$51,0),NA())</f>
        <v>#N/A</v>
      </c>
      <c r="Z83" t="e">
        <f>_xlfn.IFNA(51-MATCH(Songs!$A83,Data!Q$2:Q$51,0),NA())</f>
        <v>#N/A</v>
      </c>
      <c r="AA83" t="e">
        <f>_xlfn.IFNA(51-MATCH(Songs!$A83,Data!R$2:R$51,0),NA())</f>
        <v>#N/A</v>
      </c>
      <c r="AB83" t="e">
        <f>_xlfn.IFNA(51-MATCH(Songs!$A83,Data!S$2:S$51,0),NA())</f>
        <v>#N/A</v>
      </c>
      <c r="AC83" t="e">
        <f>_xlfn.IFNA(51-MATCH(Songs!$A83,Data!T$2:T$51,0),NA())</f>
        <v>#N/A</v>
      </c>
      <c r="AD83" t="e">
        <f>_xlfn.IFNA(51-MATCH(Songs!$A83,Data!U$2:U$51,0),NA())</f>
        <v>#N/A</v>
      </c>
    </row>
    <row r="84" spans="1:30" ht="15.75" customHeight="1" x14ac:dyDescent="0.25">
      <c r="A84" s="6" t="s">
        <v>181</v>
      </c>
      <c r="B84" s="2" t="s">
        <v>182</v>
      </c>
      <c r="F84" s="6">
        <v>0</v>
      </c>
      <c r="G84" s="2">
        <f ca="1">COUNTIF(INDIRECT(_xlfn.CONCAT("Data!$B$2:", ADDRESS(51,COUNTA(Data!$1:$1)+1,1,1))), Songs!A84) + F84</f>
        <v>6</v>
      </c>
      <c r="H84" s="8"/>
      <c r="I84" s="8"/>
      <c r="J84" s="8" cm="1">
        <f t="array" ref="J84">51 - MAX(IF(NOT(ISNA(K84:BB84)),K84:BB84))</f>
        <v>30</v>
      </c>
      <c r="K84" t="e">
        <f>_xlfn.IFNA(51-MATCH(Songs!$A84,Data!B$2:B$51,0),NA())</f>
        <v>#N/A</v>
      </c>
      <c r="L84" t="e">
        <f>_xlfn.IFNA(51-MATCH(Songs!$A84,Data!C$2:C$51,0),NA())</f>
        <v>#N/A</v>
      </c>
      <c r="M84" t="e">
        <f>_xlfn.IFNA(51-MATCH(Songs!$A84,Data!D$2:D$51,0),NA())</f>
        <v>#N/A</v>
      </c>
      <c r="N84" t="e">
        <f>_xlfn.IFNA(51-MATCH(Songs!$A84,Data!E$2:E$51,0),NA())</f>
        <v>#N/A</v>
      </c>
      <c r="O84" t="e">
        <f>_xlfn.IFNA(51-MATCH(Songs!$A84,Data!F$2:F$51,0),NA())</f>
        <v>#N/A</v>
      </c>
      <c r="P84" t="e">
        <f>_xlfn.IFNA(51-MATCH(Songs!$A84,Data!G$2:G$51,0),NA())</f>
        <v>#N/A</v>
      </c>
      <c r="Q84" t="e">
        <f>_xlfn.IFNA(51-MATCH(Songs!$A84,Data!H$2:H$51,0),NA())</f>
        <v>#N/A</v>
      </c>
      <c r="R84" t="e">
        <f>_xlfn.IFNA(51-MATCH(Songs!$A84,Data!I$2:I$51,0),NA())</f>
        <v>#N/A</v>
      </c>
      <c r="S84" t="e">
        <f>_xlfn.IFNA(51-MATCH(Songs!$A84,Data!J$2:J$51,0),NA())</f>
        <v>#N/A</v>
      </c>
      <c r="T84" t="e">
        <f>_xlfn.IFNA(51-MATCH(Songs!$A84,Data!K$2:K$51,0),NA())</f>
        <v>#N/A</v>
      </c>
      <c r="U84">
        <f>_xlfn.IFNA(51-MATCH(Songs!$A84,Data!L$2:L$51,0),NA())</f>
        <v>13</v>
      </c>
      <c r="V84" t="e">
        <f>_xlfn.IFNA(51-MATCH(Songs!$A84,Data!M$2:M$51,0),NA())</f>
        <v>#N/A</v>
      </c>
      <c r="W84">
        <f>_xlfn.IFNA(51-MATCH(Songs!$A84,Data!N$2:N$51,0),NA())</f>
        <v>1</v>
      </c>
      <c r="X84">
        <f>_xlfn.IFNA(51-MATCH(Songs!$A84,Data!O$2:O$51,0),NA())</f>
        <v>10</v>
      </c>
      <c r="Y84">
        <f>_xlfn.IFNA(51-MATCH(Songs!$A84,Data!P$2:P$51,0),NA())</f>
        <v>21</v>
      </c>
      <c r="Z84">
        <f>_xlfn.IFNA(51-MATCH(Songs!$A84,Data!Q$2:Q$51,0),NA())</f>
        <v>18</v>
      </c>
      <c r="AA84">
        <f>_xlfn.IFNA(51-MATCH(Songs!$A84,Data!R$2:R$51,0),NA())</f>
        <v>16</v>
      </c>
      <c r="AB84" t="e">
        <f>_xlfn.IFNA(51-MATCH(Songs!$A84,Data!S$2:S$51,0),NA())</f>
        <v>#N/A</v>
      </c>
      <c r="AC84" t="e">
        <f>_xlfn.IFNA(51-MATCH(Songs!$A84,Data!T$2:T$51,0),NA())</f>
        <v>#N/A</v>
      </c>
      <c r="AD84" t="e">
        <f>_xlfn.IFNA(51-MATCH(Songs!$A84,Data!U$2:U$51,0),NA())</f>
        <v>#N/A</v>
      </c>
    </row>
    <row r="85" spans="1:30" ht="15.75" customHeight="1" x14ac:dyDescent="0.25">
      <c r="A85" s="6" t="s">
        <v>179</v>
      </c>
      <c r="B85" s="2" t="s">
        <v>183</v>
      </c>
      <c r="F85" s="6">
        <v>0</v>
      </c>
      <c r="G85" s="2">
        <f ca="1">COUNTIF(INDIRECT(_xlfn.CONCAT("Data!$B$2:", ADDRESS(51,COUNTA(Data!$1:$1)+1,1,1))), Songs!A85) + F85</f>
        <v>1</v>
      </c>
      <c r="H85" s="8"/>
      <c r="I85" s="8"/>
      <c r="J85" s="8" cm="1">
        <f t="array" ref="J85">51 - MAX(IF(NOT(ISNA(K85:BB85)),K85:BB85))</f>
        <v>43</v>
      </c>
      <c r="K85" t="e">
        <f>_xlfn.IFNA(51-MATCH(Songs!$A85,Data!B$2:B$51,0),NA())</f>
        <v>#N/A</v>
      </c>
      <c r="L85" t="e">
        <f>_xlfn.IFNA(51-MATCH(Songs!$A85,Data!C$2:C$51,0),NA())</f>
        <v>#N/A</v>
      </c>
      <c r="M85" t="e">
        <f>_xlfn.IFNA(51-MATCH(Songs!$A85,Data!D$2:D$51,0),NA())</f>
        <v>#N/A</v>
      </c>
      <c r="N85" t="e">
        <f>_xlfn.IFNA(51-MATCH(Songs!$A85,Data!E$2:E$51,0),NA())</f>
        <v>#N/A</v>
      </c>
      <c r="O85" t="e">
        <f>_xlfn.IFNA(51-MATCH(Songs!$A85,Data!F$2:F$51,0),NA())</f>
        <v>#N/A</v>
      </c>
      <c r="P85" t="e">
        <f>_xlfn.IFNA(51-MATCH(Songs!$A85,Data!G$2:G$51,0),NA())</f>
        <v>#N/A</v>
      </c>
      <c r="Q85" t="e">
        <f>_xlfn.IFNA(51-MATCH(Songs!$A85,Data!H$2:H$51,0),NA())</f>
        <v>#N/A</v>
      </c>
      <c r="R85" t="e">
        <f>_xlfn.IFNA(51-MATCH(Songs!$A85,Data!I$2:I$51,0),NA())</f>
        <v>#N/A</v>
      </c>
      <c r="S85" t="e">
        <f>_xlfn.IFNA(51-MATCH(Songs!$A85,Data!J$2:J$51,0),NA())</f>
        <v>#N/A</v>
      </c>
      <c r="T85" t="e">
        <f>_xlfn.IFNA(51-MATCH(Songs!$A85,Data!K$2:K$51,0),NA())</f>
        <v>#N/A</v>
      </c>
      <c r="U85">
        <f>_xlfn.IFNA(51-MATCH(Songs!$A85,Data!L$2:L$51,0),NA())</f>
        <v>8</v>
      </c>
      <c r="V85" t="e">
        <f>_xlfn.IFNA(51-MATCH(Songs!$A85,Data!M$2:M$51,0),NA())</f>
        <v>#N/A</v>
      </c>
      <c r="W85" t="e">
        <f>_xlfn.IFNA(51-MATCH(Songs!$A85,Data!N$2:N$51,0),NA())</f>
        <v>#N/A</v>
      </c>
      <c r="X85" t="e">
        <f>_xlfn.IFNA(51-MATCH(Songs!$A85,Data!O$2:O$51,0),NA())</f>
        <v>#N/A</v>
      </c>
      <c r="Y85" t="e">
        <f>_xlfn.IFNA(51-MATCH(Songs!$A85,Data!P$2:P$51,0),NA())</f>
        <v>#N/A</v>
      </c>
      <c r="Z85" t="e">
        <f>_xlfn.IFNA(51-MATCH(Songs!$A85,Data!Q$2:Q$51,0),NA())</f>
        <v>#N/A</v>
      </c>
      <c r="AA85" t="e">
        <f>_xlfn.IFNA(51-MATCH(Songs!$A85,Data!R$2:R$51,0),NA())</f>
        <v>#N/A</v>
      </c>
      <c r="AB85" t="e">
        <f>_xlfn.IFNA(51-MATCH(Songs!$A85,Data!S$2:S$51,0),NA())</f>
        <v>#N/A</v>
      </c>
      <c r="AC85" t="e">
        <f>_xlfn.IFNA(51-MATCH(Songs!$A85,Data!T$2:T$51,0),NA())</f>
        <v>#N/A</v>
      </c>
      <c r="AD85" t="e">
        <f>_xlfn.IFNA(51-MATCH(Songs!$A85,Data!U$2:U$51,0),NA())</f>
        <v>#N/A</v>
      </c>
    </row>
    <row r="86" spans="1:30" ht="15.75" customHeight="1" x14ac:dyDescent="0.25">
      <c r="A86" s="6" t="s">
        <v>180</v>
      </c>
      <c r="B86" s="2" t="s">
        <v>104</v>
      </c>
      <c r="F86" s="6">
        <v>0</v>
      </c>
      <c r="G86" s="2">
        <f ca="1">COUNTIF(INDIRECT(_xlfn.CONCAT("Data!$B$2:", ADDRESS(51,COUNTA(Data!$1:$1)+1,1,1))), Songs!A86) + F86</f>
        <v>1</v>
      </c>
      <c r="H86" s="8"/>
      <c r="I86" s="8"/>
      <c r="J86" s="8" cm="1">
        <f t="array" ref="J86">51 - MAX(IF(NOT(ISNA(K86:BB86)),K86:BB86))</f>
        <v>50</v>
      </c>
      <c r="K86" t="e">
        <f>_xlfn.IFNA(51-MATCH(Songs!$A86,Data!B$2:B$51,0),NA())</f>
        <v>#N/A</v>
      </c>
      <c r="L86" t="e">
        <f>_xlfn.IFNA(51-MATCH(Songs!$A86,Data!C$2:C$51,0),NA())</f>
        <v>#N/A</v>
      </c>
      <c r="M86" t="e">
        <f>_xlfn.IFNA(51-MATCH(Songs!$A86,Data!D$2:D$51,0),NA())</f>
        <v>#N/A</v>
      </c>
      <c r="N86" t="e">
        <f>_xlfn.IFNA(51-MATCH(Songs!$A86,Data!E$2:E$51,0),NA())</f>
        <v>#N/A</v>
      </c>
      <c r="O86" t="e">
        <f>_xlfn.IFNA(51-MATCH(Songs!$A86,Data!F$2:F$51,0),NA())</f>
        <v>#N/A</v>
      </c>
      <c r="P86" t="e">
        <f>_xlfn.IFNA(51-MATCH(Songs!$A86,Data!G$2:G$51,0),NA())</f>
        <v>#N/A</v>
      </c>
      <c r="Q86" t="e">
        <f>_xlfn.IFNA(51-MATCH(Songs!$A86,Data!H$2:H$51,0),NA())</f>
        <v>#N/A</v>
      </c>
      <c r="R86" t="e">
        <f>_xlfn.IFNA(51-MATCH(Songs!$A86,Data!I$2:I$51,0),NA())</f>
        <v>#N/A</v>
      </c>
      <c r="S86" t="e">
        <f>_xlfn.IFNA(51-MATCH(Songs!$A86,Data!J$2:J$51,0),NA())</f>
        <v>#N/A</v>
      </c>
      <c r="T86" t="e">
        <f>_xlfn.IFNA(51-MATCH(Songs!$A86,Data!K$2:K$51,0),NA())</f>
        <v>#N/A</v>
      </c>
      <c r="U86">
        <f>_xlfn.IFNA(51-MATCH(Songs!$A86,Data!L$2:L$51,0),NA())</f>
        <v>1</v>
      </c>
      <c r="V86" t="e">
        <f>_xlfn.IFNA(51-MATCH(Songs!$A86,Data!M$2:M$51,0),NA())</f>
        <v>#N/A</v>
      </c>
      <c r="W86" t="e">
        <f>_xlfn.IFNA(51-MATCH(Songs!$A86,Data!N$2:N$51,0),NA())</f>
        <v>#N/A</v>
      </c>
      <c r="X86" t="e">
        <f>_xlfn.IFNA(51-MATCH(Songs!$A86,Data!O$2:O$51,0),NA())</f>
        <v>#N/A</v>
      </c>
      <c r="Y86" t="e">
        <f>_xlfn.IFNA(51-MATCH(Songs!$A86,Data!P$2:P$51,0),NA())</f>
        <v>#N/A</v>
      </c>
      <c r="Z86" t="e">
        <f>_xlfn.IFNA(51-MATCH(Songs!$A86,Data!Q$2:Q$51,0),NA())</f>
        <v>#N/A</v>
      </c>
      <c r="AA86" t="e">
        <f>_xlfn.IFNA(51-MATCH(Songs!$A86,Data!R$2:R$51,0),NA())</f>
        <v>#N/A</v>
      </c>
      <c r="AB86" t="e">
        <f>_xlfn.IFNA(51-MATCH(Songs!$A86,Data!S$2:S$51,0),NA())</f>
        <v>#N/A</v>
      </c>
      <c r="AC86" t="e">
        <f>_xlfn.IFNA(51-MATCH(Songs!$A86,Data!T$2:T$51,0),NA())</f>
        <v>#N/A</v>
      </c>
      <c r="AD86" t="e">
        <f>_xlfn.IFNA(51-MATCH(Songs!$A86,Data!U$2:U$51,0),NA())</f>
        <v>#N/A</v>
      </c>
    </row>
    <row r="87" spans="1:30" ht="15.75" customHeight="1" x14ac:dyDescent="0.25">
      <c r="A87" s="6" t="s">
        <v>184</v>
      </c>
      <c r="B87" s="2" t="s">
        <v>121</v>
      </c>
      <c r="C87" t="s">
        <v>208</v>
      </c>
      <c r="F87" s="6">
        <v>0</v>
      </c>
      <c r="G87" s="2">
        <f ca="1">COUNTIF(INDIRECT(_xlfn.CONCAT("Data!$B$2:", ADDRESS(51,COUNTA(Data!$1:$1)+1,1,1))), Songs!A87) + F87</f>
        <v>6</v>
      </c>
      <c r="H87" s="8"/>
      <c r="I87" s="8"/>
      <c r="J87" s="8" cm="1">
        <f t="array" ref="J87">51 - MAX(IF(NOT(ISNA(K87:BB87)),K87:BB87))</f>
        <v>2</v>
      </c>
      <c r="K87" t="e">
        <f>_xlfn.IFNA(51-MATCH(Songs!$A87,Data!B$2:B$51,0),NA())</f>
        <v>#N/A</v>
      </c>
      <c r="L87" t="e">
        <f>_xlfn.IFNA(51-MATCH(Songs!$A87,Data!C$2:C$51,0),NA())</f>
        <v>#N/A</v>
      </c>
      <c r="M87" t="e">
        <f>_xlfn.IFNA(51-MATCH(Songs!$A87,Data!D$2:D$51,0),NA())</f>
        <v>#N/A</v>
      </c>
      <c r="N87" t="e">
        <f>_xlfn.IFNA(51-MATCH(Songs!$A87,Data!E$2:E$51,0),NA())</f>
        <v>#N/A</v>
      </c>
      <c r="O87" t="e">
        <f>_xlfn.IFNA(51-MATCH(Songs!$A87,Data!F$2:F$51,0),NA())</f>
        <v>#N/A</v>
      </c>
      <c r="P87" t="e">
        <f>_xlfn.IFNA(51-MATCH(Songs!$A87,Data!G$2:G$51,0),NA())</f>
        <v>#N/A</v>
      </c>
      <c r="Q87" t="e">
        <f>_xlfn.IFNA(51-MATCH(Songs!$A87,Data!H$2:H$51,0),NA())</f>
        <v>#N/A</v>
      </c>
      <c r="R87" t="e">
        <f>_xlfn.IFNA(51-MATCH(Songs!$A87,Data!I$2:I$51,0),NA())</f>
        <v>#N/A</v>
      </c>
      <c r="S87" t="e">
        <f>_xlfn.IFNA(51-MATCH(Songs!$A87,Data!J$2:J$51,0),NA())</f>
        <v>#N/A</v>
      </c>
      <c r="T87" t="e">
        <f>_xlfn.IFNA(51-MATCH(Songs!$A87,Data!K$2:K$51,0),NA())</f>
        <v>#N/A</v>
      </c>
      <c r="U87" t="e">
        <f>_xlfn.IFNA(51-MATCH(Songs!$A87,Data!L$2:L$51,0),NA())</f>
        <v>#N/A</v>
      </c>
      <c r="V87">
        <f>_xlfn.IFNA(51-MATCH(Songs!$A87,Data!M$2:M$51,0),NA())</f>
        <v>49</v>
      </c>
      <c r="W87">
        <f>_xlfn.IFNA(51-MATCH(Songs!$A87,Data!N$2:N$51,0),NA())</f>
        <v>47</v>
      </c>
      <c r="X87">
        <f>_xlfn.IFNA(51-MATCH(Songs!$A87,Data!O$2:O$51,0),NA())</f>
        <v>42</v>
      </c>
      <c r="Y87">
        <f>_xlfn.IFNA(51-MATCH(Songs!$A87,Data!P$2:P$51,0),NA())</f>
        <v>38</v>
      </c>
      <c r="Z87">
        <f>_xlfn.IFNA(51-MATCH(Songs!$A87,Data!Q$2:Q$51,0),NA())</f>
        <v>37</v>
      </c>
      <c r="AA87">
        <f>_xlfn.IFNA(51-MATCH(Songs!$A87,Data!R$2:R$51,0),NA())</f>
        <v>32</v>
      </c>
      <c r="AB87" t="e">
        <f>_xlfn.IFNA(51-MATCH(Songs!$A87,Data!S$2:S$51,0),NA())</f>
        <v>#N/A</v>
      </c>
      <c r="AC87" t="e">
        <f>_xlfn.IFNA(51-MATCH(Songs!$A87,Data!T$2:T$51,0),NA())</f>
        <v>#N/A</v>
      </c>
      <c r="AD87" t="e">
        <f>_xlfn.IFNA(51-MATCH(Songs!$A87,Data!U$2:U$51,0),NA())</f>
        <v>#N/A</v>
      </c>
    </row>
    <row r="88" spans="1:30" ht="15.75" customHeight="1" x14ac:dyDescent="0.25">
      <c r="A88" s="6" t="s">
        <v>185</v>
      </c>
      <c r="B88" s="2" t="s">
        <v>121</v>
      </c>
      <c r="E88" s="5">
        <v>45391</v>
      </c>
      <c r="F88" s="6">
        <v>0</v>
      </c>
      <c r="G88" s="2">
        <f ca="1">COUNTIF(INDIRECT(_xlfn.CONCAT("Data!$B$2:", ADDRESS(51,COUNTA(Data!$1:$1)+1,1,1))), Songs!A88) + F88</f>
        <v>6</v>
      </c>
      <c r="H88" s="8"/>
      <c r="I88" s="8"/>
      <c r="J88" s="8" cm="1">
        <f t="array" ref="J88">51 - MAX(IF(NOT(ISNA(K88:BB88)),K88:BB88))</f>
        <v>3</v>
      </c>
      <c r="K88" t="e">
        <f>_xlfn.IFNA(51-MATCH(Songs!$A88,Data!B$2:B$51,0),NA())</f>
        <v>#N/A</v>
      </c>
      <c r="L88" t="e">
        <f>_xlfn.IFNA(51-MATCH(Songs!$A88,Data!C$2:C$51,0),NA())</f>
        <v>#N/A</v>
      </c>
      <c r="M88" t="e">
        <f>_xlfn.IFNA(51-MATCH(Songs!$A88,Data!D$2:D$51,0),NA())</f>
        <v>#N/A</v>
      </c>
      <c r="N88" t="e">
        <f>_xlfn.IFNA(51-MATCH(Songs!$A88,Data!E$2:E$51,0),NA())</f>
        <v>#N/A</v>
      </c>
      <c r="O88" t="e">
        <f>_xlfn.IFNA(51-MATCH(Songs!$A88,Data!F$2:F$51,0),NA())</f>
        <v>#N/A</v>
      </c>
      <c r="P88" t="e">
        <f>_xlfn.IFNA(51-MATCH(Songs!$A88,Data!G$2:G$51,0),NA())</f>
        <v>#N/A</v>
      </c>
      <c r="Q88" t="e">
        <f>_xlfn.IFNA(51-MATCH(Songs!$A88,Data!H$2:H$51,0),NA())</f>
        <v>#N/A</v>
      </c>
      <c r="R88" t="e">
        <f>_xlfn.IFNA(51-MATCH(Songs!$A88,Data!I$2:I$51,0),NA())</f>
        <v>#N/A</v>
      </c>
      <c r="S88" t="e">
        <f>_xlfn.IFNA(51-MATCH(Songs!$A88,Data!J$2:J$51,0),NA())</f>
        <v>#N/A</v>
      </c>
      <c r="T88" t="e">
        <f>_xlfn.IFNA(51-MATCH(Songs!$A88,Data!K$2:K$51,0),NA())</f>
        <v>#N/A</v>
      </c>
      <c r="U88" t="e">
        <f>_xlfn.IFNA(51-MATCH(Songs!$A88,Data!L$2:L$51,0),NA())</f>
        <v>#N/A</v>
      </c>
      <c r="V88">
        <f>_xlfn.IFNA(51-MATCH(Songs!$A88,Data!M$2:M$51,0),NA())</f>
        <v>48</v>
      </c>
      <c r="W88">
        <f>_xlfn.IFNA(51-MATCH(Songs!$A88,Data!N$2:N$51,0),NA())</f>
        <v>41</v>
      </c>
      <c r="X88">
        <f>_xlfn.IFNA(51-MATCH(Songs!$A88,Data!O$2:O$51,0),NA())</f>
        <v>32</v>
      </c>
      <c r="Y88">
        <f>_xlfn.IFNA(51-MATCH(Songs!$A88,Data!P$2:P$51,0),NA())</f>
        <v>25</v>
      </c>
      <c r="Z88">
        <f>_xlfn.IFNA(51-MATCH(Songs!$A88,Data!Q$2:Q$51,0),NA())</f>
        <v>17</v>
      </c>
      <c r="AA88">
        <f>_xlfn.IFNA(51-MATCH(Songs!$A88,Data!R$2:R$51,0),NA())</f>
        <v>6</v>
      </c>
      <c r="AB88" t="e">
        <f>_xlfn.IFNA(51-MATCH(Songs!$A88,Data!S$2:S$51,0),NA())</f>
        <v>#N/A</v>
      </c>
      <c r="AC88" t="e">
        <f>_xlfn.IFNA(51-MATCH(Songs!$A88,Data!T$2:T$51,0),NA())</f>
        <v>#N/A</v>
      </c>
      <c r="AD88" t="e">
        <f>_xlfn.IFNA(51-MATCH(Songs!$A88,Data!U$2:U$51,0),NA())</f>
        <v>#N/A</v>
      </c>
    </row>
    <row r="89" spans="1:30" ht="15.75" customHeight="1" x14ac:dyDescent="0.25">
      <c r="A89" s="6" t="s">
        <v>186</v>
      </c>
      <c r="B89" s="2" t="s">
        <v>121</v>
      </c>
      <c r="C89" t="s">
        <v>209</v>
      </c>
      <c r="F89" s="6">
        <v>0</v>
      </c>
      <c r="G89" s="2">
        <f ca="1">COUNTIF(INDIRECT(_xlfn.CONCAT("Data!$B$2:", ADDRESS(51,COUNTA(Data!$1:$1)+1,1,1))), Songs!A89) + F89</f>
        <v>5</v>
      </c>
      <c r="H89" s="8"/>
      <c r="I89" s="8"/>
      <c r="J89" s="8" cm="1">
        <f t="array" ref="J89">51 - MAX(IF(NOT(ISNA(K89:BB89)),K89:BB89))</f>
        <v>5</v>
      </c>
      <c r="K89" t="e">
        <f>_xlfn.IFNA(51-MATCH(Songs!$A89,Data!B$2:B$51,0),NA())</f>
        <v>#N/A</v>
      </c>
      <c r="L89" t="e">
        <f>_xlfn.IFNA(51-MATCH(Songs!$A89,Data!C$2:C$51,0),NA())</f>
        <v>#N/A</v>
      </c>
      <c r="M89" t="e">
        <f>_xlfn.IFNA(51-MATCH(Songs!$A89,Data!D$2:D$51,0),NA())</f>
        <v>#N/A</v>
      </c>
      <c r="N89" t="e">
        <f>_xlfn.IFNA(51-MATCH(Songs!$A89,Data!E$2:E$51,0),NA())</f>
        <v>#N/A</v>
      </c>
      <c r="O89" t="e">
        <f>_xlfn.IFNA(51-MATCH(Songs!$A89,Data!F$2:F$51,0),NA())</f>
        <v>#N/A</v>
      </c>
      <c r="P89" t="e">
        <f>_xlfn.IFNA(51-MATCH(Songs!$A89,Data!G$2:G$51,0),NA())</f>
        <v>#N/A</v>
      </c>
      <c r="Q89" t="e">
        <f>_xlfn.IFNA(51-MATCH(Songs!$A89,Data!H$2:H$51,0),NA())</f>
        <v>#N/A</v>
      </c>
      <c r="R89" t="e">
        <f>_xlfn.IFNA(51-MATCH(Songs!$A89,Data!I$2:I$51,0),NA())</f>
        <v>#N/A</v>
      </c>
      <c r="S89" t="e">
        <f>_xlfn.IFNA(51-MATCH(Songs!$A89,Data!J$2:J$51,0),NA())</f>
        <v>#N/A</v>
      </c>
      <c r="T89" t="e">
        <f>_xlfn.IFNA(51-MATCH(Songs!$A89,Data!K$2:K$51,0),NA())</f>
        <v>#N/A</v>
      </c>
      <c r="U89" t="e">
        <f>_xlfn.IFNA(51-MATCH(Songs!$A89,Data!L$2:L$51,0),NA())</f>
        <v>#N/A</v>
      </c>
      <c r="V89">
        <f>_xlfn.IFNA(51-MATCH(Songs!$A89,Data!M$2:M$51,0),NA())</f>
        <v>46</v>
      </c>
      <c r="W89">
        <f>_xlfn.IFNA(51-MATCH(Songs!$A89,Data!N$2:N$51,0),NA())</f>
        <v>39</v>
      </c>
      <c r="X89">
        <f>_xlfn.IFNA(51-MATCH(Songs!$A89,Data!O$2:O$51,0),NA())</f>
        <v>27</v>
      </c>
      <c r="Y89">
        <f>_xlfn.IFNA(51-MATCH(Songs!$A89,Data!P$2:P$51,0),NA())</f>
        <v>19</v>
      </c>
      <c r="Z89">
        <f>_xlfn.IFNA(51-MATCH(Songs!$A89,Data!Q$2:Q$51,0),NA())</f>
        <v>13</v>
      </c>
      <c r="AA89" t="e">
        <f>_xlfn.IFNA(51-MATCH(Songs!$A89,Data!R$2:R$51,0),NA())</f>
        <v>#N/A</v>
      </c>
      <c r="AB89" t="e">
        <f>_xlfn.IFNA(51-MATCH(Songs!$A89,Data!S$2:S$51,0),NA())</f>
        <v>#N/A</v>
      </c>
      <c r="AC89" t="e">
        <f>_xlfn.IFNA(51-MATCH(Songs!$A89,Data!T$2:T$51,0),NA())</f>
        <v>#N/A</v>
      </c>
      <c r="AD89" t="e">
        <f>_xlfn.IFNA(51-MATCH(Songs!$A89,Data!U$2:U$51,0),NA())</f>
        <v>#N/A</v>
      </c>
    </row>
    <row r="90" spans="1:30" ht="15.75" customHeight="1" x14ac:dyDescent="0.25">
      <c r="A90" s="6" t="s">
        <v>187</v>
      </c>
      <c r="B90" s="2" t="s">
        <v>121</v>
      </c>
      <c r="C90" t="s">
        <v>210</v>
      </c>
      <c r="F90" s="6">
        <v>0</v>
      </c>
      <c r="G90" s="2">
        <f ca="1">COUNTIF(INDIRECT(_xlfn.CONCAT("Data!$B$2:", ADDRESS(51,COUNTA(Data!$1:$1)+1,1,1))), Songs!A90) + F90</f>
        <v>5</v>
      </c>
      <c r="H90" s="8"/>
      <c r="I90" s="8"/>
      <c r="J90" s="8" cm="1">
        <f t="array" ref="J90">51 - MAX(IF(NOT(ISNA(K90:BB90)),K90:BB90))</f>
        <v>6</v>
      </c>
      <c r="K90" t="e">
        <f>_xlfn.IFNA(51-MATCH(Songs!$A90,Data!B$2:B$51,0),NA())</f>
        <v>#N/A</v>
      </c>
      <c r="L90" t="e">
        <f>_xlfn.IFNA(51-MATCH(Songs!$A90,Data!C$2:C$51,0),NA())</f>
        <v>#N/A</v>
      </c>
      <c r="M90" t="e">
        <f>_xlfn.IFNA(51-MATCH(Songs!$A90,Data!D$2:D$51,0),NA())</f>
        <v>#N/A</v>
      </c>
      <c r="N90" t="e">
        <f>_xlfn.IFNA(51-MATCH(Songs!$A90,Data!E$2:E$51,0),NA())</f>
        <v>#N/A</v>
      </c>
      <c r="O90" t="e">
        <f>_xlfn.IFNA(51-MATCH(Songs!$A90,Data!F$2:F$51,0),NA())</f>
        <v>#N/A</v>
      </c>
      <c r="P90" t="e">
        <f>_xlfn.IFNA(51-MATCH(Songs!$A90,Data!G$2:G$51,0),NA())</f>
        <v>#N/A</v>
      </c>
      <c r="Q90" t="e">
        <f>_xlfn.IFNA(51-MATCH(Songs!$A90,Data!H$2:H$51,0),NA())</f>
        <v>#N/A</v>
      </c>
      <c r="R90" t="e">
        <f>_xlfn.IFNA(51-MATCH(Songs!$A90,Data!I$2:I$51,0),NA())</f>
        <v>#N/A</v>
      </c>
      <c r="S90" t="e">
        <f>_xlfn.IFNA(51-MATCH(Songs!$A90,Data!J$2:J$51,0),NA())</f>
        <v>#N/A</v>
      </c>
      <c r="T90" t="e">
        <f>_xlfn.IFNA(51-MATCH(Songs!$A90,Data!K$2:K$51,0),NA())</f>
        <v>#N/A</v>
      </c>
      <c r="U90" t="e">
        <f>_xlfn.IFNA(51-MATCH(Songs!$A90,Data!L$2:L$51,0),NA())</f>
        <v>#N/A</v>
      </c>
      <c r="V90">
        <f>_xlfn.IFNA(51-MATCH(Songs!$A90,Data!M$2:M$51,0),NA())</f>
        <v>45</v>
      </c>
      <c r="W90">
        <f>_xlfn.IFNA(51-MATCH(Songs!$A90,Data!N$2:N$51,0),NA())</f>
        <v>30</v>
      </c>
      <c r="X90">
        <f>_xlfn.IFNA(51-MATCH(Songs!$A90,Data!O$2:O$51,0),NA())</f>
        <v>16</v>
      </c>
      <c r="Y90">
        <f>_xlfn.IFNA(51-MATCH(Songs!$A90,Data!P$2:P$51,0),NA())</f>
        <v>5</v>
      </c>
      <c r="Z90">
        <f>_xlfn.IFNA(51-MATCH(Songs!$A90,Data!Q$2:Q$51,0),NA())</f>
        <v>3</v>
      </c>
      <c r="AA90" t="e">
        <f>_xlfn.IFNA(51-MATCH(Songs!$A90,Data!R$2:R$51,0),NA())</f>
        <v>#N/A</v>
      </c>
      <c r="AB90" t="e">
        <f>_xlfn.IFNA(51-MATCH(Songs!$A90,Data!S$2:S$51,0),NA())</f>
        <v>#N/A</v>
      </c>
      <c r="AC90" t="e">
        <f>_xlfn.IFNA(51-MATCH(Songs!$A90,Data!T$2:T$51,0),NA())</f>
        <v>#N/A</v>
      </c>
      <c r="AD90" t="e">
        <f>_xlfn.IFNA(51-MATCH(Songs!$A90,Data!U$2:U$51,0),NA())</f>
        <v>#N/A</v>
      </c>
    </row>
    <row r="91" spans="1:30" ht="15.75" customHeight="1" x14ac:dyDescent="0.25">
      <c r="A91" s="6" t="s">
        <v>188</v>
      </c>
      <c r="B91" s="2" t="s">
        <v>121</v>
      </c>
      <c r="F91" s="6">
        <v>0</v>
      </c>
      <c r="G91" s="2">
        <f ca="1">COUNTIF(INDIRECT(_xlfn.CONCAT("Data!$B$2:", ADDRESS(51,COUNTA(Data!$1:$1)+1,1,1))), Songs!A91) + F91</f>
        <v>2</v>
      </c>
      <c r="H91" s="8"/>
      <c r="I91" s="8"/>
      <c r="J91" s="8" cm="1">
        <f t="array" ref="J91">51 - MAX(IF(NOT(ISNA(K91:BB91)),K91:BB91))</f>
        <v>7</v>
      </c>
      <c r="K91" t="e">
        <f>_xlfn.IFNA(51-MATCH(Songs!$A91,Data!B$2:B$51,0),NA())</f>
        <v>#N/A</v>
      </c>
      <c r="L91" t="e">
        <f>_xlfn.IFNA(51-MATCH(Songs!$A91,Data!C$2:C$51,0),NA())</f>
        <v>#N/A</v>
      </c>
      <c r="M91" t="e">
        <f>_xlfn.IFNA(51-MATCH(Songs!$A91,Data!D$2:D$51,0),NA())</f>
        <v>#N/A</v>
      </c>
      <c r="N91" t="e">
        <f>_xlfn.IFNA(51-MATCH(Songs!$A91,Data!E$2:E$51,0),NA())</f>
        <v>#N/A</v>
      </c>
      <c r="O91" t="e">
        <f>_xlfn.IFNA(51-MATCH(Songs!$A91,Data!F$2:F$51,0),NA())</f>
        <v>#N/A</v>
      </c>
      <c r="P91" t="e">
        <f>_xlfn.IFNA(51-MATCH(Songs!$A91,Data!G$2:G$51,0),NA())</f>
        <v>#N/A</v>
      </c>
      <c r="Q91" t="e">
        <f>_xlfn.IFNA(51-MATCH(Songs!$A91,Data!H$2:H$51,0),NA())</f>
        <v>#N/A</v>
      </c>
      <c r="R91" t="e">
        <f>_xlfn.IFNA(51-MATCH(Songs!$A91,Data!I$2:I$51,0),NA())</f>
        <v>#N/A</v>
      </c>
      <c r="S91" t="e">
        <f>_xlfn.IFNA(51-MATCH(Songs!$A91,Data!J$2:J$51,0),NA())</f>
        <v>#N/A</v>
      </c>
      <c r="T91" t="e">
        <f>_xlfn.IFNA(51-MATCH(Songs!$A91,Data!K$2:K$51,0),NA())</f>
        <v>#N/A</v>
      </c>
      <c r="U91" t="e">
        <f>_xlfn.IFNA(51-MATCH(Songs!$A91,Data!L$2:L$51,0),NA())</f>
        <v>#N/A</v>
      </c>
      <c r="V91">
        <f>_xlfn.IFNA(51-MATCH(Songs!$A91,Data!M$2:M$51,0),NA())</f>
        <v>44</v>
      </c>
      <c r="W91">
        <f>_xlfn.IFNA(51-MATCH(Songs!$A91,Data!N$2:N$51,0),NA())</f>
        <v>18</v>
      </c>
      <c r="X91" t="e">
        <f>_xlfn.IFNA(51-MATCH(Songs!$A91,Data!O$2:O$51,0),NA())</f>
        <v>#N/A</v>
      </c>
      <c r="Y91" t="e">
        <f>_xlfn.IFNA(51-MATCH(Songs!$A91,Data!P$2:P$51,0),NA())</f>
        <v>#N/A</v>
      </c>
      <c r="Z91" t="e">
        <f>_xlfn.IFNA(51-MATCH(Songs!$A91,Data!Q$2:Q$51,0),NA())</f>
        <v>#N/A</v>
      </c>
      <c r="AA91" t="e">
        <f>_xlfn.IFNA(51-MATCH(Songs!$A91,Data!R$2:R$51,0),NA())</f>
        <v>#N/A</v>
      </c>
      <c r="AB91" t="e">
        <f>_xlfn.IFNA(51-MATCH(Songs!$A91,Data!S$2:S$51,0),NA())</f>
        <v>#N/A</v>
      </c>
      <c r="AC91" t="e">
        <f>_xlfn.IFNA(51-MATCH(Songs!$A91,Data!T$2:T$51,0),NA())</f>
        <v>#N/A</v>
      </c>
      <c r="AD91" t="e">
        <f>_xlfn.IFNA(51-MATCH(Songs!$A91,Data!U$2:U$51,0),NA())</f>
        <v>#N/A</v>
      </c>
    </row>
    <row r="92" spans="1:30" ht="15.75" customHeight="1" x14ac:dyDescent="0.25">
      <c r="A92" s="6" t="s">
        <v>189</v>
      </c>
      <c r="B92" s="2" t="s">
        <v>121</v>
      </c>
      <c r="F92" s="6">
        <v>0</v>
      </c>
      <c r="G92" s="2">
        <f ca="1">COUNTIF(INDIRECT(_xlfn.CONCAT("Data!$B$2:", ADDRESS(51,COUNTA(Data!$1:$1)+1,1,1))), Songs!A92) + F92</f>
        <v>2</v>
      </c>
      <c r="H92" s="8"/>
      <c r="I92" s="8"/>
      <c r="J92" s="8" cm="1">
        <f t="array" ref="J92">51 - MAX(IF(NOT(ISNA(K92:BB92)),K92:BB92))</f>
        <v>9</v>
      </c>
      <c r="K92" t="e">
        <f>_xlfn.IFNA(51-MATCH(Songs!$A92,Data!B$2:B$51,0),NA())</f>
        <v>#N/A</v>
      </c>
      <c r="L92" t="e">
        <f>_xlfn.IFNA(51-MATCH(Songs!$A92,Data!C$2:C$51,0),NA())</f>
        <v>#N/A</v>
      </c>
      <c r="M92" t="e">
        <f>_xlfn.IFNA(51-MATCH(Songs!$A92,Data!D$2:D$51,0),NA())</f>
        <v>#N/A</v>
      </c>
      <c r="N92" t="e">
        <f>_xlfn.IFNA(51-MATCH(Songs!$A92,Data!E$2:E$51,0),NA())</f>
        <v>#N/A</v>
      </c>
      <c r="O92" t="e">
        <f>_xlfn.IFNA(51-MATCH(Songs!$A92,Data!F$2:F$51,0),NA())</f>
        <v>#N/A</v>
      </c>
      <c r="P92" t="e">
        <f>_xlfn.IFNA(51-MATCH(Songs!$A92,Data!G$2:G$51,0),NA())</f>
        <v>#N/A</v>
      </c>
      <c r="Q92" t="e">
        <f>_xlfn.IFNA(51-MATCH(Songs!$A92,Data!H$2:H$51,0),NA())</f>
        <v>#N/A</v>
      </c>
      <c r="R92" t="e">
        <f>_xlfn.IFNA(51-MATCH(Songs!$A92,Data!I$2:I$51,0),NA())</f>
        <v>#N/A</v>
      </c>
      <c r="S92" t="e">
        <f>_xlfn.IFNA(51-MATCH(Songs!$A92,Data!J$2:J$51,0),NA())</f>
        <v>#N/A</v>
      </c>
      <c r="T92" t="e">
        <f>_xlfn.IFNA(51-MATCH(Songs!$A92,Data!K$2:K$51,0),NA())</f>
        <v>#N/A</v>
      </c>
      <c r="U92" t="e">
        <f>_xlfn.IFNA(51-MATCH(Songs!$A92,Data!L$2:L$51,0),NA())</f>
        <v>#N/A</v>
      </c>
      <c r="V92">
        <f>_xlfn.IFNA(51-MATCH(Songs!$A92,Data!M$2:M$51,0),NA())</f>
        <v>42</v>
      </c>
      <c r="W92">
        <f>_xlfn.IFNA(51-MATCH(Songs!$A92,Data!N$2:N$51,0),NA())</f>
        <v>22</v>
      </c>
      <c r="X92" t="e">
        <f>_xlfn.IFNA(51-MATCH(Songs!$A92,Data!O$2:O$51,0),NA())</f>
        <v>#N/A</v>
      </c>
      <c r="Y92" t="e">
        <f>_xlfn.IFNA(51-MATCH(Songs!$A92,Data!P$2:P$51,0),NA())</f>
        <v>#N/A</v>
      </c>
      <c r="Z92" t="e">
        <f>_xlfn.IFNA(51-MATCH(Songs!$A92,Data!Q$2:Q$51,0),NA())</f>
        <v>#N/A</v>
      </c>
      <c r="AA92" t="e">
        <f>_xlfn.IFNA(51-MATCH(Songs!$A92,Data!R$2:R$51,0),NA())</f>
        <v>#N/A</v>
      </c>
      <c r="AB92" t="e">
        <f>_xlfn.IFNA(51-MATCH(Songs!$A92,Data!S$2:S$51,0),NA())</f>
        <v>#N/A</v>
      </c>
      <c r="AC92" t="e">
        <f>_xlfn.IFNA(51-MATCH(Songs!$A92,Data!T$2:T$51,0),NA())</f>
        <v>#N/A</v>
      </c>
      <c r="AD92" t="e">
        <f>_xlfn.IFNA(51-MATCH(Songs!$A92,Data!U$2:U$51,0),NA())</f>
        <v>#N/A</v>
      </c>
    </row>
    <row r="93" spans="1:30" ht="15.75" customHeight="1" x14ac:dyDescent="0.25">
      <c r="A93" s="6" t="s">
        <v>190</v>
      </c>
      <c r="B93" s="2" t="s">
        <v>121</v>
      </c>
      <c r="C93" t="s">
        <v>211</v>
      </c>
      <c r="F93" s="6">
        <v>0</v>
      </c>
      <c r="G93" s="2">
        <f ca="1">COUNTIF(INDIRECT(_xlfn.CONCAT("Data!$B$2:", ADDRESS(51,COUNTA(Data!$1:$1)+1,1,1))), Songs!A93) + F93</f>
        <v>2</v>
      </c>
      <c r="H93" s="8"/>
      <c r="I93" s="8"/>
      <c r="J93" s="8" cm="1">
        <f t="array" ref="J93">51 - MAX(IF(NOT(ISNA(K93:BB93)),K93:BB93))</f>
        <v>11</v>
      </c>
      <c r="K93" t="e">
        <f>_xlfn.IFNA(51-MATCH(Songs!$A93,Data!B$2:B$51,0),NA())</f>
        <v>#N/A</v>
      </c>
      <c r="L93" t="e">
        <f>_xlfn.IFNA(51-MATCH(Songs!$A93,Data!C$2:C$51,0),NA())</f>
        <v>#N/A</v>
      </c>
      <c r="M93" t="e">
        <f>_xlfn.IFNA(51-MATCH(Songs!$A93,Data!D$2:D$51,0),NA())</f>
        <v>#N/A</v>
      </c>
      <c r="N93" t="e">
        <f>_xlfn.IFNA(51-MATCH(Songs!$A93,Data!E$2:E$51,0),NA())</f>
        <v>#N/A</v>
      </c>
      <c r="O93" t="e">
        <f>_xlfn.IFNA(51-MATCH(Songs!$A93,Data!F$2:F$51,0),NA())</f>
        <v>#N/A</v>
      </c>
      <c r="P93" t="e">
        <f>_xlfn.IFNA(51-MATCH(Songs!$A93,Data!G$2:G$51,0),NA())</f>
        <v>#N/A</v>
      </c>
      <c r="Q93" t="e">
        <f>_xlfn.IFNA(51-MATCH(Songs!$A93,Data!H$2:H$51,0),NA())</f>
        <v>#N/A</v>
      </c>
      <c r="R93" t="e">
        <f>_xlfn.IFNA(51-MATCH(Songs!$A93,Data!I$2:I$51,0),NA())</f>
        <v>#N/A</v>
      </c>
      <c r="S93" t="e">
        <f>_xlfn.IFNA(51-MATCH(Songs!$A93,Data!J$2:J$51,0),NA())</f>
        <v>#N/A</v>
      </c>
      <c r="T93" t="e">
        <f>_xlfn.IFNA(51-MATCH(Songs!$A93,Data!K$2:K$51,0),NA())</f>
        <v>#N/A</v>
      </c>
      <c r="U93" t="e">
        <f>_xlfn.IFNA(51-MATCH(Songs!$A93,Data!L$2:L$51,0),NA())</f>
        <v>#N/A</v>
      </c>
      <c r="V93">
        <f>_xlfn.IFNA(51-MATCH(Songs!$A93,Data!M$2:M$51,0),NA())</f>
        <v>40</v>
      </c>
      <c r="W93">
        <f>_xlfn.IFNA(51-MATCH(Songs!$A93,Data!N$2:N$51,0),NA())</f>
        <v>15</v>
      </c>
      <c r="X93" t="e">
        <f>_xlfn.IFNA(51-MATCH(Songs!$A93,Data!O$2:O$51,0),NA())</f>
        <v>#N/A</v>
      </c>
      <c r="Y93" t="e">
        <f>_xlfn.IFNA(51-MATCH(Songs!$A93,Data!P$2:P$51,0),NA())</f>
        <v>#N/A</v>
      </c>
      <c r="Z93" t="e">
        <f>_xlfn.IFNA(51-MATCH(Songs!$A93,Data!Q$2:Q$51,0),NA())</f>
        <v>#N/A</v>
      </c>
      <c r="AA93" t="e">
        <f>_xlfn.IFNA(51-MATCH(Songs!$A93,Data!R$2:R$51,0),NA())</f>
        <v>#N/A</v>
      </c>
      <c r="AB93" t="e">
        <f>_xlfn.IFNA(51-MATCH(Songs!$A93,Data!S$2:S$51,0),NA())</f>
        <v>#N/A</v>
      </c>
      <c r="AC93" t="e">
        <f>_xlfn.IFNA(51-MATCH(Songs!$A93,Data!T$2:T$51,0),NA())</f>
        <v>#N/A</v>
      </c>
      <c r="AD93" t="e">
        <f>_xlfn.IFNA(51-MATCH(Songs!$A93,Data!U$2:U$51,0),NA())</f>
        <v>#N/A</v>
      </c>
    </row>
    <row r="94" spans="1:30" ht="15.75" customHeight="1" x14ac:dyDescent="0.25">
      <c r="A94" s="6" t="s">
        <v>191</v>
      </c>
      <c r="B94" s="2" t="s">
        <v>121</v>
      </c>
      <c r="C94" t="s">
        <v>212</v>
      </c>
      <c r="F94" s="6">
        <v>0</v>
      </c>
      <c r="G94" s="2">
        <f ca="1">COUNTIF(INDIRECT(_xlfn.CONCAT("Data!$B$2:", ADDRESS(51,COUNTA(Data!$1:$1)+1,1,1))), Songs!A94) + F94</f>
        <v>5</v>
      </c>
      <c r="H94" s="8"/>
      <c r="I94" s="8"/>
      <c r="J94" s="8" cm="1">
        <f t="array" ref="J94">51 - MAX(IF(NOT(ISNA(K94:BB94)),K94:BB94))</f>
        <v>12</v>
      </c>
      <c r="K94" t="e">
        <f>_xlfn.IFNA(51-MATCH(Songs!$A94,Data!B$2:B$51,0),NA())</f>
        <v>#N/A</v>
      </c>
      <c r="L94" t="e">
        <f>_xlfn.IFNA(51-MATCH(Songs!$A94,Data!C$2:C$51,0),NA())</f>
        <v>#N/A</v>
      </c>
      <c r="M94" t="e">
        <f>_xlfn.IFNA(51-MATCH(Songs!$A94,Data!D$2:D$51,0),NA())</f>
        <v>#N/A</v>
      </c>
      <c r="N94" t="e">
        <f>_xlfn.IFNA(51-MATCH(Songs!$A94,Data!E$2:E$51,0),NA())</f>
        <v>#N/A</v>
      </c>
      <c r="O94" t="e">
        <f>_xlfn.IFNA(51-MATCH(Songs!$A94,Data!F$2:F$51,0),NA())</f>
        <v>#N/A</v>
      </c>
      <c r="P94" t="e">
        <f>_xlfn.IFNA(51-MATCH(Songs!$A94,Data!G$2:G$51,0),NA())</f>
        <v>#N/A</v>
      </c>
      <c r="Q94" t="e">
        <f>_xlfn.IFNA(51-MATCH(Songs!$A94,Data!H$2:H$51,0),NA())</f>
        <v>#N/A</v>
      </c>
      <c r="R94" t="e">
        <f>_xlfn.IFNA(51-MATCH(Songs!$A94,Data!I$2:I$51,0),NA())</f>
        <v>#N/A</v>
      </c>
      <c r="S94" t="e">
        <f>_xlfn.IFNA(51-MATCH(Songs!$A94,Data!J$2:J$51,0),NA())</f>
        <v>#N/A</v>
      </c>
      <c r="T94" t="e">
        <f>_xlfn.IFNA(51-MATCH(Songs!$A94,Data!K$2:K$51,0),NA())</f>
        <v>#N/A</v>
      </c>
      <c r="U94" t="e">
        <f>_xlfn.IFNA(51-MATCH(Songs!$A94,Data!L$2:L$51,0),NA())</f>
        <v>#N/A</v>
      </c>
      <c r="V94">
        <f>_xlfn.IFNA(51-MATCH(Songs!$A94,Data!M$2:M$51,0),NA())</f>
        <v>39</v>
      </c>
      <c r="W94">
        <f>_xlfn.IFNA(51-MATCH(Songs!$A94,Data!N$2:N$51,0),NA())</f>
        <v>31</v>
      </c>
      <c r="X94">
        <f>_xlfn.IFNA(51-MATCH(Songs!$A94,Data!O$2:O$51,0),NA())</f>
        <v>18</v>
      </c>
      <c r="Y94">
        <f>_xlfn.IFNA(51-MATCH(Songs!$A94,Data!P$2:P$51,0),NA())</f>
        <v>12</v>
      </c>
      <c r="Z94">
        <f>_xlfn.IFNA(51-MATCH(Songs!$A94,Data!Q$2:Q$51,0),NA())</f>
        <v>4</v>
      </c>
      <c r="AA94" t="e">
        <f>_xlfn.IFNA(51-MATCH(Songs!$A94,Data!R$2:R$51,0),NA())</f>
        <v>#N/A</v>
      </c>
      <c r="AB94" t="e">
        <f>_xlfn.IFNA(51-MATCH(Songs!$A94,Data!S$2:S$51,0),NA())</f>
        <v>#N/A</v>
      </c>
      <c r="AC94" t="e">
        <f>_xlfn.IFNA(51-MATCH(Songs!$A94,Data!T$2:T$51,0),NA())</f>
        <v>#N/A</v>
      </c>
      <c r="AD94" t="e">
        <f>_xlfn.IFNA(51-MATCH(Songs!$A94,Data!U$2:U$51,0),NA())</f>
        <v>#N/A</v>
      </c>
    </row>
    <row r="95" spans="1:30" ht="15.75" customHeight="1" x14ac:dyDescent="0.25">
      <c r="A95" s="6" t="s">
        <v>192</v>
      </c>
      <c r="B95" s="2" t="s">
        <v>121</v>
      </c>
      <c r="F95" s="6">
        <v>0</v>
      </c>
      <c r="G95" s="2">
        <f ca="1">COUNTIF(INDIRECT(_xlfn.CONCAT("Data!$B$2:", ADDRESS(51,COUNTA(Data!$1:$1)+1,1,1))), Songs!A95) + F95</f>
        <v>3</v>
      </c>
      <c r="H95" s="8"/>
      <c r="I95" s="8"/>
      <c r="J95" s="8" cm="1">
        <f t="array" ref="J95">51 - MAX(IF(NOT(ISNA(K95:BB95)),K95:BB95))</f>
        <v>15</v>
      </c>
      <c r="K95" t="e">
        <f>_xlfn.IFNA(51-MATCH(Songs!$A95,Data!B$2:B$51,0),NA())</f>
        <v>#N/A</v>
      </c>
      <c r="L95" t="e">
        <f>_xlfn.IFNA(51-MATCH(Songs!$A95,Data!C$2:C$51,0),NA())</f>
        <v>#N/A</v>
      </c>
      <c r="M95" t="e">
        <f>_xlfn.IFNA(51-MATCH(Songs!$A95,Data!D$2:D$51,0),NA())</f>
        <v>#N/A</v>
      </c>
      <c r="N95" t="e">
        <f>_xlfn.IFNA(51-MATCH(Songs!$A95,Data!E$2:E$51,0),NA())</f>
        <v>#N/A</v>
      </c>
      <c r="O95" t="e">
        <f>_xlfn.IFNA(51-MATCH(Songs!$A95,Data!F$2:F$51,0),NA())</f>
        <v>#N/A</v>
      </c>
      <c r="P95" t="e">
        <f>_xlfn.IFNA(51-MATCH(Songs!$A95,Data!G$2:G$51,0),NA())</f>
        <v>#N/A</v>
      </c>
      <c r="Q95" t="e">
        <f>_xlfn.IFNA(51-MATCH(Songs!$A95,Data!H$2:H$51,0),NA())</f>
        <v>#N/A</v>
      </c>
      <c r="R95" t="e">
        <f>_xlfn.IFNA(51-MATCH(Songs!$A95,Data!I$2:I$51,0),NA())</f>
        <v>#N/A</v>
      </c>
      <c r="S95" t="e">
        <f>_xlfn.IFNA(51-MATCH(Songs!$A95,Data!J$2:J$51,0),NA())</f>
        <v>#N/A</v>
      </c>
      <c r="T95" t="e">
        <f>_xlfn.IFNA(51-MATCH(Songs!$A95,Data!K$2:K$51,0),NA())</f>
        <v>#N/A</v>
      </c>
      <c r="U95" t="e">
        <f>_xlfn.IFNA(51-MATCH(Songs!$A95,Data!L$2:L$51,0),NA())</f>
        <v>#N/A</v>
      </c>
      <c r="V95">
        <f>_xlfn.IFNA(51-MATCH(Songs!$A95,Data!M$2:M$51,0),NA())</f>
        <v>36</v>
      </c>
      <c r="W95">
        <f>_xlfn.IFNA(51-MATCH(Songs!$A95,Data!N$2:N$51,0),NA())</f>
        <v>20</v>
      </c>
      <c r="X95">
        <f>_xlfn.IFNA(51-MATCH(Songs!$A95,Data!O$2:O$51,0),NA())</f>
        <v>3</v>
      </c>
      <c r="Y95" t="e">
        <f>_xlfn.IFNA(51-MATCH(Songs!$A95,Data!P$2:P$51,0),NA())</f>
        <v>#N/A</v>
      </c>
      <c r="Z95" t="e">
        <f>_xlfn.IFNA(51-MATCH(Songs!$A95,Data!Q$2:Q$51,0),NA())</f>
        <v>#N/A</v>
      </c>
      <c r="AA95" t="e">
        <f>_xlfn.IFNA(51-MATCH(Songs!$A95,Data!R$2:R$51,0),NA())</f>
        <v>#N/A</v>
      </c>
      <c r="AB95" t="e">
        <f>_xlfn.IFNA(51-MATCH(Songs!$A95,Data!S$2:S$51,0),NA())</f>
        <v>#N/A</v>
      </c>
      <c r="AC95" t="e">
        <f>_xlfn.IFNA(51-MATCH(Songs!$A95,Data!T$2:T$51,0),NA())</f>
        <v>#N/A</v>
      </c>
      <c r="AD95" t="e">
        <f>_xlfn.IFNA(51-MATCH(Songs!$A95,Data!U$2:U$51,0),NA())</f>
        <v>#N/A</v>
      </c>
    </row>
    <row r="96" spans="1:30" ht="15.75" customHeight="1" x14ac:dyDescent="0.25">
      <c r="A96" s="6" t="s">
        <v>193</v>
      </c>
      <c r="B96" s="2" t="s">
        <v>121</v>
      </c>
      <c r="F96" s="6">
        <v>0</v>
      </c>
      <c r="G96" s="2">
        <f ca="1">COUNTIF(INDIRECT(_xlfn.CONCAT("Data!$B$2:", ADDRESS(51,COUNTA(Data!$1:$1)+1,1,1))), Songs!A96) + F96</f>
        <v>2</v>
      </c>
      <c r="H96" s="8"/>
      <c r="I96" s="8"/>
      <c r="J96" s="8" cm="1">
        <f t="array" ref="J96">51 - MAX(IF(NOT(ISNA(K96:BB96)),K96:BB96))</f>
        <v>16</v>
      </c>
      <c r="K96" t="e">
        <f>_xlfn.IFNA(51-MATCH(Songs!$A96,Data!B$2:B$51,0),NA())</f>
        <v>#N/A</v>
      </c>
      <c r="L96" t="e">
        <f>_xlfn.IFNA(51-MATCH(Songs!$A96,Data!C$2:C$51,0),NA())</f>
        <v>#N/A</v>
      </c>
      <c r="M96" t="e">
        <f>_xlfn.IFNA(51-MATCH(Songs!$A96,Data!D$2:D$51,0),NA())</f>
        <v>#N/A</v>
      </c>
      <c r="N96" t="e">
        <f>_xlfn.IFNA(51-MATCH(Songs!$A96,Data!E$2:E$51,0),NA())</f>
        <v>#N/A</v>
      </c>
      <c r="O96" t="e">
        <f>_xlfn.IFNA(51-MATCH(Songs!$A96,Data!F$2:F$51,0),NA())</f>
        <v>#N/A</v>
      </c>
      <c r="P96" t="e">
        <f>_xlfn.IFNA(51-MATCH(Songs!$A96,Data!G$2:G$51,0),NA())</f>
        <v>#N/A</v>
      </c>
      <c r="Q96" t="e">
        <f>_xlfn.IFNA(51-MATCH(Songs!$A96,Data!H$2:H$51,0),NA())</f>
        <v>#N/A</v>
      </c>
      <c r="R96" t="e">
        <f>_xlfn.IFNA(51-MATCH(Songs!$A96,Data!I$2:I$51,0),NA())</f>
        <v>#N/A</v>
      </c>
      <c r="S96" t="e">
        <f>_xlfn.IFNA(51-MATCH(Songs!$A96,Data!J$2:J$51,0),NA())</f>
        <v>#N/A</v>
      </c>
      <c r="T96" t="e">
        <f>_xlfn.IFNA(51-MATCH(Songs!$A96,Data!K$2:K$51,0),NA())</f>
        <v>#N/A</v>
      </c>
      <c r="U96" t="e">
        <f>_xlfn.IFNA(51-MATCH(Songs!$A96,Data!L$2:L$51,0),NA())</f>
        <v>#N/A</v>
      </c>
      <c r="V96">
        <f>_xlfn.IFNA(51-MATCH(Songs!$A96,Data!M$2:M$51,0),NA())</f>
        <v>35</v>
      </c>
      <c r="W96">
        <f>_xlfn.IFNA(51-MATCH(Songs!$A96,Data!N$2:N$51,0),NA())</f>
        <v>10</v>
      </c>
      <c r="X96" t="e">
        <f>_xlfn.IFNA(51-MATCH(Songs!$A96,Data!O$2:O$51,0),NA())</f>
        <v>#N/A</v>
      </c>
      <c r="Y96" t="e">
        <f>_xlfn.IFNA(51-MATCH(Songs!$A96,Data!P$2:P$51,0),NA())</f>
        <v>#N/A</v>
      </c>
      <c r="Z96" t="e">
        <f>_xlfn.IFNA(51-MATCH(Songs!$A96,Data!Q$2:Q$51,0),NA())</f>
        <v>#N/A</v>
      </c>
      <c r="AA96" t="e">
        <f>_xlfn.IFNA(51-MATCH(Songs!$A96,Data!R$2:R$51,0),NA())</f>
        <v>#N/A</v>
      </c>
      <c r="AB96" t="e">
        <f>_xlfn.IFNA(51-MATCH(Songs!$A96,Data!S$2:S$51,0),NA())</f>
        <v>#N/A</v>
      </c>
      <c r="AC96" t="e">
        <f>_xlfn.IFNA(51-MATCH(Songs!$A96,Data!T$2:T$51,0),NA())</f>
        <v>#N/A</v>
      </c>
      <c r="AD96" t="e">
        <f>_xlfn.IFNA(51-MATCH(Songs!$A96,Data!U$2:U$51,0),NA())</f>
        <v>#N/A</v>
      </c>
    </row>
    <row r="97" spans="1:30" ht="15.75" customHeight="1" x14ac:dyDescent="0.25">
      <c r="A97" s="6" t="s">
        <v>195</v>
      </c>
      <c r="B97" s="2" t="s">
        <v>121</v>
      </c>
      <c r="F97" s="6">
        <v>0</v>
      </c>
      <c r="G97" s="2">
        <f ca="1">COUNTIF(INDIRECT(_xlfn.CONCAT("Data!$B$2:", ADDRESS(51,COUNTA(Data!$1:$1)+1,1,1))), Songs!A97) + F97</f>
        <v>2</v>
      </c>
      <c r="H97" s="8"/>
      <c r="I97" s="8"/>
      <c r="J97" s="8" cm="1">
        <f t="array" ref="J97">51 - MAX(IF(NOT(ISNA(K97:BB97)),K97:BB97))</f>
        <v>17</v>
      </c>
      <c r="K97" t="e">
        <f>_xlfn.IFNA(51-MATCH(Songs!$A97,Data!B$2:B$51,0),NA())</f>
        <v>#N/A</v>
      </c>
      <c r="L97" t="e">
        <f>_xlfn.IFNA(51-MATCH(Songs!$A97,Data!C$2:C$51,0),NA())</f>
        <v>#N/A</v>
      </c>
      <c r="M97" t="e">
        <f>_xlfn.IFNA(51-MATCH(Songs!$A97,Data!D$2:D$51,0),NA())</f>
        <v>#N/A</v>
      </c>
      <c r="N97" t="e">
        <f>_xlfn.IFNA(51-MATCH(Songs!$A97,Data!E$2:E$51,0),NA())</f>
        <v>#N/A</v>
      </c>
      <c r="O97" t="e">
        <f>_xlfn.IFNA(51-MATCH(Songs!$A97,Data!F$2:F$51,0),NA())</f>
        <v>#N/A</v>
      </c>
      <c r="P97" t="e">
        <f>_xlfn.IFNA(51-MATCH(Songs!$A97,Data!G$2:G$51,0),NA())</f>
        <v>#N/A</v>
      </c>
      <c r="Q97" t="e">
        <f>_xlfn.IFNA(51-MATCH(Songs!$A97,Data!H$2:H$51,0),NA())</f>
        <v>#N/A</v>
      </c>
      <c r="R97" t="e">
        <f>_xlfn.IFNA(51-MATCH(Songs!$A97,Data!I$2:I$51,0),NA())</f>
        <v>#N/A</v>
      </c>
      <c r="S97" t="e">
        <f>_xlfn.IFNA(51-MATCH(Songs!$A97,Data!J$2:J$51,0),NA())</f>
        <v>#N/A</v>
      </c>
      <c r="T97" t="e">
        <f>_xlfn.IFNA(51-MATCH(Songs!$A97,Data!K$2:K$51,0),NA())</f>
        <v>#N/A</v>
      </c>
      <c r="U97" t="e">
        <f>_xlfn.IFNA(51-MATCH(Songs!$A97,Data!L$2:L$51,0),NA())</f>
        <v>#N/A</v>
      </c>
      <c r="V97">
        <f>_xlfn.IFNA(51-MATCH(Songs!$A97,Data!M$2:M$51,0),NA())</f>
        <v>34</v>
      </c>
      <c r="W97">
        <f>_xlfn.IFNA(51-MATCH(Songs!$A97,Data!N$2:N$51,0),NA())</f>
        <v>5</v>
      </c>
      <c r="X97" t="e">
        <f>_xlfn.IFNA(51-MATCH(Songs!$A97,Data!O$2:O$51,0),NA())</f>
        <v>#N/A</v>
      </c>
      <c r="Y97" t="e">
        <f>_xlfn.IFNA(51-MATCH(Songs!$A97,Data!P$2:P$51,0),NA())</f>
        <v>#N/A</v>
      </c>
      <c r="Z97" t="e">
        <f>_xlfn.IFNA(51-MATCH(Songs!$A97,Data!Q$2:Q$51,0),NA())</f>
        <v>#N/A</v>
      </c>
      <c r="AA97" t="e">
        <f>_xlfn.IFNA(51-MATCH(Songs!$A97,Data!R$2:R$51,0),NA())</f>
        <v>#N/A</v>
      </c>
      <c r="AB97" t="e">
        <f>_xlfn.IFNA(51-MATCH(Songs!$A97,Data!S$2:S$51,0),NA())</f>
        <v>#N/A</v>
      </c>
      <c r="AC97" t="e">
        <f>_xlfn.IFNA(51-MATCH(Songs!$A97,Data!T$2:T$51,0),NA())</f>
        <v>#N/A</v>
      </c>
      <c r="AD97" t="e">
        <f>_xlfn.IFNA(51-MATCH(Songs!$A97,Data!U$2:U$51,0),NA())</f>
        <v>#N/A</v>
      </c>
    </row>
    <row r="98" spans="1:30" ht="15.75" customHeight="1" x14ac:dyDescent="0.25">
      <c r="A98" s="6" t="s">
        <v>196</v>
      </c>
      <c r="B98" s="2" t="s">
        <v>121</v>
      </c>
      <c r="C98" t="s">
        <v>213</v>
      </c>
      <c r="F98" s="6">
        <v>0</v>
      </c>
      <c r="G98" s="2">
        <f ca="1">COUNTIF(INDIRECT(_xlfn.CONCAT("Data!$B$2:", ADDRESS(51,COUNTA(Data!$1:$1)+1,1,1))), Songs!A98) + F98</f>
        <v>2</v>
      </c>
      <c r="H98" s="8"/>
      <c r="I98" s="8"/>
      <c r="J98" s="8" cm="1">
        <f t="array" ref="J98">51 - MAX(IF(NOT(ISNA(K98:BB98)),K98:BB98))</f>
        <v>20</v>
      </c>
      <c r="K98" t="e">
        <f>_xlfn.IFNA(51-MATCH(Songs!$A98,Data!B$2:B$51,0),NA())</f>
        <v>#N/A</v>
      </c>
      <c r="L98" t="e">
        <f>_xlfn.IFNA(51-MATCH(Songs!$A98,Data!C$2:C$51,0),NA())</f>
        <v>#N/A</v>
      </c>
      <c r="M98" t="e">
        <f>_xlfn.IFNA(51-MATCH(Songs!$A98,Data!D$2:D$51,0),NA())</f>
        <v>#N/A</v>
      </c>
      <c r="N98" t="e">
        <f>_xlfn.IFNA(51-MATCH(Songs!$A98,Data!E$2:E$51,0),NA())</f>
        <v>#N/A</v>
      </c>
      <c r="O98" t="e">
        <f>_xlfn.IFNA(51-MATCH(Songs!$A98,Data!F$2:F$51,0),NA())</f>
        <v>#N/A</v>
      </c>
      <c r="P98" t="e">
        <f>_xlfn.IFNA(51-MATCH(Songs!$A98,Data!G$2:G$51,0),NA())</f>
        <v>#N/A</v>
      </c>
      <c r="Q98" t="e">
        <f>_xlfn.IFNA(51-MATCH(Songs!$A98,Data!H$2:H$51,0),NA())</f>
        <v>#N/A</v>
      </c>
      <c r="R98" t="e">
        <f>_xlfn.IFNA(51-MATCH(Songs!$A98,Data!I$2:I$51,0),NA())</f>
        <v>#N/A</v>
      </c>
      <c r="S98" t="e">
        <f>_xlfn.IFNA(51-MATCH(Songs!$A98,Data!J$2:J$51,0),NA())</f>
        <v>#N/A</v>
      </c>
      <c r="T98" t="e">
        <f>_xlfn.IFNA(51-MATCH(Songs!$A98,Data!K$2:K$51,0),NA())</f>
        <v>#N/A</v>
      </c>
      <c r="U98" t="e">
        <f>_xlfn.IFNA(51-MATCH(Songs!$A98,Data!L$2:L$51,0),NA())</f>
        <v>#N/A</v>
      </c>
      <c r="V98">
        <f>_xlfn.IFNA(51-MATCH(Songs!$A98,Data!M$2:M$51,0),NA())</f>
        <v>31</v>
      </c>
      <c r="W98">
        <f>_xlfn.IFNA(51-MATCH(Songs!$A98,Data!N$2:N$51,0),NA())</f>
        <v>8</v>
      </c>
      <c r="X98" t="e">
        <f>_xlfn.IFNA(51-MATCH(Songs!$A98,Data!O$2:O$51,0),NA())</f>
        <v>#N/A</v>
      </c>
      <c r="Y98" t="e">
        <f>_xlfn.IFNA(51-MATCH(Songs!$A98,Data!P$2:P$51,0),NA())</f>
        <v>#N/A</v>
      </c>
      <c r="Z98" t="e">
        <f>_xlfn.IFNA(51-MATCH(Songs!$A98,Data!Q$2:Q$51,0),NA())</f>
        <v>#N/A</v>
      </c>
      <c r="AA98" t="e">
        <f>_xlfn.IFNA(51-MATCH(Songs!$A98,Data!R$2:R$51,0),NA())</f>
        <v>#N/A</v>
      </c>
      <c r="AB98" t="e">
        <f>_xlfn.IFNA(51-MATCH(Songs!$A98,Data!S$2:S$51,0),NA())</f>
        <v>#N/A</v>
      </c>
      <c r="AC98" t="e">
        <f>_xlfn.IFNA(51-MATCH(Songs!$A98,Data!T$2:T$51,0),NA())</f>
        <v>#N/A</v>
      </c>
      <c r="AD98" t="e">
        <f>_xlfn.IFNA(51-MATCH(Songs!$A98,Data!U$2:U$51,0),NA())</f>
        <v>#N/A</v>
      </c>
    </row>
    <row r="99" spans="1:30" ht="15.75" customHeight="1" x14ac:dyDescent="0.25">
      <c r="A99" s="6" t="s">
        <v>197</v>
      </c>
      <c r="B99" s="2" t="s">
        <v>121</v>
      </c>
      <c r="F99" s="6">
        <v>0</v>
      </c>
      <c r="G99" s="2">
        <f ca="1">COUNTIF(INDIRECT(_xlfn.CONCAT("Data!$B$2:", ADDRESS(51,COUNTA(Data!$1:$1)+1,1,1))), Songs!A99) + F99</f>
        <v>1</v>
      </c>
      <c r="H99" s="8"/>
      <c r="I99" s="8"/>
      <c r="J99" s="8" cm="1">
        <f t="array" ref="J99">51 - MAX(IF(NOT(ISNA(K99:BB99)),K99:BB99))</f>
        <v>22</v>
      </c>
      <c r="K99" t="e">
        <f>_xlfn.IFNA(51-MATCH(Songs!$A99,Data!B$2:B$51,0),NA())</f>
        <v>#N/A</v>
      </c>
      <c r="L99" t="e">
        <f>_xlfn.IFNA(51-MATCH(Songs!$A99,Data!C$2:C$51,0),NA())</f>
        <v>#N/A</v>
      </c>
      <c r="M99" t="e">
        <f>_xlfn.IFNA(51-MATCH(Songs!$A99,Data!D$2:D$51,0),NA())</f>
        <v>#N/A</v>
      </c>
      <c r="N99" t="e">
        <f>_xlfn.IFNA(51-MATCH(Songs!$A99,Data!E$2:E$51,0),NA())</f>
        <v>#N/A</v>
      </c>
      <c r="O99" t="e">
        <f>_xlfn.IFNA(51-MATCH(Songs!$A99,Data!F$2:F$51,0),NA())</f>
        <v>#N/A</v>
      </c>
      <c r="P99" t="e">
        <f>_xlfn.IFNA(51-MATCH(Songs!$A99,Data!G$2:G$51,0),NA())</f>
        <v>#N/A</v>
      </c>
      <c r="Q99" t="e">
        <f>_xlfn.IFNA(51-MATCH(Songs!$A99,Data!H$2:H$51,0),NA())</f>
        <v>#N/A</v>
      </c>
      <c r="R99" t="e">
        <f>_xlfn.IFNA(51-MATCH(Songs!$A99,Data!I$2:I$51,0),NA())</f>
        <v>#N/A</v>
      </c>
      <c r="S99" t="e">
        <f>_xlfn.IFNA(51-MATCH(Songs!$A99,Data!J$2:J$51,0),NA())</f>
        <v>#N/A</v>
      </c>
      <c r="T99" t="e">
        <f>_xlfn.IFNA(51-MATCH(Songs!$A99,Data!K$2:K$51,0),NA())</f>
        <v>#N/A</v>
      </c>
      <c r="U99" t="e">
        <f>_xlfn.IFNA(51-MATCH(Songs!$A99,Data!L$2:L$51,0),NA())</f>
        <v>#N/A</v>
      </c>
      <c r="V99">
        <f>_xlfn.IFNA(51-MATCH(Songs!$A99,Data!M$2:M$51,0),NA())</f>
        <v>29</v>
      </c>
      <c r="W99" t="e">
        <f>_xlfn.IFNA(51-MATCH(Songs!$A99,Data!N$2:N$51,0),NA())</f>
        <v>#N/A</v>
      </c>
      <c r="X99" t="e">
        <f>_xlfn.IFNA(51-MATCH(Songs!$A99,Data!O$2:O$51,0),NA())</f>
        <v>#N/A</v>
      </c>
      <c r="Y99" t="e">
        <f>_xlfn.IFNA(51-MATCH(Songs!$A99,Data!P$2:P$51,0),NA())</f>
        <v>#N/A</v>
      </c>
      <c r="Z99" t="e">
        <f>_xlfn.IFNA(51-MATCH(Songs!$A99,Data!Q$2:Q$51,0),NA())</f>
        <v>#N/A</v>
      </c>
      <c r="AA99" t="e">
        <f>_xlfn.IFNA(51-MATCH(Songs!$A99,Data!R$2:R$51,0),NA())</f>
        <v>#N/A</v>
      </c>
      <c r="AB99" t="e">
        <f>_xlfn.IFNA(51-MATCH(Songs!$A99,Data!S$2:S$51,0),NA())</f>
        <v>#N/A</v>
      </c>
      <c r="AC99" t="e">
        <f>_xlfn.IFNA(51-MATCH(Songs!$A99,Data!T$2:T$51,0),NA())</f>
        <v>#N/A</v>
      </c>
      <c r="AD99" t="e">
        <f>_xlfn.IFNA(51-MATCH(Songs!$A99,Data!U$2:U$51,0),NA())</f>
        <v>#N/A</v>
      </c>
    </row>
    <row r="100" spans="1:30" ht="15.75" customHeight="1" x14ac:dyDescent="0.25">
      <c r="A100" s="6" t="s">
        <v>198</v>
      </c>
      <c r="B100" s="2" t="s">
        <v>121</v>
      </c>
      <c r="F100" s="6">
        <v>0</v>
      </c>
      <c r="G100" s="2">
        <f ca="1">COUNTIF(INDIRECT(_xlfn.CONCAT("Data!$B$2:", ADDRESS(51,COUNTA(Data!$1:$1)+1,1,1))), Songs!A100) + F100</f>
        <v>1</v>
      </c>
      <c r="H100" s="8"/>
      <c r="I100" s="8"/>
      <c r="J100" s="8" cm="1">
        <f t="array" ref="J100">51 - MAX(IF(NOT(ISNA(K100:BB100)),K100:BB100))</f>
        <v>23</v>
      </c>
      <c r="K100" t="e">
        <f>_xlfn.IFNA(51-MATCH(Songs!$A100,Data!B$2:B$51,0),NA())</f>
        <v>#N/A</v>
      </c>
      <c r="L100" t="e">
        <f>_xlfn.IFNA(51-MATCH(Songs!$A100,Data!C$2:C$51,0),NA())</f>
        <v>#N/A</v>
      </c>
      <c r="M100" t="e">
        <f>_xlfn.IFNA(51-MATCH(Songs!$A100,Data!D$2:D$51,0),NA())</f>
        <v>#N/A</v>
      </c>
      <c r="N100" t="e">
        <f>_xlfn.IFNA(51-MATCH(Songs!$A100,Data!E$2:E$51,0),NA())</f>
        <v>#N/A</v>
      </c>
      <c r="O100" t="e">
        <f>_xlfn.IFNA(51-MATCH(Songs!$A100,Data!F$2:F$51,0),NA())</f>
        <v>#N/A</v>
      </c>
      <c r="P100" t="e">
        <f>_xlfn.IFNA(51-MATCH(Songs!$A100,Data!G$2:G$51,0),NA())</f>
        <v>#N/A</v>
      </c>
      <c r="Q100" t="e">
        <f>_xlfn.IFNA(51-MATCH(Songs!$A100,Data!H$2:H$51,0),NA())</f>
        <v>#N/A</v>
      </c>
      <c r="R100" t="e">
        <f>_xlfn.IFNA(51-MATCH(Songs!$A100,Data!I$2:I$51,0),NA())</f>
        <v>#N/A</v>
      </c>
      <c r="S100" t="e">
        <f>_xlfn.IFNA(51-MATCH(Songs!$A100,Data!J$2:J$51,0),NA())</f>
        <v>#N/A</v>
      </c>
      <c r="T100" t="e">
        <f>_xlfn.IFNA(51-MATCH(Songs!$A100,Data!K$2:K$51,0),NA())</f>
        <v>#N/A</v>
      </c>
      <c r="U100" t="e">
        <f>_xlfn.IFNA(51-MATCH(Songs!$A100,Data!L$2:L$51,0),NA())</f>
        <v>#N/A</v>
      </c>
      <c r="V100">
        <f>_xlfn.IFNA(51-MATCH(Songs!$A100,Data!M$2:M$51,0),NA())</f>
        <v>28</v>
      </c>
      <c r="W100" t="e">
        <f>_xlfn.IFNA(51-MATCH(Songs!$A100,Data!N$2:N$51,0),NA())</f>
        <v>#N/A</v>
      </c>
      <c r="X100" t="e">
        <f>_xlfn.IFNA(51-MATCH(Songs!$A100,Data!O$2:O$51,0),NA())</f>
        <v>#N/A</v>
      </c>
      <c r="Y100" t="e">
        <f>_xlfn.IFNA(51-MATCH(Songs!$A100,Data!P$2:P$51,0),NA())</f>
        <v>#N/A</v>
      </c>
      <c r="Z100" t="e">
        <f>_xlfn.IFNA(51-MATCH(Songs!$A100,Data!Q$2:Q$51,0),NA())</f>
        <v>#N/A</v>
      </c>
      <c r="AA100" t="e">
        <f>_xlfn.IFNA(51-MATCH(Songs!$A100,Data!R$2:R$51,0),NA())</f>
        <v>#N/A</v>
      </c>
      <c r="AB100" t="e">
        <f>_xlfn.IFNA(51-MATCH(Songs!$A100,Data!S$2:S$51,0),NA())</f>
        <v>#N/A</v>
      </c>
      <c r="AC100" t="e">
        <f>_xlfn.IFNA(51-MATCH(Songs!$A100,Data!T$2:T$51,0),NA())</f>
        <v>#N/A</v>
      </c>
      <c r="AD100" t="e">
        <f>_xlfn.IFNA(51-MATCH(Songs!$A100,Data!U$2:U$51,0),NA())</f>
        <v>#N/A</v>
      </c>
    </row>
    <row r="101" spans="1:30" ht="15.75" customHeight="1" x14ac:dyDescent="0.25">
      <c r="A101" s="6" t="s">
        <v>199</v>
      </c>
      <c r="B101" s="2" t="s">
        <v>143</v>
      </c>
      <c r="F101" s="6">
        <v>0</v>
      </c>
      <c r="G101" s="2">
        <f ca="1">COUNTIF(INDIRECT(_xlfn.CONCAT("Data!$B$2:", ADDRESS(51,COUNTA(Data!$1:$1)+1,1,1))), Songs!A101) + F101</f>
        <v>6</v>
      </c>
      <c r="H101" s="8"/>
      <c r="I101" s="8"/>
      <c r="J101" s="8" cm="1">
        <f t="array" ref="J101">51 - MAX(IF(NOT(ISNA(K101:BB101)),K101:BB101))</f>
        <v>11</v>
      </c>
      <c r="K101" t="e">
        <f>_xlfn.IFNA(51-MATCH(Songs!$A101,Data!B$2:B$51,0),NA())</f>
        <v>#N/A</v>
      </c>
      <c r="L101" t="e">
        <f>_xlfn.IFNA(51-MATCH(Songs!$A101,Data!C$2:C$51,0),NA())</f>
        <v>#N/A</v>
      </c>
      <c r="M101" t="e">
        <f>_xlfn.IFNA(51-MATCH(Songs!$A101,Data!D$2:D$51,0),NA())</f>
        <v>#N/A</v>
      </c>
      <c r="N101" t="e">
        <f>_xlfn.IFNA(51-MATCH(Songs!$A101,Data!E$2:E$51,0),NA())</f>
        <v>#N/A</v>
      </c>
      <c r="O101" t="e">
        <f>_xlfn.IFNA(51-MATCH(Songs!$A101,Data!F$2:F$51,0),NA())</f>
        <v>#N/A</v>
      </c>
      <c r="P101" t="e">
        <f>_xlfn.IFNA(51-MATCH(Songs!$A101,Data!G$2:G$51,0),NA())</f>
        <v>#N/A</v>
      </c>
      <c r="Q101" t="e">
        <f>_xlfn.IFNA(51-MATCH(Songs!$A101,Data!H$2:H$51,0),NA())</f>
        <v>#N/A</v>
      </c>
      <c r="R101" t="e">
        <f>_xlfn.IFNA(51-MATCH(Songs!$A101,Data!I$2:I$51,0),NA())</f>
        <v>#N/A</v>
      </c>
      <c r="S101" t="e">
        <f>_xlfn.IFNA(51-MATCH(Songs!$A101,Data!J$2:J$51,0),NA())</f>
        <v>#N/A</v>
      </c>
      <c r="T101" t="e">
        <f>_xlfn.IFNA(51-MATCH(Songs!$A101,Data!K$2:K$51,0),NA())</f>
        <v>#N/A</v>
      </c>
      <c r="U101" t="e">
        <f>_xlfn.IFNA(51-MATCH(Songs!$A101,Data!L$2:L$51,0),NA())</f>
        <v>#N/A</v>
      </c>
      <c r="V101">
        <f>_xlfn.IFNA(51-MATCH(Songs!$A101,Data!M$2:M$51,0),NA())</f>
        <v>27</v>
      </c>
      <c r="W101">
        <f>_xlfn.IFNA(51-MATCH(Songs!$A101,Data!N$2:N$51,0),NA())</f>
        <v>29</v>
      </c>
      <c r="X101">
        <f>_xlfn.IFNA(51-MATCH(Songs!$A101,Data!O$2:O$51,0),NA())</f>
        <v>36</v>
      </c>
      <c r="Y101">
        <f>_xlfn.IFNA(51-MATCH(Songs!$A101,Data!P$2:P$51,0),NA())</f>
        <v>40</v>
      </c>
      <c r="Z101">
        <f>_xlfn.IFNA(51-MATCH(Songs!$A101,Data!Q$2:Q$51,0),NA())</f>
        <v>39</v>
      </c>
      <c r="AA101">
        <f>_xlfn.IFNA(51-MATCH(Songs!$A101,Data!R$2:R$51,0),NA())</f>
        <v>36</v>
      </c>
      <c r="AB101" t="e">
        <f>_xlfn.IFNA(51-MATCH(Songs!$A101,Data!S$2:S$51,0),NA())</f>
        <v>#N/A</v>
      </c>
      <c r="AC101" t="e">
        <f>_xlfn.IFNA(51-MATCH(Songs!$A101,Data!T$2:T$51,0),NA())</f>
        <v>#N/A</v>
      </c>
      <c r="AD101" t="e">
        <f>_xlfn.IFNA(51-MATCH(Songs!$A101,Data!U$2:U$51,0),NA())</f>
        <v>#N/A</v>
      </c>
    </row>
    <row r="102" spans="1:30" ht="15.75" customHeight="1" x14ac:dyDescent="0.25">
      <c r="A102" s="6" t="s">
        <v>200</v>
      </c>
      <c r="B102" s="2" t="s">
        <v>113</v>
      </c>
      <c r="F102" s="6">
        <v>0</v>
      </c>
      <c r="G102" s="2">
        <f ca="1">COUNTIF(INDIRECT(_xlfn.CONCAT("Data!$B$2:", ADDRESS(51,COUNTA(Data!$1:$1)+1,1,1))), Songs!A102) + F102</f>
        <v>5</v>
      </c>
      <c r="H102" s="8"/>
      <c r="I102" s="8"/>
      <c r="J102" s="8" cm="1">
        <f t="array" ref="J102">51 - MAX(IF(NOT(ISNA(K102:BB102)),K102:BB102))</f>
        <v>39</v>
      </c>
      <c r="K102" t="e">
        <f>_xlfn.IFNA(51-MATCH(Songs!$A102,Data!B$2:B$51,0),NA())</f>
        <v>#N/A</v>
      </c>
      <c r="L102" t="e">
        <f>_xlfn.IFNA(51-MATCH(Songs!$A102,Data!C$2:C$51,0),NA())</f>
        <v>#N/A</v>
      </c>
      <c r="M102" t="e">
        <f>_xlfn.IFNA(51-MATCH(Songs!$A102,Data!D$2:D$51,0),NA())</f>
        <v>#N/A</v>
      </c>
      <c r="N102" t="e">
        <f>_xlfn.IFNA(51-MATCH(Songs!$A102,Data!E$2:E$51,0),NA())</f>
        <v>#N/A</v>
      </c>
      <c r="O102" t="e">
        <f>_xlfn.IFNA(51-MATCH(Songs!$A102,Data!F$2:F$51,0),NA())</f>
        <v>#N/A</v>
      </c>
      <c r="P102" t="e">
        <f>_xlfn.IFNA(51-MATCH(Songs!$A102,Data!G$2:G$51,0),NA())</f>
        <v>#N/A</v>
      </c>
      <c r="Q102" t="e">
        <f>_xlfn.IFNA(51-MATCH(Songs!$A102,Data!H$2:H$51,0),NA())</f>
        <v>#N/A</v>
      </c>
      <c r="R102" t="e">
        <f>_xlfn.IFNA(51-MATCH(Songs!$A102,Data!I$2:I$51,0),NA())</f>
        <v>#N/A</v>
      </c>
      <c r="S102" t="e">
        <f>_xlfn.IFNA(51-MATCH(Songs!$A102,Data!J$2:J$51,0),NA())</f>
        <v>#N/A</v>
      </c>
      <c r="T102" t="e">
        <f>_xlfn.IFNA(51-MATCH(Songs!$A102,Data!K$2:K$51,0),NA())</f>
        <v>#N/A</v>
      </c>
      <c r="U102" t="e">
        <f>_xlfn.IFNA(51-MATCH(Songs!$A102,Data!L$2:L$51,0),NA())</f>
        <v>#N/A</v>
      </c>
      <c r="V102">
        <f>_xlfn.IFNA(51-MATCH(Songs!$A102,Data!M$2:M$51,0),NA())</f>
        <v>9</v>
      </c>
      <c r="W102" t="e">
        <f>_xlfn.IFNA(51-MATCH(Songs!$A102,Data!N$2:N$51,0),NA())</f>
        <v>#N/A</v>
      </c>
      <c r="X102">
        <f>_xlfn.IFNA(51-MATCH(Songs!$A102,Data!O$2:O$51,0),NA())</f>
        <v>7</v>
      </c>
      <c r="Y102">
        <f>_xlfn.IFNA(51-MATCH(Songs!$A102,Data!P$2:P$51,0),NA())</f>
        <v>11</v>
      </c>
      <c r="Z102">
        <f>_xlfn.IFNA(51-MATCH(Songs!$A102,Data!Q$2:Q$51,0),NA())</f>
        <v>12</v>
      </c>
      <c r="AA102">
        <f>_xlfn.IFNA(51-MATCH(Songs!$A102,Data!R$2:R$51,0),NA())</f>
        <v>9</v>
      </c>
      <c r="AB102" t="e">
        <f>_xlfn.IFNA(51-MATCH(Songs!$A102,Data!S$2:S$51,0),NA())</f>
        <v>#N/A</v>
      </c>
      <c r="AC102" t="e">
        <f>_xlfn.IFNA(51-MATCH(Songs!$A102,Data!T$2:T$51,0),NA())</f>
        <v>#N/A</v>
      </c>
      <c r="AD102" t="e">
        <f>_xlfn.IFNA(51-MATCH(Songs!$A102,Data!U$2:U$51,0),NA())</f>
        <v>#N/A</v>
      </c>
    </row>
    <row r="103" spans="1:30" ht="15.75" customHeight="1" x14ac:dyDescent="0.25">
      <c r="A103" s="6" t="s">
        <v>215</v>
      </c>
      <c r="B103" s="2" t="s">
        <v>142</v>
      </c>
      <c r="F103" s="6">
        <v>6</v>
      </c>
      <c r="G103" s="2">
        <f ca="1">COUNTIF(INDIRECT(_xlfn.CONCAT("Data!$B$2:", ADDRESS(51,COUNTA(Data!$1:$1)+1,1,1))), Songs!A103) + F103</f>
        <v>11</v>
      </c>
      <c r="H103" s="8"/>
      <c r="I103" s="8"/>
      <c r="J103" s="8" cm="1">
        <f t="array" ref="J103">51 - MAX(IF(NOT(ISNA(K103:BB103)),K103:BB103))</f>
        <v>6</v>
      </c>
      <c r="K103" t="e">
        <f>_xlfn.IFNA(51-MATCH(Songs!$A103,Data!B$2:B$51,0),NA())</f>
        <v>#N/A</v>
      </c>
      <c r="L103" t="e">
        <f>_xlfn.IFNA(51-MATCH(Songs!$A103,Data!C$2:C$51,0),NA())</f>
        <v>#N/A</v>
      </c>
      <c r="M103" t="e">
        <f>_xlfn.IFNA(51-MATCH(Songs!$A103,Data!D$2:D$51,0),NA())</f>
        <v>#N/A</v>
      </c>
      <c r="N103" t="e">
        <f>_xlfn.IFNA(51-MATCH(Songs!$A103,Data!E$2:E$51,0),NA())</f>
        <v>#N/A</v>
      </c>
      <c r="O103" t="e">
        <f>_xlfn.IFNA(51-MATCH(Songs!$A103,Data!F$2:F$51,0),NA())</f>
        <v>#N/A</v>
      </c>
      <c r="P103" t="e">
        <f>_xlfn.IFNA(51-MATCH(Songs!$A103,Data!G$2:G$51,0),NA())</f>
        <v>#N/A</v>
      </c>
      <c r="Q103" t="e">
        <f>_xlfn.IFNA(51-MATCH(Songs!$A103,Data!H$2:H$51,0),NA())</f>
        <v>#N/A</v>
      </c>
      <c r="R103" t="e">
        <f>_xlfn.IFNA(51-MATCH(Songs!$A103,Data!I$2:I$51,0),NA())</f>
        <v>#N/A</v>
      </c>
      <c r="S103" t="e">
        <f>_xlfn.IFNA(51-MATCH(Songs!$A103,Data!J$2:J$51,0),NA())</f>
        <v>#N/A</v>
      </c>
      <c r="T103" t="e">
        <f>_xlfn.IFNA(51-MATCH(Songs!$A103,Data!K$2:K$51,0),NA())</f>
        <v>#N/A</v>
      </c>
      <c r="U103" t="e">
        <f>_xlfn.IFNA(51-MATCH(Songs!$A103,Data!L$2:L$51,0),NA())</f>
        <v>#N/A</v>
      </c>
      <c r="V103" t="e">
        <f>_xlfn.IFNA(51-MATCH(Songs!$A103,Data!M$2:M$51,0),NA())</f>
        <v>#N/A</v>
      </c>
      <c r="W103">
        <f>_xlfn.IFNA(51-MATCH(Songs!$A103,Data!N$2:N$51,0),NA())</f>
        <v>43</v>
      </c>
      <c r="X103">
        <f>_xlfn.IFNA(51-MATCH(Songs!$A103,Data!O$2:O$51,0),NA())</f>
        <v>44</v>
      </c>
      <c r="Y103">
        <f>_xlfn.IFNA(51-MATCH(Songs!$A103,Data!P$2:P$51,0),NA())</f>
        <v>45</v>
      </c>
      <c r="Z103">
        <f>_xlfn.IFNA(51-MATCH(Songs!$A103,Data!Q$2:Q$51,0),NA())</f>
        <v>45</v>
      </c>
      <c r="AA103">
        <f>_xlfn.IFNA(51-MATCH(Songs!$A103,Data!R$2:R$51,0),NA())</f>
        <v>43</v>
      </c>
      <c r="AB103" t="e">
        <f>_xlfn.IFNA(51-MATCH(Songs!$A103,Data!S$2:S$51,0),NA())</f>
        <v>#N/A</v>
      </c>
      <c r="AC103" t="e">
        <f>_xlfn.IFNA(51-MATCH(Songs!$A103,Data!T$2:T$51,0),NA())</f>
        <v>#N/A</v>
      </c>
      <c r="AD103" t="e">
        <f>_xlfn.IFNA(51-MATCH(Songs!$A103,Data!U$2:U$51,0),NA())</f>
        <v>#N/A</v>
      </c>
    </row>
    <row r="104" spans="1:30" ht="15.75" customHeight="1" x14ac:dyDescent="0.25">
      <c r="A104" s="6" t="s">
        <v>216</v>
      </c>
      <c r="B104" s="2" t="s">
        <v>76</v>
      </c>
      <c r="D104" t="s">
        <v>219</v>
      </c>
      <c r="F104" s="6">
        <v>12</v>
      </c>
      <c r="G104" s="2">
        <f ca="1">COUNTIF(INDIRECT(_xlfn.CONCAT("Data!$B$2:", ADDRESS(51,COUNTA(Data!$1:$1)+1,1,1))), Songs!A104) + F104</f>
        <v>17</v>
      </c>
      <c r="H104" s="8"/>
      <c r="I104" s="8"/>
      <c r="J104" s="8" cm="1">
        <f t="array" ref="J104">51 - MAX(IF(NOT(ISNA(K104:BB104)),K104:BB104))</f>
        <v>6</v>
      </c>
      <c r="K104" t="e">
        <f>_xlfn.IFNA(51-MATCH(Songs!$A104,Data!B$2:B$51,0),NA())</f>
        <v>#N/A</v>
      </c>
      <c r="L104" t="e">
        <f>_xlfn.IFNA(51-MATCH(Songs!$A104,Data!C$2:C$51,0),NA())</f>
        <v>#N/A</v>
      </c>
      <c r="M104" t="e">
        <f>_xlfn.IFNA(51-MATCH(Songs!$A104,Data!D$2:D$51,0),NA())</f>
        <v>#N/A</v>
      </c>
      <c r="N104" t="e">
        <f>_xlfn.IFNA(51-MATCH(Songs!$A104,Data!E$2:E$51,0),NA())</f>
        <v>#N/A</v>
      </c>
      <c r="O104" t="e">
        <f>_xlfn.IFNA(51-MATCH(Songs!$A104,Data!F$2:F$51,0),NA())</f>
        <v>#N/A</v>
      </c>
      <c r="P104" t="e">
        <f>_xlfn.IFNA(51-MATCH(Songs!$A104,Data!G$2:G$51,0),NA())</f>
        <v>#N/A</v>
      </c>
      <c r="Q104" t="e">
        <f>_xlfn.IFNA(51-MATCH(Songs!$A104,Data!H$2:H$51,0),NA())</f>
        <v>#N/A</v>
      </c>
      <c r="R104" t="e">
        <f>_xlfn.IFNA(51-MATCH(Songs!$A104,Data!I$2:I$51,0),NA())</f>
        <v>#N/A</v>
      </c>
      <c r="S104" t="e">
        <f>_xlfn.IFNA(51-MATCH(Songs!$A104,Data!J$2:J$51,0),NA())</f>
        <v>#N/A</v>
      </c>
      <c r="T104" t="e">
        <f>_xlfn.IFNA(51-MATCH(Songs!$A104,Data!K$2:K$51,0),NA())</f>
        <v>#N/A</v>
      </c>
      <c r="U104" t="e">
        <f>_xlfn.IFNA(51-MATCH(Songs!$A104,Data!L$2:L$51,0),NA())</f>
        <v>#N/A</v>
      </c>
      <c r="V104" t="e">
        <f>_xlfn.IFNA(51-MATCH(Songs!$A104,Data!M$2:M$51,0),NA())</f>
        <v>#N/A</v>
      </c>
      <c r="W104">
        <f>_xlfn.IFNA(51-MATCH(Songs!$A104,Data!N$2:N$51,0),NA())</f>
        <v>38</v>
      </c>
      <c r="X104">
        <f>_xlfn.IFNA(51-MATCH(Songs!$A104,Data!O$2:O$51,0),NA())</f>
        <v>40</v>
      </c>
      <c r="Y104">
        <f>_xlfn.IFNA(51-MATCH(Songs!$A104,Data!P$2:P$51,0),NA())</f>
        <v>41</v>
      </c>
      <c r="Z104">
        <f>_xlfn.IFNA(51-MATCH(Songs!$A104,Data!Q$2:Q$51,0),NA())</f>
        <v>44</v>
      </c>
      <c r="AA104">
        <f>_xlfn.IFNA(51-MATCH(Songs!$A104,Data!R$2:R$51,0),NA())</f>
        <v>45</v>
      </c>
      <c r="AB104" t="e">
        <f>_xlfn.IFNA(51-MATCH(Songs!$A104,Data!S$2:S$51,0),NA())</f>
        <v>#N/A</v>
      </c>
      <c r="AC104" t="e">
        <f>_xlfn.IFNA(51-MATCH(Songs!$A104,Data!T$2:T$51,0),NA())</f>
        <v>#N/A</v>
      </c>
      <c r="AD104" t="e">
        <f>_xlfn.IFNA(51-MATCH(Songs!$A104,Data!U$2:U$51,0),NA())</f>
        <v>#N/A</v>
      </c>
    </row>
    <row r="105" spans="1:30" ht="15.75" customHeight="1" x14ac:dyDescent="0.25">
      <c r="A105" s="6" t="s">
        <v>217</v>
      </c>
      <c r="B105" s="2" t="s">
        <v>220</v>
      </c>
      <c r="F105" s="6">
        <v>0</v>
      </c>
      <c r="G105" s="2">
        <f ca="1">COUNTIF(INDIRECT(_xlfn.CONCAT("Data!$B$2:", ADDRESS(51,COUNTA(Data!$1:$1)+1,1,1))), Songs!A105) + F105</f>
        <v>4</v>
      </c>
      <c r="H105" s="8"/>
      <c r="I105" s="8"/>
      <c r="J105" s="8" cm="1">
        <f t="array" ref="J105">51 - MAX(IF(NOT(ISNA(K105:BB105)),K105:BB105))</f>
        <v>40</v>
      </c>
      <c r="K105" t="e">
        <f>_xlfn.IFNA(51-MATCH(Songs!$A105,Data!B$2:B$51,0),NA())</f>
        <v>#N/A</v>
      </c>
      <c r="L105" t="e">
        <f>_xlfn.IFNA(51-MATCH(Songs!$A105,Data!C$2:C$51,0),NA())</f>
        <v>#N/A</v>
      </c>
      <c r="M105" t="e">
        <f>_xlfn.IFNA(51-MATCH(Songs!$A105,Data!D$2:D$51,0),NA())</f>
        <v>#N/A</v>
      </c>
      <c r="N105" t="e">
        <f>_xlfn.IFNA(51-MATCH(Songs!$A105,Data!E$2:E$51,0),NA())</f>
        <v>#N/A</v>
      </c>
      <c r="O105" t="e">
        <f>_xlfn.IFNA(51-MATCH(Songs!$A105,Data!F$2:F$51,0),NA())</f>
        <v>#N/A</v>
      </c>
      <c r="P105" t="e">
        <f>_xlfn.IFNA(51-MATCH(Songs!$A105,Data!G$2:G$51,0),NA())</f>
        <v>#N/A</v>
      </c>
      <c r="Q105" t="e">
        <f>_xlfn.IFNA(51-MATCH(Songs!$A105,Data!H$2:H$51,0),NA())</f>
        <v>#N/A</v>
      </c>
      <c r="R105" t="e">
        <f>_xlfn.IFNA(51-MATCH(Songs!$A105,Data!I$2:I$51,0),NA())</f>
        <v>#N/A</v>
      </c>
      <c r="S105" t="e">
        <f>_xlfn.IFNA(51-MATCH(Songs!$A105,Data!J$2:J$51,0),NA())</f>
        <v>#N/A</v>
      </c>
      <c r="T105" t="e">
        <f>_xlfn.IFNA(51-MATCH(Songs!$A105,Data!K$2:K$51,0),NA())</f>
        <v>#N/A</v>
      </c>
      <c r="U105" t="e">
        <f>_xlfn.IFNA(51-MATCH(Songs!$A105,Data!L$2:L$51,0),NA())</f>
        <v>#N/A</v>
      </c>
      <c r="V105" t="e">
        <f>_xlfn.IFNA(51-MATCH(Songs!$A105,Data!M$2:M$51,0),NA())</f>
        <v>#N/A</v>
      </c>
      <c r="W105">
        <f>_xlfn.IFNA(51-MATCH(Songs!$A105,Data!N$2:N$51,0),NA())</f>
        <v>11</v>
      </c>
      <c r="X105">
        <f>_xlfn.IFNA(51-MATCH(Songs!$A105,Data!O$2:O$51,0),NA())</f>
        <v>6</v>
      </c>
      <c r="Y105">
        <f>_xlfn.IFNA(51-MATCH(Songs!$A105,Data!P$2:P$51,0),NA())</f>
        <v>8</v>
      </c>
      <c r="Z105">
        <f>_xlfn.IFNA(51-MATCH(Songs!$A105,Data!Q$2:Q$51,0),NA())</f>
        <v>5</v>
      </c>
      <c r="AA105" t="e">
        <f>_xlfn.IFNA(51-MATCH(Songs!$A105,Data!R$2:R$51,0),NA())</f>
        <v>#N/A</v>
      </c>
      <c r="AB105" t="e">
        <f>_xlfn.IFNA(51-MATCH(Songs!$A105,Data!S$2:S$51,0),NA())</f>
        <v>#N/A</v>
      </c>
      <c r="AC105" t="e">
        <f>_xlfn.IFNA(51-MATCH(Songs!$A105,Data!T$2:T$51,0),NA())</f>
        <v>#N/A</v>
      </c>
      <c r="AD105" t="e">
        <f>_xlfn.IFNA(51-MATCH(Songs!$A105,Data!U$2:U$51,0),NA())</f>
        <v>#N/A</v>
      </c>
    </row>
    <row r="106" spans="1:30" ht="15.75" customHeight="1" x14ac:dyDescent="0.25">
      <c r="A106" s="6" t="s">
        <v>230</v>
      </c>
      <c r="B106" s="2" t="s">
        <v>234</v>
      </c>
      <c r="F106" s="6">
        <v>0</v>
      </c>
      <c r="G106" s="2">
        <f ca="1">COUNTIF(INDIRECT(_xlfn.CONCAT("Data!$B$2:", ADDRESS(51,COUNTA(Data!$1:$1)+1,1,1))), Songs!A106) + F106</f>
        <v>4</v>
      </c>
      <c r="H106" s="8"/>
      <c r="I106" s="8"/>
      <c r="J106" s="8" cm="1">
        <f t="array" ref="J106">51 - MAX(IF(NOT(ISNA(K106:BB106)),K106:BB106))</f>
        <v>1</v>
      </c>
      <c r="K106" t="e">
        <f>_xlfn.IFNA(51-MATCH(Songs!$A106,Data!B$2:B$51,0),NA())</f>
        <v>#N/A</v>
      </c>
      <c r="L106" t="e">
        <f>_xlfn.IFNA(51-MATCH(Songs!$A106,Data!C$2:C$51,0),NA())</f>
        <v>#N/A</v>
      </c>
      <c r="M106" t="e">
        <f>_xlfn.IFNA(51-MATCH(Songs!$A106,Data!D$2:D$51,0),NA())</f>
        <v>#N/A</v>
      </c>
      <c r="N106" t="e">
        <f>_xlfn.IFNA(51-MATCH(Songs!$A106,Data!E$2:E$51,0),NA())</f>
        <v>#N/A</v>
      </c>
      <c r="O106" t="e">
        <f>_xlfn.IFNA(51-MATCH(Songs!$A106,Data!F$2:F$51,0),NA())</f>
        <v>#N/A</v>
      </c>
      <c r="P106" t="e">
        <f>_xlfn.IFNA(51-MATCH(Songs!$A106,Data!G$2:G$51,0),NA())</f>
        <v>#N/A</v>
      </c>
      <c r="Q106" t="e">
        <f>_xlfn.IFNA(51-MATCH(Songs!$A106,Data!H$2:H$51,0),NA())</f>
        <v>#N/A</v>
      </c>
      <c r="R106" t="e">
        <f>_xlfn.IFNA(51-MATCH(Songs!$A106,Data!I$2:I$51,0),NA())</f>
        <v>#N/A</v>
      </c>
      <c r="S106" t="e">
        <f>_xlfn.IFNA(51-MATCH(Songs!$A106,Data!J$2:J$51,0),NA())</f>
        <v>#N/A</v>
      </c>
      <c r="T106" t="e">
        <f>_xlfn.IFNA(51-MATCH(Songs!$A106,Data!K$2:K$51,0),NA())</f>
        <v>#N/A</v>
      </c>
      <c r="U106" t="e">
        <f>_xlfn.IFNA(51-MATCH(Songs!$A106,Data!L$2:L$51,0),NA())</f>
        <v>#N/A</v>
      </c>
      <c r="V106" t="e">
        <f>_xlfn.IFNA(51-MATCH(Songs!$A106,Data!M$2:M$51,0),NA())</f>
        <v>#N/A</v>
      </c>
      <c r="W106" t="e">
        <f>_xlfn.IFNA(51-MATCH(Songs!$A106,Data!N$2:N$51,0),NA())</f>
        <v>#N/A</v>
      </c>
      <c r="X106">
        <f>_xlfn.IFNA(51-MATCH(Songs!$A106,Data!O$2:O$51,0),NA())</f>
        <v>45</v>
      </c>
      <c r="Y106">
        <f>_xlfn.IFNA(51-MATCH(Songs!$A106,Data!P$2:P$51,0),NA())</f>
        <v>50</v>
      </c>
      <c r="Z106">
        <f>_xlfn.IFNA(51-MATCH(Songs!$A106,Data!Q$2:Q$51,0),NA())</f>
        <v>50</v>
      </c>
      <c r="AA106">
        <f>_xlfn.IFNA(51-MATCH(Songs!$A106,Data!R$2:R$51,0),NA())</f>
        <v>50</v>
      </c>
      <c r="AB106" t="e">
        <f>_xlfn.IFNA(51-MATCH(Songs!$A106,Data!S$2:S$51,0),NA())</f>
        <v>#N/A</v>
      </c>
      <c r="AC106" t="e">
        <f>_xlfn.IFNA(51-MATCH(Songs!$A106,Data!T$2:T$51,0),NA())</f>
        <v>#N/A</v>
      </c>
      <c r="AD106" t="e">
        <f>_xlfn.IFNA(51-MATCH(Songs!$A106,Data!U$2:U$51,0),NA())</f>
        <v>#N/A</v>
      </c>
    </row>
    <row r="107" spans="1:30" ht="15.75" customHeight="1" x14ac:dyDescent="0.25">
      <c r="A107" s="6" t="s">
        <v>231</v>
      </c>
      <c r="B107" s="2" t="s">
        <v>86</v>
      </c>
      <c r="F107" s="6">
        <v>0</v>
      </c>
      <c r="G107" s="2">
        <f ca="1">COUNTIF(INDIRECT(_xlfn.CONCAT("Data!$B$2:", ADDRESS(51,COUNTA(Data!$1:$1)+1,1,1))), Songs!A107) + F107</f>
        <v>4</v>
      </c>
      <c r="H107" s="8"/>
      <c r="I107" s="8"/>
      <c r="J107" s="8" cm="1">
        <f t="array" ref="J107">51 - MAX(IF(NOT(ISNA(K107:BB107)),K107:BB107))</f>
        <v>36</v>
      </c>
      <c r="K107" t="e">
        <f>_xlfn.IFNA(51-MATCH(Songs!$A107,Data!B$2:B$51,0),NA())</f>
        <v>#N/A</v>
      </c>
      <c r="L107" t="e">
        <f>_xlfn.IFNA(51-MATCH(Songs!$A107,Data!C$2:C$51,0),NA())</f>
        <v>#N/A</v>
      </c>
      <c r="M107" t="e">
        <f>_xlfn.IFNA(51-MATCH(Songs!$A107,Data!D$2:D$51,0),NA())</f>
        <v>#N/A</v>
      </c>
      <c r="N107" t="e">
        <f>_xlfn.IFNA(51-MATCH(Songs!$A107,Data!E$2:E$51,0),NA())</f>
        <v>#N/A</v>
      </c>
      <c r="O107" t="e">
        <f>_xlfn.IFNA(51-MATCH(Songs!$A107,Data!F$2:F$51,0),NA())</f>
        <v>#N/A</v>
      </c>
      <c r="P107" t="e">
        <f>_xlfn.IFNA(51-MATCH(Songs!$A107,Data!G$2:G$51,0),NA())</f>
        <v>#N/A</v>
      </c>
      <c r="Q107" t="e">
        <f>_xlfn.IFNA(51-MATCH(Songs!$A107,Data!H$2:H$51,0),NA())</f>
        <v>#N/A</v>
      </c>
      <c r="R107" t="e">
        <f>_xlfn.IFNA(51-MATCH(Songs!$A107,Data!I$2:I$51,0),NA())</f>
        <v>#N/A</v>
      </c>
      <c r="S107" t="e">
        <f>_xlfn.IFNA(51-MATCH(Songs!$A107,Data!J$2:J$51,0),NA())</f>
        <v>#N/A</v>
      </c>
      <c r="T107" t="e">
        <f>_xlfn.IFNA(51-MATCH(Songs!$A107,Data!K$2:K$51,0),NA())</f>
        <v>#N/A</v>
      </c>
      <c r="U107" t="e">
        <f>_xlfn.IFNA(51-MATCH(Songs!$A107,Data!L$2:L$51,0),NA())</f>
        <v>#N/A</v>
      </c>
      <c r="V107" t="e">
        <f>_xlfn.IFNA(51-MATCH(Songs!$A107,Data!M$2:M$51,0),NA())</f>
        <v>#N/A</v>
      </c>
      <c r="W107" t="e">
        <f>_xlfn.IFNA(51-MATCH(Songs!$A107,Data!N$2:N$51,0),NA())</f>
        <v>#N/A</v>
      </c>
      <c r="X107">
        <f>_xlfn.IFNA(51-MATCH(Songs!$A107,Data!O$2:O$51,0),NA())</f>
        <v>13</v>
      </c>
      <c r="Y107">
        <f>_xlfn.IFNA(51-MATCH(Songs!$A107,Data!P$2:P$51,0),NA())</f>
        <v>15</v>
      </c>
      <c r="Z107">
        <f>_xlfn.IFNA(51-MATCH(Songs!$A107,Data!Q$2:Q$51,0),NA())</f>
        <v>7</v>
      </c>
      <c r="AA107">
        <f>_xlfn.IFNA(51-MATCH(Songs!$A107,Data!R$2:R$51,0),NA())</f>
        <v>4</v>
      </c>
      <c r="AB107" t="e">
        <f>_xlfn.IFNA(51-MATCH(Songs!$A107,Data!S$2:S$51,0),NA())</f>
        <v>#N/A</v>
      </c>
      <c r="AC107" t="e">
        <f>_xlfn.IFNA(51-MATCH(Songs!$A107,Data!T$2:T$51,0),NA())</f>
        <v>#N/A</v>
      </c>
      <c r="AD107" t="e">
        <f>_xlfn.IFNA(51-MATCH(Songs!$A107,Data!U$2:U$51,0),NA())</f>
        <v>#N/A</v>
      </c>
    </row>
    <row r="108" spans="1:30" ht="15.75" customHeight="1" x14ac:dyDescent="0.25">
      <c r="A108" s="6" t="s">
        <v>232</v>
      </c>
      <c r="B108" s="2" t="s">
        <v>235</v>
      </c>
      <c r="F108" s="6">
        <v>0</v>
      </c>
      <c r="G108" s="2">
        <f ca="1">COUNTIF(INDIRECT(_xlfn.CONCAT("Data!$B$2:", ADDRESS(51,COUNTA(Data!$1:$1)+1,1,1))), Songs!A108) + F108</f>
        <v>4</v>
      </c>
      <c r="H108" s="8"/>
      <c r="I108" s="8"/>
      <c r="J108" s="8" cm="1">
        <f t="array" ref="J108">51 - MAX(IF(NOT(ISNA(K108:BB108)),K108:BB108))</f>
        <v>30</v>
      </c>
      <c r="K108" t="e">
        <f>_xlfn.IFNA(51-MATCH(Songs!$A108,Data!B$2:B$51,0),NA())</f>
        <v>#N/A</v>
      </c>
      <c r="L108" t="e">
        <f>_xlfn.IFNA(51-MATCH(Songs!$A108,Data!C$2:C$51,0),NA())</f>
        <v>#N/A</v>
      </c>
      <c r="M108" t="e">
        <f>_xlfn.IFNA(51-MATCH(Songs!$A108,Data!D$2:D$51,0),NA())</f>
        <v>#N/A</v>
      </c>
      <c r="N108" t="e">
        <f>_xlfn.IFNA(51-MATCH(Songs!$A108,Data!E$2:E$51,0),NA())</f>
        <v>#N/A</v>
      </c>
      <c r="O108" t="e">
        <f>_xlfn.IFNA(51-MATCH(Songs!$A108,Data!F$2:F$51,0),NA())</f>
        <v>#N/A</v>
      </c>
      <c r="P108" t="e">
        <f>_xlfn.IFNA(51-MATCH(Songs!$A108,Data!G$2:G$51,0),NA())</f>
        <v>#N/A</v>
      </c>
      <c r="Q108" t="e">
        <f>_xlfn.IFNA(51-MATCH(Songs!$A108,Data!H$2:H$51,0),NA())</f>
        <v>#N/A</v>
      </c>
      <c r="R108" t="e">
        <f>_xlfn.IFNA(51-MATCH(Songs!$A108,Data!I$2:I$51,0),NA())</f>
        <v>#N/A</v>
      </c>
      <c r="S108" t="e">
        <f>_xlfn.IFNA(51-MATCH(Songs!$A108,Data!J$2:J$51,0),NA())</f>
        <v>#N/A</v>
      </c>
      <c r="T108" t="e">
        <f>_xlfn.IFNA(51-MATCH(Songs!$A108,Data!K$2:K$51,0),NA())</f>
        <v>#N/A</v>
      </c>
      <c r="U108" t="e">
        <f>_xlfn.IFNA(51-MATCH(Songs!$A108,Data!L$2:L$51,0),NA())</f>
        <v>#N/A</v>
      </c>
      <c r="V108" t="e">
        <f>_xlfn.IFNA(51-MATCH(Songs!$A108,Data!M$2:M$51,0),NA())</f>
        <v>#N/A</v>
      </c>
      <c r="W108" t="e">
        <f>_xlfn.IFNA(51-MATCH(Songs!$A108,Data!N$2:N$51,0),NA())</f>
        <v>#N/A</v>
      </c>
      <c r="X108">
        <f>_xlfn.IFNA(51-MATCH(Songs!$A108,Data!O$2:O$51,0),NA())</f>
        <v>12</v>
      </c>
      <c r="Y108">
        <f>_xlfn.IFNA(51-MATCH(Songs!$A108,Data!P$2:P$51,0),NA())</f>
        <v>18</v>
      </c>
      <c r="Z108">
        <f>_xlfn.IFNA(51-MATCH(Songs!$A108,Data!Q$2:Q$51,0),NA())</f>
        <v>21</v>
      </c>
      <c r="AA108">
        <f>_xlfn.IFNA(51-MATCH(Songs!$A108,Data!R$2:R$51,0),NA())</f>
        <v>17</v>
      </c>
      <c r="AB108" t="e">
        <f>_xlfn.IFNA(51-MATCH(Songs!$A108,Data!S$2:S$51,0),NA())</f>
        <v>#N/A</v>
      </c>
      <c r="AC108" t="e">
        <f>_xlfn.IFNA(51-MATCH(Songs!$A108,Data!T$2:T$51,0),NA())</f>
        <v>#N/A</v>
      </c>
      <c r="AD108" t="e">
        <f>_xlfn.IFNA(51-MATCH(Songs!$A108,Data!U$2:U$51,0),NA())</f>
        <v>#N/A</v>
      </c>
    </row>
    <row r="109" spans="1:30" ht="15.75" customHeight="1" x14ac:dyDescent="0.25">
      <c r="A109" s="6" t="s">
        <v>233</v>
      </c>
      <c r="B109" s="2" t="s">
        <v>219</v>
      </c>
      <c r="C109" t="s">
        <v>236</v>
      </c>
      <c r="F109" s="6">
        <v>0</v>
      </c>
      <c r="G109" s="2">
        <f ca="1">COUNTIF(INDIRECT(_xlfn.CONCAT("Data!$B$2:", ADDRESS(51,COUNTA(Data!$1:$1)+1,1,1))), Songs!A109) + F109</f>
        <v>4</v>
      </c>
      <c r="H109" s="8"/>
      <c r="I109" s="8"/>
      <c r="J109" s="8" cm="1">
        <f t="array" ref="J109">51 - MAX(IF(NOT(ISNA(K109:BB109)),K109:BB109))</f>
        <v>37</v>
      </c>
      <c r="K109" t="e">
        <f>_xlfn.IFNA(51-MATCH(Songs!$A109,Data!B$2:B$51,0),NA())</f>
        <v>#N/A</v>
      </c>
      <c r="L109" t="e">
        <f>_xlfn.IFNA(51-MATCH(Songs!$A109,Data!C$2:C$51,0),NA())</f>
        <v>#N/A</v>
      </c>
      <c r="M109" t="e">
        <f>_xlfn.IFNA(51-MATCH(Songs!$A109,Data!D$2:D$51,0),NA())</f>
        <v>#N/A</v>
      </c>
      <c r="N109" t="e">
        <f>_xlfn.IFNA(51-MATCH(Songs!$A109,Data!E$2:E$51,0),NA())</f>
        <v>#N/A</v>
      </c>
      <c r="O109" t="e">
        <f>_xlfn.IFNA(51-MATCH(Songs!$A109,Data!F$2:F$51,0),NA())</f>
        <v>#N/A</v>
      </c>
      <c r="P109" t="e">
        <f>_xlfn.IFNA(51-MATCH(Songs!$A109,Data!G$2:G$51,0),NA())</f>
        <v>#N/A</v>
      </c>
      <c r="Q109" t="e">
        <f>_xlfn.IFNA(51-MATCH(Songs!$A109,Data!H$2:H$51,0),NA())</f>
        <v>#N/A</v>
      </c>
      <c r="R109" t="e">
        <f>_xlfn.IFNA(51-MATCH(Songs!$A109,Data!I$2:I$51,0),NA())</f>
        <v>#N/A</v>
      </c>
      <c r="S109" t="e">
        <f>_xlfn.IFNA(51-MATCH(Songs!$A109,Data!J$2:J$51,0),NA())</f>
        <v>#N/A</v>
      </c>
      <c r="T109" t="e">
        <f>_xlfn.IFNA(51-MATCH(Songs!$A109,Data!K$2:K$51,0),NA())</f>
        <v>#N/A</v>
      </c>
      <c r="U109" t="e">
        <f>_xlfn.IFNA(51-MATCH(Songs!$A109,Data!L$2:L$51,0),NA())</f>
        <v>#N/A</v>
      </c>
      <c r="V109" t="e">
        <f>_xlfn.IFNA(51-MATCH(Songs!$A109,Data!M$2:M$51,0),NA())</f>
        <v>#N/A</v>
      </c>
      <c r="W109" t="e">
        <f>_xlfn.IFNA(51-MATCH(Songs!$A109,Data!N$2:N$51,0),NA())</f>
        <v>#N/A</v>
      </c>
      <c r="X109">
        <f>_xlfn.IFNA(51-MATCH(Songs!$A109,Data!O$2:O$51,0),NA())</f>
        <v>5</v>
      </c>
      <c r="Y109">
        <f>_xlfn.IFNA(51-MATCH(Songs!$A109,Data!P$2:P$51,0),NA())</f>
        <v>9</v>
      </c>
      <c r="Z109">
        <f>_xlfn.IFNA(51-MATCH(Songs!$A109,Data!Q$2:Q$51,0),NA())</f>
        <v>14</v>
      </c>
      <c r="AA109">
        <f>_xlfn.IFNA(51-MATCH(Songs!$A109,Data!R$2:R$51,0),NA())</f>
        <v>10</v>
      </c>
      <c r="AB109" t="e">
        <f>_xlfn.IFNA(51-MATCH(Songs!$A109,Data!S$2:S$51,0),NA())</f>
        <v>#N/A</v>
      </c>
      <c r="AC109" t="e">
        <f>_xlfn.IFNA(51-MATCH(Songs!$A109,Data!T$2:T$51,0),NA())</f>
        <v>#N/A</v>
      </c>
      <c r="AD109" t="e">
        <f>_xlfn.IFNA(51-MATCH(Songs!$A109,Data!U$2:U$51,0),NA())</f>
        <v>#N/A</v>
      </c>
    </row>
    <row r="110" spans="1:30" ht="15.75" customHeight="1" x14ac:dyDescent="0.25">
      <c r="A110" s="6" t="s">
        <v>238</v>
      </c>
      <c r="B110" s="2" t="s">
        <v>222</v>
      </c>
      <c r="F110" s="6">
        <v>0</v>
      </c>
      <c r="G110" s="2">
        <f ca="1">COUNTIF(INDIRECT(_xlfn.CONCAT("Data!$B$2:", ADDRESS(51,COUNTA(Data!$1:$1)+1,1,1))), Songs!A110) + F110</f>
        <v>2</v>
      </c>
      <c r="H110" s="8"/>
      <c r="I110" s="8"/>
      <c r="J110" s="8" cm="1">
        <f t="array" ref="J110">51 - MAX(IF(NOT(ISNA(K110:BB110)),K110:BB110))</f>
        <v>45</v>
      </c>
      <c r="K110" t="e">
        <f>_xlfn.IFNA(51-MATCH(Songs!$A110,Data!B$2:B$51,0),NA())</f>
        <v>#N/A</v>
      </c>
      <c r="L110" t="e">
        <f>_xlfn.IFNA(51-MATCH(Songs!$A110,Data!C$2:C$51,0),NA())</f>
        <v>#N/A</v>
      </c>
      <c r="M110" t="e">
        <f>_xlfn.IFNA(51-MATCH(Songs!$A110,Data!D$2:D$51,0),NA())</f>
        <v>#N/A</v>
      </c>
      <c r="N110" t="e">
        <f>_xlfn.IFNA(51-MATCH(Songs!$A110,Data!E$2:E$51,0),NA())</f>
        <v>#N/A</v>
      </c>
      <c r="O110" t="e">
        <f>_xlfn.IFNA(51-MATCH(Songs!$A110,Data!F$2:F$51,0),NA())</f>
        <v>#N/A</v>
      </c>
      <c r="P110" t="e">
        <f>_xlfn.IFNA(51-MATCH(Songs!$A110,Data!G$2:G$51,0),NA())</f>
        <v>#N/A</v>
      </c>
      <c r="Q110" t="e">
        <f>_xlfn.IFNA(51-MATCH(Songs!$A110,Data!H$2:H$51,0),NA())</f>
        <v>#N/A</v>
      </c>
      <c r="R110" t="e">
        <f>_xlfn.IFNA(51-MATCH(Songs!$A110,Data!I$2:I$51,0),NA())</f>
        <v>#N/A</v>
      </c>
      <c r="S110" t="e">
        <f>_xlfn.IFNA(51-MATCH(Songs!$A110,Data!J$2:J$51,0),NA())</f>
        <v>#N/A</v>
      </c>
      <c r="T110" t="e">
        <f>_xlfn.IFNA(51-MATCH(Songs!$A110,Data!K$2:K$51,0),NA())</f>
        <v>#N/A</v>
      </c>
      <c r="U110" t="e">
        <f>_xlfn.IFNA(51-MATCH(Songs!$A110,Data!L$2:L$51,0),NA())</f>
        <v>#N/A</v>
      </c>
      <c r="V110" t="e">
        <f>_xlfn.IFNA(51-MATCH(Songs!$A110,Data!M$2:M$51,0),NA())</f>
        <v>#N/A</v>
      </c>
      <c r="W110" t="e">
        <f>_xlfn.IFNA(51-MATCH(Songs!$A110,Data!N$2:N$51,0),NA())</f>
        <v>#N/A</v>
      </c>
      <c r="X110" t="e">
        <f>_xlfn.IFNA(51-MATCH(Songs!$A110,Data!O$2:O$51,0),NA())</f>
        <v>#N/A</v>
      </c>
      <c r="Y110" t="e">
        <f>_xlfn.IFNA(51-MATCH(Songs!$A110,Data!P$2:P$51,0),NA())</f>
        <v>#N/A</v>
      </c>
      <c r="Z110">
        <f>_xlfn.IFNA(51-MATCH(Songs!$A110,Data!Q$2:Q$51,0),NA())</f>
        <v>6</v>
      </c>
      <c r="AA110">
        <f>_xlfn.IFNA(51-MATCH(Songs!$A110,Data!R$2:R$51,0),NA())</f>
        <v>3</v>
      </c>
      <c r="AB110" t="e">
        <f>_xlfn.IFNA(51-MATCH(Songs!$A110,Data!S$2:S$51,0),NA())</f>
        <v>#N/A</v>
      </c>
      <c r="AC110" t="e">
        <f>_xlfn.IFNA(51-MATCH(Songs!$A110,Data!T$2:T$51,0),NA())</f>
        <v>#N/A</v>
      </c>
      <c r="AD110" t="e">
        <f>_xlfn.IFNA(51-MATCH(Songs!$A110,Data!U$2:U$51,0),NA())</f>
        <v>#N/A</v>
      </c>
    </row>
    <row r="111" spans="1:30" ht="15.75" customHeight="1" x14ac:dyDescent="0.25">
      <c r="A111" s="6" t="s">
        <v>244</v>
      </c>
      <c r="B111" s="2" t="s">
        <v>251</v>
      </c>
      <c r="C111" t="s">
        <v>252</v>
      </c>
      <c r="F111" s="6">
        <v>0</v>
      </c>
      <c r="G111" s="2">
        <f ca="1">COUNTIF(INDIRECT(_xlfn.CONCAT("Data!$B$2:", ADDRESS(51,COUNTA(Data!$1:$1)+1,1,1))), Songs!A111) + F111</f>
        <v>1</v>
      </c>
      <c r="H111" s="8"/>
      <c r="I111" s="8"/>
      <c r="J111" s="8" cm="1">
        <f t="array" ref="J111">51 - MAX(IF(NOT(ISNA(K111:BB111)),K111:BB111))</f>
        <v>5</v>
      </c>
      <c r="K111" t="e">
        <f>_xlfn.IFNA(51-MATCH(Songs!$A111,Data!B$2:B$51,0),NA())</f>
        <v>#N/A</v>
      </c>
      <c r="L111" t="e">
        <f>_xlfn.IFNA(51-MATCH(Songs!$A111,Data!C$2:C$51,0),NA())</f>
        <v>#N/A</v>
      </c>
      <c r="M111" t="e">
        <f>_xlfn.IFNA(51-MATCH(Songs!$A111,Data!D$2:D$51,0),NA())</f>
        <v>#N/A</v>
      </c>
      <c r="N111" t="e">
        <f>_xlfn.IFNA(51-MATCH(Songs!$A111,Data!E$2:E$51,0),NA())</f>
        <v>#N/A</v>
      </c>
      <c r="O111" t="e">
        <f>_xlfn.IFNA(51-MATCH(Songs!$A111,Data!F$2:F$51,0),NA())</f>
        <v>#N/A</v>
      </c>
      <c r="P111" t="e">
        <f>_xlfn.IFNA(51-MATCH(Songs!$A111,Data!G$2:G$51,0),NA())</f>
        <v>#N/A</v>
      </c>
      <c r="Q111" t="e">
        <f>_xlfn.IFNA(51-MATCH(Songs!$A111,Data!H$2:H$51,0),NA())</f>
        <v>#N/A</v>
      </c>
      <c r="R111" t="e">
        <f>_xlfn.IFNA(51-MATCH(Songs!$A111,Data!I$2:I$51,0),NA())</f>
        <v>#N/A</v>
      </c>
      <c r="S111" t="e">
        <f>_xlfn.IFNA(51-MATCH(Songs!$A111,Data!J$2:J$51,0),NA())</f>
        <v>#N/A</v>
      </c>
      <c r="T111" t="e">
        <f>_xlfn.IFNA(51-MATCH(Songs!$A111,Data!K$2:K$51,0),NA())</f>
        <v>#N/A</v>
      </c>
      <c r="U111" t="e">
        <f>_xlfn.IFNA(51-MATCH(Songs!$A111,Data!L$2:L$51,0),NA())</f>
        <v>#N/A</v>
      </c>
      <c r="V111" t="e">
        <f>_xlfn.IFNA(51-MATCH(Songs!$A111,Data!M$2:M$51,0),NA())</f>
        <v>#N/A</v>
      </c>
      <c r="W111" t="e">
        <f>_xlfn.IFNA(51-MATCH(Songs!$A111,Data!N$2:N$51,0),NA())</f>
        <v>#N/A</v>
      </c>
      <c r="X111" t="e">
        <f>_xlfn.IFNA(51-MATCH(Songs!$A111,Data!O$2:O$51,0),NA())</f>
        <v>#N/A</v>
      </c>
      <c r="Y111" t="e">
        <f>_xlfn.IFNA(51-MATCH(Songs!$A111,Data!P$2:P$51,0),NA())</f>
        <v>#N/A</v>
      </c>
      <c r="Z111" t="e">
        <f>_xlfn.IFNA(51-MATCH(Songs!$A111,Data!Q$2:Q$51,0),NA())</f>
        <v>#N/A</v>
      </c>
      <c r="AA111">
        <f>_xlfn.IFNA(51-MATCH(Songs!$A111,Data!R$2:R$51,0),NA())</f>
        <v>46</v>
      </c>
      <c r="AB111" t="e">
        <f>_xlfn.IFNA(51-MATCH(Songs!$A111,Data!S$2:S$51,0),NA())</f>
        <v>#N/A</v>
      </c>
      <c r="AC111" t="e">
        <f>_xlfn.IFNA(51-MATCH(Songs!$A111,Data!T$2:T$51,0),NA())</f>
        <v>#N/A</v>
      </c>
      <c r="AD111" t="e">
        <f>_xlfn.IFNA(51-MATCH(Songs!$A111,Data!U$2:U$51,0),NA())</f>
        <v>#N/A</v>
      </c>
    </row>
    <row r="112" spans="1:30" ht="15.75" customHeight="1" x14ac:dyDescent="0.25">
      <c r="A112" s="6" t="s">
        <v>245</v>
      </c>
      <c r="B112" s="2" t="s">
        <v>104</v>
      </c>
      <c r="F112" s="6">
        <v>0</v>
      </c>
      <c r="G112" s="2">
        <f ca="1">COUNTIF(INDIRECT(_xlfn.CONCAT("Data!$B$2:", ADDRESS(51,COUNTA(Data!$1:$1)+1,1,1))), Songs!A112) + F112</f>
        <v>1</v>
      </c>
      <c r="H112" s="8"/>
      <c r="I112" s="8"/>
      <c r="J112" s="8" cm="1">
        <f t="array" ref="J112">51 - MAX(IF(NOT(ISNA(K112:BB112)),K112:BB112))</f>
        <v>26</v>
      </c>
      <c r="K112" t="e">
        <f>_xlfn.IFNA(51-MATCH(Songs!$A112,Data!B$2:B$51,0),NA())</f>
        <v>#N/A</v>
      </c>
      <c r="L112" t="e">
        <f>_xlfn.IFNA(51-MATCH(Songs!$A112,Data!C$2:C$51,0),NA())</f>
        <v>#N/A</v>
      </c>
      <c r="M112" t="e">
        <f>_xlfn.IFNA(51-MATCH(Songs!$A112,Data!D$2:D$51,0),NA())</f>
        <v>#N/A</v>
      </c>
      <c r="N112" t="e">
        <f>_xlfn.IFNA(51-MATCH(Songs!$A112,Data!E$2:E$51,0),NA())</f>
        <v>#N/A</v>
      </c>
      <c r="O112" t="e">
        <f>_xlfn.IFNA(51-MATCH(Songs!$A112,Data!F$2:F$51,0),NA())</f>
        <v>#N/A</v>
      </c>
      <c r="P112" t="e">
        <f>_xlfn.IFNA(51-MATCH(Songs!$A112,Data!G$2:G$51,0),NA())</f>
        <v>#N/A</v>
      </c>
      <c r="Q112" t="e">
        <f>_xlfn.IFNA(51-MATCH(Songs!$A112,Data!H$2:H$51,0),NA())</f>
        <v>#N/A</v>
      </c>
      <c r="R112" t="e">
        <f>_xlfn.IFNA(51-MATCH(Songs!$A112,Data!I$2:I$51,0),NA())</f>
        <v>#N/A</v>
      </c>
      <c r="S112" t="e">
        <f>_xlfn.IFNA(51-MATCH(Songs!$A112,Data!J$2:J$51,0),NA())</f>
        <v>#N/A</v>
      </c>
      <c r="T112" t="e">
        <f>_xlfn.IFNA(51-MATCH(Songs!$A112,Data!K$2:K$51,0),NA())</f>
        <v>#N/A</v>
      </c>
      <c r="U112" t="e">
        <f>_xlfn.IFNA(51-MATCH(Songs!$A112,Data!L$2:L$51,0),NA())</f>
        <v>#N/A</v>
      </c>
      <c r="V112" t="e">
        <f>_xlfn.IFNA(51-MATCH(Songs!$A112,Data!M$2:M$51,0),NA())</f>
        <v>#N/A</v>
      </c>
      <c r="W112" t="e">
        <f>_xlfn.IFNA(51-MATCH(Songs!$A112,Data!N$2:N$51,0),NA())</f>
        <v>#N/A</v>
      </c>
      <c r="X112" t="e">
        <f>_xlfn.IFNA(51-MATCH(Songs!$A112,Data!O$2:O$51,0),NA())</f>
        <v>#N/A</v>
      </c>
      <c r="Y112" t="e">
        <f>_xlfn.IFNA(51-MATCH(Songs!$A112,Data!P$2:P$51,0),NA())</f>
        <v>#N/A</v>
      </c>
      <c r="Z112" t="e">
        <f>_xlfn.IFNA(51-MATCH(Songs!$A112,Data!Q$2:Q$51,0),NA())</f>
        <v>#N/A</v>
      </c>
      <c r="AA112">
        <f>_xlfn.IFNA(51-MATCH(Songs!$A112,Data!R$2:R$51,0),NA())</f>
        <v>25</v>
      </c>
      <c r="AB112" t="e">
        <f>_xlfn.IFNA(51-MATCH(Songs!$A112,Data!S$2:S$51,0),NA())</f>
        <v>#N/A</v>
      </c>
      <c r="AC112" t="e">
        <f>_xlfn.IFNA(51-MATCH(Songs!$A112,Data!T$2:T$51,0),NA())</f>
        <v>#N/A</v>
      </c>
      <c r="AD112" t="e">
        <f>_xlfn.IFNA(51-MATCH(Songs!$A112,Data!U$2:U$51,0),NA())</f>
        <v>#N/A</v>
      </c>
    </row>
    <row r="113" spans="1:30" ht="15.75" customHeight="1" x14ac:dyDescent="0.25">
      <c r="A113" s="6" t="s">
        <v>246</v>
      </c>
      <c r="B113" s="2" t="s">
        <v>253</v>
      </c>
      <c r="F113" s="6">
        <v>0</v>
      </c>
      <c r="G113" s="2">
        <f ca="1">COUNTIF(INDIRECT(_xlfn.CONCAT("Data!$B$2:", ADDRESS(51,COUNTA(Data!$1:$1)+1,1,1))), Songs!A113) + F113</f>
        <v>1</v>
      </c>
      <c r="H113" s="8"/>
      <c r="I113" s="8"/>
      <c r="J113" s="8" cm="1">
        <f t="array" ref="J113">51 - MAX(IF(NOT(ISNA(K113:BB113)),K113:BB113))</f>
        <v>31</v>
      </c>
      <c r="K113" t="e">
        <f>_xlfn.IFNA(51-MATCH(Songs!$A113,Data!B$2:B$51,0),NA())</f>
        <v>#N/A</v>
      </c>
      <c r="L113" t="e">
        <f>_xlfn.IFNA(51-MATCH(Songs!$A113,Data!C$2:C$51,0),NA())</f>
        <v>#N/A</v>
      </c>
      <c r="M113" t="e">
        <f>_xlfn.IFNA(51-MATCH(Songs!$A113,Data!D$2:D$51,0),NA())</f>
        <v>#N/A</v>
      </c>
      <c r="N113" t="e">
        <f>_xlfn.IFNA(51-MATCH(Songs!$A113,Data!E$2:E$51,0),NA())</f>
        <v>#N/A</v>
      </c>
      <c r="O113" t="e">
        <f>_xlfn.IFNA(51-MATCH(Songs!$A113,Data!F$2:F$51,0),NA())</f>
        <v>#N/A</v>
      </c>
      <c r="P113" t="e">
        <f>_xlfn.IFNA(51-MATCH(Songs!$A113,Data!G$2:G$51,0),NA())</f>
        <v>#N/A</v>
      </c>
      <c r="Q113" t="e">
        <f>_xlfn.IFNA(51-MATCH(Songs!$A113,Data!H$2:H$51,0),NA())</f>
        <v>#N/A</v>
      </c>
      <c r="R113" t="e">
        <f>_xlfn.IFNA(51-MATCH(Songs!$A113,Data!I$2:I$51,0),NA())</f>
        <v>#N/A</v>
      </c>
      <c r="S113" t="e">
        <f>_xlfn.IFNA(51-MATCH(Songs!$A113,Data!J$2:J$51,0),NA())</f>
        <v>#N/A</v>
      </c>
      <c r="T113" t="e">
        <f>_xlfn.IFNA(51-MATCH(Songs!$A113,Data!K$2:K$51,0),NA())</f>
        <v>#N/A</v>
      </c>
      <c r="U113" t="e">
        <f>_xlfn.IFNA(51-MATCH(Songs!$A113,Data!L$2:L$51,0),NA())</f>
        <v>#N/A</v>
      </c>
      <c r="V113" t="e">
        <f>_xlfn.IFNA(51-MATCH(Songs!$A113,Data!M$2:M$51,0),NA())</f>
        <v>#N/A</v>
      </c>
      <c r="W113" t="e">
        <f>_xlfn.IFNA(51-MATCH(Songs!$A113,Data!N$2:N$51,0),NA())</f>
        <v>#N/A</v>
      </c>
      <c r="X113" t="e">
        <f>_xlfn.IFNA(51-MATCH(Songs!$A113,Data!O$2:O$51,0),NA())</f>
        <v>#N/A</v>
      </c>
      <c r="Y113" t="e">
        <f>_xlfn.IFNA(51-MATCH(Songs!$A113,Data!P$2:P$51,0),NA())</f>
        <v>#N/A</v>
      </c>
      <c r="Z113" t="e">
        <f>_xlfn.IFNA(51-MATCH(Songs!$A113,Data!Q$2:Q$51,0),NA())</f>
        <v>#N/A</v>
      </c>
      <c r="AA113">
        <f>_xlfn.IFNA(51-MATCH(Songs!$A113,Data!R$2:R$51,0),NA())</f>
        <v>20</v>
      </c>
      <c r="AB113" t="e">
        <f>_xlfn.IFNA(51-MATCH(Songs!$A113,Data!S$2:S$51,0),NA())</f>
        <v>#N/A</v>
      </c>
      <c r="AC113" t="e">
        <f>_xlfn.IFNA(51-MATCH(Songs!$A113,Data!T$2:T$51,0),NA())</f>
        <v>#N/A</v>
      </c>
      <c r="AD113" t="e">
        <f>_xlfn.IFNA(51-MATCH(Songs!$A113,Data!U$2:U$51,0),NA())</f>
        <v>#N/A</v>
      </c>
    </row>
    <row r="114" spans="1:30" ht="15.75" customHeight="1" x14ac:dyDescent="0.25">
      <c r="A114" s="6" t="s">
        <v>247</v>
      </c>
      <c r="B114" s="2" t="s">
        <v>254</v>
      </c>
      <c r="F114" s="6">
        <v>0</v>
      </c>
      <c r="G114" s="2">
        <f ca="1">COUNTIF(INDIRECT(_xlfn.CONCAT("Data!$B$2:", ADDRESS(51,COUNTA(Data!$1:$1)+1,1,1))), Songs!A114) + F114</f>
        <v>1</v>
      </c>
      <c r="H114" s="8"/>
      <c r="I114" s="8"/>
      <c r="J114" s="8" cm="1">
        <f t="array" ref="J114">51 - MAX(IF(NOT(ISNA(K114:BB114)),K114:BB114))</f>
        <v>33</v>
      </c>
      <c r="K114" t="e">
        <f>_xlfn.IFNA(51-MATCH(Songs!$A114,Data!B$2:B$51,0),NA())</f>
        <v>#N/A</v>
      </c>
      <c r="L114" t="e">
        <f>_xlfn.IFNA(51-MATCH(Songs!$A114,Data!C$2:C$51,0),NA())</f>
        <v>#N/A</v>
      </c>
      <c r="M114" t="e">
        <f>_xlfn.IFNA(51-MATCH(Songs!$A114,Data!D$2:D$51,0),NA())</f>
        <v>#N/A</v>
      </c>
      <c r="N114" t="e">
        <f>_xlfn.IFNA(51-MATCH(Songs!$A114,Data!E$2:E$51,0),NA())</f>
        <v>#N/A</v>
      </c>
      <c r="O114" t="e">
        <f>_xlfn.IFNA(51-MATCH(Songs!$A114,Data!F$2:F$51,0),NA())</f>
        <v>#N/A</v>
      </c>
      <c r="P114" t="e">
        <f>_xlfn.IFNA(51-MATCH(Songs!$A114,Data!G$2:G$51,0),NA())</f>
        <v>#N/A</v>
      </c>
      <c r="Q114" t="e">
        <f>_xlfn.IFNA(51-MATCH(Songs!$A114,Data!H$2:H$51,0),NA())</f>
        <v>#N/A</v>
      </c>
      <c r="R114" t="e">
        <f>_xlfn.IFNA(51-MATCH(Songs!$A114,Data!I$2:I$51,0),NA())</f>
        <v>#N/A</v>
      </c>
      <c r="S114" t="e">
        <f>_xlfn.IFNA(51-MATCH(Songs!$A114,Data!J$2:J$51,0),NA())</f>
        <v>#N/A</v>
      </c>
      <c r="T114" t="e">
        <f>_xlfn.IFNA(51-MATCH(Songs!$A114,Data!K$2:K$51,0),NA())</f>
        <v>#N/A</v>
      </c>
      <c r="U114" t="e">
        <f>_xlfn.IFNA(51-MATCH(Songs!$A114,Data!L$2:L$51,0),NA())</f>
        <v>#N/A</v>
      </c>
      <c r="V114" t="e">
        <f>_xlfn.IFNA(51-MATCH(Songs!$A114,Data!M$2:M$51,0),NA())</f>
        <v>#N/A</v>
      </c>
      <c r="W114" t="e">
        <f>_xlfn.IFNA(51-MATCH(Songs!$A114,Data!N$2:N$51,0),NA())</f>
        <v>#N/A</v>
      </c>
      <c r="X114" t="e">
        <f>_xlfn.IFNA(51-MATCH(Songs!$A114,Data!O$2:O$51,0),NA())</f>
        <v>#N/A</v>
      </c>
      <c r="Y114" t="e">
        <f>_xlfn.IFNA(51-MATCH(Songs!$A114,Data!P$2:P$51,0),NA())</f>
        <v>#N/A</v>
      </c>
      <c r="Z114" t="e">
        <f>_xlfn.IFNA(51-MATCH(Songs!$A114,Data!Q$2:Q$51,0),NA())</f>
        <v>#N/A</v>
      </c>
      <c r="AA114">
        <f>_xlfn.IFNA(51-MATCH(Songs!$A114,Data!R$2:R$51,0),NA())</f>
        <v>18</v>
      </c>
      <c r="AB114" t="e">
        <f>_xlfn.IFNA(51-MATCH(Songs!$A114,Data!S$2:S$51,0),NA())</f>
        <v>#N/A</v>
      </c>
      <c r="AC114" t="e">
        <f>_xlfn.IFNA(51-MATCH(Songs!$A114,Data!T$2:T$51,0),NA())</f>
        <v>#N/A</v>
      </c>
      <c r="AD114" t="e">
        <f>_xlfn.IFNA(51-MATCH(Songs!$A114,Data!U$2:U$51,0),NA())</f>
        <v>#N/A</v>
      </c>
    </row>
    <row r="115" spans="1:30" ht="15.75" customHeight="1" x14ac:dyDescent="0.25">
      <c r="A115" s="6" t="s">
        <v>248</v>
      </c>
      <c r="B115" s="2" t="s">
        <v>222</v>
      </c>
      <c r="C115" t="s">
        <v>236</v>
      </c>
      <c r="F115" s="6">
        <v>0</v>
      </c>
      <c r="G115" s="2">
        <f ca="1">COUNTIF(INDIRECT(_xlfn.CONCAT("Data!$B$2:", ADDRESS(51,COUNTA(Data!$1:$1)+1,1,1))), Songs!A115) + F115</f>
        <v>1</v>
      </c>
      <c r="H115" s="8"/>
      <c r="I115" s="8"/>
      <c r="J115" s="8" cm="1">
        <f t="array" ref="J115">51 - MAX(IF(NOT(ISNA(K115:BB115)),K115:BB115))</f>
        <v>46</v>
      </c>
      <c r="K115" t="e">
        <f>_xlfn.IFNA(51-MATCH(Songs!$A115,Data!B$2:B$51,0),NA())</f>
        <v>#N/A</v>
      </c>
      <c r="L115" t="e">
        <f>_xlfn.IFNA(51-MATCH(Songs!$A115,Data!C$2:C$51,0),NA())</f>
        <v>#N/A</v>
      </c>
      <c r="M115" t="e">
        <f>_xlfn.IFNA(51-MATCH(Songs!$A115,Data!D$2:D$51,0),NA())</f>
        <v>#N/A</v>
      </c>
      <c r="N115" t="e">
        <f>_xlfn.IFNA(51-MATCH(Songs!$A115,Data!E$2:E$51,0),NA())</f>
        <v>#N/A</v>
      </c>
      <c r="O115" t="e">
        <f>_xlfn.IFNA(51-MATCH(Songs!$A115,Data!F$2:F$51,0),NA())</f>
        <v>#N/A</v>
      </c>
      <c r="P115" t="e">
        <f>_xlfn.IFNA(51-MATCH(Songs!$A115,Data!G$2:G$51,0),NA())</f>
        <v>#N/A</v>
      </c>
      <c r="Q115" t="e">
        <f>_xlfn.IFNA(51-MATCH(Songs!$A115,Data!H$2:H$51,0),NA())</f>
        <v>#N/A</v>
      </c>
      <c r="R115" t="e">
        <f>_xlfn.IFNA(51-MATCH(Songs!$A115,Data!I$2:I$51,0),NA())</f>
        <v>#N/A</v>
      </c>
      <c r="S115" t="e">
        <f>_xlfn.IFNA(51-MATCH(Songs!$A115,Data!J$2:J$51,0),NA())</f>
        <v>#N/A</v>
      </c>
      <c r="T115" t="e">
        <f>_xlfn.IFNA(51-MATCH(Songs!$A115,Data!K$2:K$51,0),NA())</f>
        <v>#N/A</v>
      </c>
      <c r="U115" t="e">
        <f>_xlfn.IFNA(51-MATCH(Songs!$A115,Data!L$2:L$51,0),NA())</f>
        <v>#N/A</v>
      </c>
      <c r="V115" t="e">
        <f>_xlfn.IFNA(51-MATCH(Songs!$A115,Data!M$2:M$51,0),NA())</f>
        <v>#N/A</v>
      </c>
      <c r="W115" t="e">
        <f>_xlfn.IFNA(51-MATCH(Songs!$A115,Data!N$2:N$51,0),NA())</f>
        <v>#N/A</v>
      </c>
      <c r="X115" t="e">
        <f>_xlfn.IFNA(51-MATCH(Songs!$A115,Data!O$2:O$51,0),NA())</f>
        <v>#N/A</v>
      </c>
      <c r="Y115" t="e">
        <f>_xlfn.IFNA(51-MATCH(Songs!$A115,Data!P$2:P$51,0),NA())</f>
        <v>#N/A</v>
      </c>
      <c r="Z115" t="e">
        <f>_xlfn.IFNA(51-MATCH(Songs!$A115,Data!Q$2:Q$51,0),NA())</f>
        <v>#N/A</v>
      </c>
      <c r="AA115">
        <f>_xlfn.IFNA(51-MATCH(Songs!$A115,Data!R$2:R$51,0),NA())</f>
        <v>5</v>
      </c>
      <c r="AB115" t="e">
        <f>_xlfn.IFNA(51-MATCH(Songs!$A115,Data!S$2:S$51,0),NA())</f>
        <v>#N/A</v>
      </c>
      <c r="AC115" t="e">
        <f>_xlfn.IFNA(51-MATCH(Songs!$A115,Data!T$2:T$51,0),NA())</f>
        <v>#N/A</v>
      </c>
      <c r="AD115" t="e">
        <f>_xlfn.IFNA(51-MATCH(Songs!$A115,Data!U$2:U$51,0),NA())</f>
        <v>#N/A</v>
      </c>
    </row>
    <row r="116" spans="1:30" ht="15.75" customHeight="1" x14ac:dyDescent="0.25">
      <c r="A116" s="6" t="s">
        <v>249</v>
      </c>
      <c r="B116" s="2" t="s">
        <v>255</v>
      </c>
      <c r="F116" s="6">
        <v>0</v>
      </c>
      <c r="G116" s="2">
        <f ca="1">COUNTIF(INDIRECT(_xlfn.CONCAT("Data!$B$2:", ADDRESS(51,COUNTA(Data!$1:$1)+1,1,1))), Songs!A116) + F116</f>
        <v>1</v>
      </c>
      <c r="H116" s="8"/>
      <c r="I116" s="8"/>
      <c r="J116" s="8" cm="1">
        <f t="array" ref="J116">51 - MAX(IF(NOT(ISNA(K116:BB116)),K116:BB116))</f>
        <v>49</v>
      </c>
      <c r="K116" t="e">
        <f>_xlfn.IFNA(51-MATCH(Songs!$A116,Data!B$2:B$51,0),NA())</f>
        <v>#N/A</v>
      </c>
      <c r="L116" t="e">
        <f>_xlfn.IFNA(51-MATCH(Songs!$A116,Data!C$2:C$51,0),NA())</f>
        <v>#N/A</v>
      </c>
      <c r="M116" t="e">
        <f>_xlfn.IFNA(51-MATCH(Songs!$A116,Data!D$2:D$51,0),NA())</f>
        <v>#N/A</v>
      </c>
      <c r="N116" t="e">
        <f>_xlfn.IFNA(51-MATCH(Songs!$A116,Data!E$2:E$51,0),NA())</f>
        <v>#N/A</v>
      </c>
      <c r="O116" t="e">
        <f>_xlfn.IFNA(51-MATCH(Songs!$A116,Data!F$2:F$51,0),NA())</f>
        <v>#N/A</v>
      </c>
      <c r="P116" t="e">
        <f>_xlfn.IFNA(51-MATCH(Songs!$A116,Data!G$2:G$51,0),NA())</f>
        <v>#N/A</v>
      </c>
      <c r="Q116" t="e">
        <f>_xlfn.IFNA(51-MATCH(Songs!$A116,Data!H$2:H$51,0),NA())</f>
        <v>#N/A</v>
      </c>
      <c r="R116" t="e">
        <f>_xlfn.IFNA(51-MATCH(Songs!$A116,Data!I$2:I$51,0),NA())</f>
        <v>#N/A</v>
      </c>
      <c r="S116" t="e">
        <f>_xlfn.IFNA(51-MATCH(Songs!$A116,Data!J$2:J$51,0),NA())</f>
        <v>#N/A</v>
      </c>
      <c r="T116" t="e">
        <f>_xlfn.IFNA(51-MATCH(Songs!$A116,Data!K$2:K$51,0),NA())</f>
        <v>#N/A</v>
      </c>
      <c r="U116" t="e">
        <f>_xlfn.IFNA(51-MATCH(Songs!$A116,Data!L$2:L$51,0),NA())</f>
        <v>#N/A</v>
      </c>
      <c r="V116" t="e">
        <f>_xlfn.IFNA(51-MATCH(Songs!$A116,Data!M$2:M$51,0),NA())</f>
        <v>#N/A</v>
      </c>
      <c r="W116" t="e">
        <f>_xlfn.IFNA(51-MATCH(Songs!$A116,Data!N$2:N$51,0),NA())</f>
        <v>#N/A</v>
      </c>
      <c r="X116" t="e">
        <f>_xlfn.IFNA(51-MATCH(Songs!$A116,Data!O$2:O$51,0),NA())</f>
        <v>#N/A</v>
      </c>
      <c r="Y116" t="e">
        <f>_xlfn.IFNA(51-MATCH(Songs!$A116,Data!P$2:P$51,0),NA())</f>
        <v>#N/A</v>
      </c>
      <c r="Z116" t="e">
        <f>_xlfn.IFNA(51-MATCH(Songs!$A116,Data!Q$2:Q$51,0),NA())</f>
        <v>#N/A</v>
      </c>
      <c r="AA116">
        <f>_xlfn.IFNA(51-MATCH(Songs!$A116,Data!R$2:R$51,0),NA())</f>
        <v>2</v>
      </c>
      <c r="AB116" t="e">
        <f>_xlfn.IFNA(51-MATCH(Songs!$A116,Data!S$2:S$51,0),NA())</f>
        <v>#N/A</v>
      </c>
      <c r="AC116" t="e">
        <f>_xlfn.IFNA(51-MATCH(Songs!$A116,Data!T$2:T$51,0),NA())</f>
        <v>#N/A</v>
      </c>
      <c r="AD116" t="e">
        <f>_xlfn.IFNA(51-MATCH(Songs!$A116,Data!U$2:U$51,0),NA())</f>
        <v>#N/A</v>
      </c>
    </row>
    <row r="117" spans="1:30" ht="15.75" customHeight="1" x14ac:dyDescent="0.25">
      <c r="A117" s="6" t="s">
        <v>250</v>
      </c>
      <c r="B117" s="2" t="s">
        <v>80</v>
      </c>
      <c r="D117" t="s">
        <v>256</v>
      </c>
      <c r="F117" s="6">
        <v>0</v>
      </c>
      <c r="G117" s="2">
        <f ca="1">COUNTIF(INDIRECT(_xlfn.CONCAT("Data!$B$2:", ADDRESS(51,COUNTA(Data!$1:$1)+1,1,1))), Songs!A117) + F117</f>
        <v>1</v>
      </c>
      <c r="H117" s="8"/>
      <c r="I117" s="8"/>
      <c r="J117" s="8" cm="1">
        <f t="array" ref="J117">51 - MAX(IF(NOT(ISNA(K117:BB117)),K117:BB117))</f>
        <v>50</v>
      </c>
      <c r="K117" t="e">
        <f>_xlfn.IFNA(51-MATCH(Songs!$A117,Data!B$2:B$51,0),NA())</f>
        <v>#N/A</v>
      </c>
      <c r="L117" t="e">
        <f>_xlfn.IFNA(51-MATCH(Songs!$A117,Data!C$2:C$51,0),NA())</f>
        <v>#N/A</v>
      </c>
      <c r="M117" t="e">
        <f>_xlfn.IFNA(51-MATCH(Songs!$A117,Data!D$2:D$51,0),NA())</f>
        <v>#N/A</v>
      </c>
      <c r="N117" t="e">
        <f>_xlfn.IFNA(51-MATCH(Songs!$A117,Data!E$2:E$51,0),NA())</f>
        <v>#N/A</v>
      </c>
      <c r="O117" t="e">
        <f>_xlfn.IFNA(51-MATCH(Songs!$A117,Data!F$2:F$51,0),NA())</f>
        <v>#N/A</v>
      </c>
      <c r="P117" t="e">
        <f>_xlfn.IFNA(51-MATCH(Songs!$A117,Data!G$2:G$51,0),NA())</f>
        <v>#N/A</v>
      </c>
      <c r="Q117" t="e">
        <f>_xlfn.IFNA(51-MATCH(Songs!$A117,Data!H$2:H$51,0),NA())</f>
        <v>#N/A</v>
      </c>
      <c r="R117" t="e">
        <f>_xlfn.IFNA(51-MATCH(Songs!$A117,Data!I$2:I$51,0),NA())</f>
        <v>#N/A</v>
      </c>
      <c r="S117" t="e">
        <f>_xlfn.IFNA(51-MATCH(Songs!$A117,Data!J$2:J$51,0),NA())</f>
        <v>#N/A</v>
      </c>
      <c r="T117" t="e">
        <f>_xlfn.IFNA(51-MATCH(Songs!$A117,Data!K$2:K$51,0),NA())</f>
        <v>#N/A</v>
      </c>
      <c r="U117" t="e">
        <f>_xlfn.IFNA(51-MATCH(Songs!$A117,Data!L$2:L$51,0),NA())</f>
        <v>#N/A</v>
      </c>
      <c r="V117" t="e">
        <f>_xlfn.IFNA(51-MATCH(Songs!$A117,Data!M$2:M$51,0),NA())</f>
        <v>#N/A</v>
      </c>
      <c r="W117" t="e">
        <f>_xlfn.IFNA(51-MATCH(Songs!$A117,Data!N$2:N$51,0),NA())</f>
        <v>#N/A</v>
      </c>
      <c r="X117" t="e">
        <f>_xlfn.IFNA(51-MATCH(Songs!$A117,Data!O$2:O$51,0),NA())</f>
        <v>#N/A</v>
      </c>
      <c r="Y117" t="e">
        <f>_xlfn.IFNA(51-MATCH(Songs!$A117,Data!P$2:P$51,0),NA())</f>
        <v>#N/A</v>
      </c>
      <c r="Z117" t="e">
        <f>_xlfn.IFNA(51-MATCH(Songs!$A117,Data!Q$2:Q$51,0),NA())</f>
        <v>#N/A</v>
      </c>
      <c r="AA117">
        <f>_xlfn.IFNA(51-MATCH(Songs!$A117,Data!R$2:R$51,0),NA())</f>
        <v>1</v>
      </c>
      <c r="AB117" t="e">
        <f>_xlfn.IFNA(51-MATCH(Songs!$A117,Data!S$2:S$51,0),NA())</f>
        <v>#N/A</v>
      </c>
      <c r="AC117" t="e">
        <f>_xlfn.IFNA(51-MATCH(Songs!$A117,Data!T$2:T$51,0),NA())</f>
        <v>#N/A</v>
      </c>
      <c r="AD117" t="e">
        <f>_xlfn.IFNA(51-MATCH(Songs!$A117,Data!U$2:U$51,0),NA())</f>
        <v>#N/A</v>
      </c>
    </row>
    <row r="118" spans="1:30" ht="15.75" customHeight="1" x14ac:dyDescent="0.25">
      <c r="K118" t="e">
        <f>_xlfn.IFNA(51-MATCH(Songs!$A118,Data!B$2:B$51,0),NA())</f>
        <v>#N/A</v>
      </c>
      <c r="L118" t="e">
        <f>_xlfn.IFNA(51-MATCH(Songs!$A118,Data!C$2:C$51,0),NA())</f>
        <v>#N/A</v>
      </c>
      <c r="M118" t="e">
        <f>_xlfn.IFNA(51-MATCH(Songs!$A118,Data!D$2:D$51,0),NA())</f>
        <v>#N/A</v>
      </c>
      <c r="N118" t="e">
        <f>_xlfn.IFNA(51-MATCH(Songs!$A118,Data!E$2:E$51,0),NA())</f>
        <v>#N/A</v>
      </c>
      <c r="O118" t="e">
        <f>_xlfn.IFNA(51-MATCH(Songs!$A118,Data!F$2:F$51,0),NA())</f>
        <v>#N/A</v>
      </c>
      <c r="P118" t="e">
        <f>_xlfn.IFNA(51-MATCH(Songs!$A118,Data!G$2:G$51,0),NA())</f>
        <v>#N/A</v>
      </c>
      <c r="Q118" t="e">
        <f>_xlfn.IFNA(51-MATCH(Songs!$A118,Data!H$2:H$51,0),NA())</f>
        <v>#N/A</v>
      </c>
      <c r="R118" t="e">
        <f>_xlfn.IFNA(51-MATCH(Songs!$A118,Data!I$2:I$51,0),NA())</f>
        <v>#N/A</v>
      </c>
      <c r="S118" t="e">
        <f>_xlfn.IFNA(51-MATCH(Songs!$A118,Data!J$2:J$51,0),NA())</f>
        <v>#N/A</v>
      </c>
      <c r="T118" t="e">
        <f>_xlfn.IFNA(51-MATCH(Songs!$A118,Data!K$2:K$51,0),NA())</f>
        <v>#N/A</v>
      </c>
      <c r="U118" t="e">
        <f>_xlfn.IFNA(51-MATCH(Songs!$A118,Data!L$2:L$51,0),NA())</f>
        <v>#N/A</v>
      </c>
      <c r="V118" t="e">
        <f>_xlfn.IFNA(51-MATCH(Songs!$A118,Data!M$2:M$51,0),NA())</f>
        <v>#N/A</v>
      </c>
      <c r="W118" t="e">
        <f>_xlfn.IFNA(51-MATCH(Songs!$A118,Data!N$2:N$51,0),NA())</f>
        <v>#N/A</v>
      </c>
      <c r="X118" t="e">
        <f>_xlfn.IFNA(51-MATCH(Songs!$A118,Data!O$2:O$51,0),NA())</f>
        <v>#N/A</v>
      </c>
      <c r="Y118" t="e">
        <f>_xlfn.IFNA(51-MATCH(Songs!$A118,Data!P$2:P$51,0),NA())</f>
        <v>#N/A</v>
      </c>
      <c r="Z118" t="e">
        <f>_xlfn.IFNA(51-MATCH(Songs!$A118,Data!Q$2:Q$51,0),NA())</f>
        <v>#N/A</v>
      </c>
      <c r="AA118" t="e">
        <f>_xlfn.IFNA(51-MATCH(Songs!$A118,Data!R$2:R$51,0),NA())</f>
        <v>#N/A</v>
      </c>
      <c r="AB118" t="e">
        <f>_xlfn.IFNA(51-MATCH(Songs!$A118,Data!S$2:S$51,0),NA())</f>
        <v>#N/A</v>
      </c>
      <c r="AC118" t="e">
        <f>_xlfn.IFNA(51-MATCH(Songs!$A118,Data!T$2:T$51,0),NA())</f>
        <v>#N/A</v>
      </c>
      <c r="AD118" t="e">
        <f>_xlfn.IFNA(51-MATCH(Songs!$A118,Data!U$2:U$51,0),NA())</f>
        <v>#N/A</v>
      </c>
    </row>
    <row r="119" spans="1:30" ht="15.75" customHeight="1" x14ac:dyDescent="0.25">
      <c r="K119" t="e">
        <f>_xlfn.IFNA(51-MATCH(Songs!$A119,Data!B$2:B$51,0),NA())</f>
        <v>#N/A</v>
      </c>
      <c r="L119" t="e">
        <f>_xlfn.IFNA(51-MATCH(Songs!$A119,Data!C$2:C$51,0),NA())</f>
        <v>#N/A</v>
      </c>
      <c r="M119" t="e">
        <f>_xlfn.IFNA(51-MATCH(Songs!$A119,Data!D$2:D$51,0),NA())</f>
        <v>#N/A</v>
      </c>
      <c r="N119" t="e">
        <f>_xlfn.IFNA(51-MATCH(Songs!$A119,Data!E$2:E$51,0),NA())</f>
        <v>#N/A</v>
      </c>
      <c r="O119" t="e">
        <f>_xlfn.IFNA(51-MATCH(Songs!$A119,Data!F$2:F$51,0),NA())</f>
        <v>#N/A</v>
      </c>
      <c r="P119" t="e">
        <f>_xlfn.IFNA(51-MATCH(Songs!$A119,Data!G$2:G$51,0),NA())</f>
        <v>#N/A</v>
      </c>
      <c r="Q119" t="e">
        <f>_xlfn.IFNA(51-MATCH(Songs!$A119,Data!H$2:H$51,0),NA())</f>
        <v>#N/A</v>
      </c>
      <c r="R119" t="e">
        <f>_xlfn.IFNA(51-MATCH(Songs!$A119,Data!I$2:I$51,0),NA())</f>
        <v>#N/A</v>
      </c>
      <c r="S119" t="e">
        <f>_xlfn.IFNA(51-MATCH(Songs!$A119,Data!J$2:J$51,0),NA())</f>
        <v>#N/A</v>
      </c>
      <c r="T119" t="e">
        <f>_xlfn.IFNA(51-MATCH(Songs!$A119,Data!K$2:K$51,0),NA())</f>
        <v>#N/A</v>
      </c>
      <c r="U119" t="e">
        <f>_xlfn.IFNA(51-MATCH(Songs!$A119,Data!L$2:L$51,0),NA())</f>
        <v>#N/A</v>
      </c>
      <c r="V119" t="e">
        <f>_xlfn.IFNA(51-MATCH(Songs!$A119,Data!M$2:M$51,0),NA())</f>
        <v>#N/A</v>
      </c>
      <c r="W119" t="e">
        <f>_xlfn.IFNA(51-MATCH(Songs!$A119,Data!N$2:N$51,0),NA())</f>
        <v>#N/A</v>
      </c>
      <c r="X119" t="e">
        <f>_xlfn.IFNA(51-MATCH(Songs!$A119,Data!O$2:O$51,0),NA())</f>
        <v>#N/A</v>
      </c>
      <c r="Y119" t="e">
        <f>_xlfn.IFNA(51-MATCH(Songs!$A119,Data!P$2:P$51,0),NA())</f>
        <v>#N/A</v>
      </c>
      <c r="Z119" t="e">
        <f>_xlfn.IFNA(51-MATCH(Songs!$A119,Data!Q$2:Q$51,0),NA())</f>
        <v>#N/A</v>
      </c>
      <c r="AA119" t="e">
        <f>_xlfn.IFNA(51-MATCH(Songs!$A119,Data!R$2:R$51,0),NA())</f>
        <v>#N/A</v>
      </c>
      <c r="AB119" t="e">
        <f>_xlfn.IFNA(51-MATCH(Songs!$A119,Data!S$2:S$51,0),NA())</f>
        <v>#N/A</v>
      </c>
      <c r="AC119" t="e">
        <f>_xlfn.IFNA(51-MATCH(Songs!$A119,Data!T$2:T$51,0),NA())</f>
        <v>#N/A</v>
      </c>
      <c r="AD119" t="e">
        <f>_xlfn.IFNA(51-MATCH(Songs!$A119,Data!U$2:U$51,0),NA())</f>
        <v>#N/A</v>
      </c>
    </row>
    <row r="120" spans="1:30" ht="15.75" customHeight="1" x14ac:dyDescent="0.25">
      <c r="K120" t="e">
        <f>_xlfn.IFNA(51-MATCH(Songs!$A120,Data!B$2:B$51,0),NA())</f>
        <v>#N/A</v>
      </c>
      <c r="L120" t="e">
        <f>_xlfn.IFNA(51-MATCH(Songs!$A120,Data!C$2:C$51,0),NA())</f>
        <v>#N/A</v>
      </c>
      <c r="M120" t="e">
        <f>_xlfn.IFNA(51-MATCH(Songs!$A120,Data!D$2:D$51,0),NA())</f>
        <v>#N/A</v>
      </c>
      <c r="N120" t="e">
        <f>_xlfn.IFNA(51-MATCH(Songs!$A120,Data!E$2:E$51,0),NA())</f>
        <v>#N/A</v>
      </c>
      <c r="O120" t="e">
        <f>_xlfn.IFNA(51-MATCH(Songs!$A120,Data!F$2:F$51,0),NA())</f>
        <v>#N/A</v>
      </c>
      <c r="P120" t="e">
        <f>_xlfn.IFNA(51-MATCH(Songs!$A120,Data!G$2:G$51,0),NA())</f>
        <v>#N/A</v>
      </c>
      <c r="Q120" t="e">
        <f>_xlfn.IFNA(51-MATCH(Songs!$A120,Data!H$2:H$51,0),NA())</f>
        <v>#N/A</v>
      </c>
      <c r="R120" t="e">
        <f>_xlfn.IFNA(51-MATCH(Songs!$A120,Data!I$2:I$51,0),NA())</f>
        <v>#N/A</v>
      </c>
      <c r="S120" t="e">
        <f>_xlfn.IFNA(51-MATCH(Songs!$A120,Data!J$2:J$51,0),NA())</f>
        <v>#N/A</v>
      </c>
      <c r="T120" t="e">
        <f>_xlfn.IFNA(51-MATCH(Songs!$A120,Data!K$2:K$51,0),NA())</f>
        <v>#N/A</v>
      </c>
      <c r="U120" t="e">
        <f>_xlfn.IFNA(51-MATCH(Songs!$A120,Data!L$2:L$51,0),NA())</f>
        <v>#N/A</v>
      </c>
      <c r="V120" t="e">
        <f>_xlfn.IFNA(51-MATCH(Songs!$A120,Data!M$2:M$51,0),NA())</f>
        <v>#N/A</v>
      </c>
      <c r="W120" t="e">
        <f>_xlfn.IFNA(51-MATCH(Songs!$A120,Data!N$2:N$51,0),NA())</f>
        <v>#N/A</v>
      </c>
      <c r="X120" t="e">
        <f>_xlfn.IFNA(51-MATCH(Songs!$A120,Data!O$2:O$51,0),NA())</f>
        <v>#N/A</v>
      </c>
      <c r="Y120" t="e">
        <f>_xlfn.IFNA(51-MATCH(Songs!$A120,Data!P$2:P$51,0),NA())</f>
        <v>#N/A</v>
      </c>
      <c r="Z120" t="e">
        <f>_xlfn.IFNA(51-MATCH(Songs!$A120,Data!Q$2:Q$51,0),NA())</f>
        <v>#N/A</v>
      </c>
      <c r="AA120" t="e">
        <f>_xlfn.IFNA(51-MATCH(Songs!$A120,Data!R$2:R$51,0),NA())</f>
        <v>#N/A</v>
      </c>
      <c r="AB120" t="e">
        <f>_xlfn.IFNA(51-MATCH(Songs!$A120,Data!S$2:S$51,0),NA())</f>
        <v>#N/A</v>
      </c>
      <c r="AC120" t="e">
        <f>_xlfn.IFNA(51-MATCH(Songs!$A120,Data!T$2:T$51,0),NA())</f>
        <v>#N/A</v>
      </c>
      <c r="AD120" t="e">
        <f>_xlfn.IFNA(51-MATCH(Songs!$A120,Data!U$2:U$51,0),NA())</f>
        <v>#N/A</v>
      </c>
    </row>
    <row r="121" spans="1:30" ht="15.75" customHeight="1" x14ac:dyDescent="0.25">
      <c r="K121" t="e">
        <f>_xlfn.IFNA(51-MATCH(Songs!$A121,Data!B$2:B$51,0),NA())</f>
        <v>#N/A</v>
      </c>
      <c r="L121" t="e">
        <f>_xlfn.IFNA(51-MATCH(Songs!$A121,Data!C$2:C$51,0),NA())</f>
        <v>#N/A</v>
      </c>
      <c r="M121" t="e">
        <f>_xlfn.IFNA(51-MATCH(Songs!$A121,Data!D$2:D$51,0),NA())</f>
        <v>#N/A</v>
      </c>
      <c r="N121" t="e">
        <f>_xlfn.IFNA(51-MATCH(Songs!$A121,Data!E$2:E$51,0),NA())</f>
        <v>#N/A</v>
      </c>
      <c r="O121" t="e">
        <f>_xlfn.IFNA(51-MATCH(Songs!$A121,Data!F$2:F$51,0),NA())</f>
        <v>#N/A</v>
      </c>
      <c r="P121" t="e">
        <f>_xlfn.IFNA(51-MATCH(Songs!$A121,Data!G$2:G$51,0),NA())</f>
        <v>#N/A</v>
      </c>
      <c r="Q121" t="e">
        <f>_xlfn.IFNA(51-MATCH(Songs!$A121,Data!H$2:H$51,0),NA())</f>
        <v>#N/A</v>
      </c>
      <c r="R121" t="e">
        <f>_xlfn.IFNA(51-MATCH(Songs!$A121,Data!I$2:I$51,0),NA())</f>
        <v>#N/A</v>
      </c>
      <c r="S121" t="e">
        <f>_xlfn.IFNA(51-MATCH(Songs!$A121,Data!J$2:J$51,0),NA())</f>
        <v>#N/A</v>
      </c>
      <c r="T121" t="e">
        <f>_xlfn.IFNA(51-MATCH(Songs!$A121,Data!K$2:K$51,0),NA())</f>
        <v>#N/A</v>
      </c>
      <c r="U121" t="e">
        <f>_xlfn.IFNA(51-MATCH(Songs!$A121,Data!L$2:L$51,0),NA())</f>
        <v>#N/A</v>
      </c>
      <c r="V121" t="e">
        <f>_xlfn.IFNA(51-MATCH(Songs!$A121,Data!M$2:M$51,0),NA())</f>
        <v>#N/A</v>
      </c>
      <c r="W121" t="e">
        <f>_xlfn.IFNA(51-MATCH(Songs!$A121,Data!N$2:N$51,0),NA())</f>
        <v>#N/A</v>
      </c>
      <c r="X121" t="e">
        <f>_xlfn.IFNA(51-MATCH(Songs!$A121,Data!O$2:O$51,0),NA())</f>
        <v>#N/A</v>
      </c>
      <c r="Y121" t="e">
        <f>_xlfn.IFNA(51-MATCH(Songs!$A121,Data!P$2:P$51,0),NA())</f>
        <v>#N/A</v>
      </c>
      <c r="Z121" t="e">
        <f>_xlfn.IFNA(51-MATCH(Songs!$A121,Data!Q$2:Q$51,0),NA())</f>
        <v>#N/A</v>
      </c>
      <c r="AA121" t="e">
        <f>_xlfn.IFNA(51-MATCH(Songs!$A121,Data!R$2:R$51,0),NA())</f>
        <v>#N/A</v>
      </c>
      <c r="AB121" t="e">
        <f>_xlfn.IFNA(51-MATCH(Songs!$A121,Data!S$2:S$51,0),NA())</f>
        <v>#N/A</v>
      </c>
      <c r="AC121" t="e">
        <f>_xlfn.IFNA(51-MATCH(Songs!$A121,Data!T$2:T$51,0),NA())</f>
        <v>#N/A</v>
      </c>
      <c r="AD121" t="e">
        <f>_xlfn.IFNA(51-MATCH(Songs!$A121,Data!U$2:U$51,0),NA())</f>
        <v>#N/A</v>
      </c>
    </row>
    <row r="122" spans="1:30" ht="15.75" customHeight="1" x14ac:dyDescent="0.25">
      <c r="K122" t="e">
        <f>_xlfn.IFNA(51-MATCH(Songs!$A122,Data!B$2:B$51,0),NA())</f>
        <v>#N/A</v>
      </c>
      <c r="L122" t="e">
        <f>_xlfn.IFNA(51-MATCH(Songs!$A122,Data!C$2:C$51,0),NA())</f>
        <v>#N/A</v>
      </c>
      <c r="M122" t="e">
        <f>_xlfn.IFNA(51-MATCH(Songs!$A122,Data!D$2:D$51,0),NA())</f>
        <v>#N/A</v>
      </c>
      <c r="N122" t="e">
        <f>_xlfn.IFNA(51-MATCH(Songs!$A122,Data!E$2:E$51,0),NA())</f>
        <v>#N/A</v>
      </c>
      <c r="O122" t="e">
        <f>_xlfn.IFNA(51-MATCH(Songs!$A122,Data!F$2:F$51,0),NA())</f>
        <v>#N/A</v>
      </c>
      <c r="P122" t="e">
        <f>_xlfn.IFNA(51-MATCH(Songs!$A122,Data!G$2:G$51,0),NA())</f>
        <v>#N/A</v>
      </c>
      <c r="Q122" t="e">
        <f>_xlfn.IFNA(51-MATCH(Songs!$A122,Data!H$2:H$51,0),NA())</f>
        <v>#N/A</v>
      </c>
      <c r="R122" t="e">
        <f>_xlfn.IFNA(51-MATCH(Songs!$A122,Data!I$2:I$51,0),NA())</f>
        <v>#N/A</v>
      </c>
      <c r="S122" t="e">
        <f>_xlfn.IFNA(51-MATCH(Songs!$A122,Data!J$2:J$51,0),NA())</f>
        <v>#N/A</v>
      </c>
      <c r="T122" t="e">
        <f>_xlfn.IFNA(51-MATCH(Songs!$A122,Data!K$2:K$51,0),NA())</f>
        <v>#N/A</v>
      </c>
      <c r="U122" t="e">
        <f>_xlfn.IFNA(51-MATCH(Songs!$A122,Data!L$2:L$51,0),NA())</f>
        <v>#N/A</v>
      </c>
      <c r="V122" t="e">
        <f>_xlfn.IFNA(51-MATCH(Songs!$A122,Data!M$2:M$51,0),NA())</f>
        <v>#N/A</v>
      </c>
      <c r="W122" t="e">
        <f>_xlfn.IFNA(51-MATCH(Songs!$A122,Data!N$2:N$51,0),NA())</f>
        <v>#N/A</v>
      </c>
      <c r="X122" t="e">
        <f>_xlfn.IFNA(51-MATCH(Songs!$A122,Data!O$2:O$51,0),NA())</f>
        <v>#N/A</v>
      </c>
      <c r="Y122" t="e">
        <f>_xlfn.IFNA(51-MATCH(Songs!$A122,Data!P$2:P$51,0),NA())</f>
        <v>#N/A</v>
      </c>
      <c r="Z122" t="e">
        <f>_xlfn.IFNA(51-MATCH(Songs!$A122,Data!Q$2:Q$51,0),NA())</f>
        <v>#N/A</v>
      </c>
      <c r="AA122" t="e">
        <f>_xlfn.IFNA(51-MATCH(Songs!$A122,Data!R$2:R$51,0),NA())</f>
        <v>#N/A</v>
      </c>
      <c r="AB122" t="e">
        <f>_xlfn.IFNA(51-MATCH(Songs!$A122,Data!S$2:S$51,0),NA())</f>
        <v>#N/A</v>
      </c>
      <c r="AC122" t="e">
        <f>_xlfn.IFNA(51-MATCH(Songs!$A122,Data!T$2:T$51,0),NA())</f>
        <v>#N/A</v>
      </c>
      <c r="AD122" t="e">
        <f>_xlfn.IFNA(51-MATCH(Songs!$A122,Data!U$2:U$51,0),NA())</f>
        <v>#N/A</v>
      </c>
    </row>
    <row r="123" spans="1:30" ht="15.75" customHeight="1" x14ac:dyDescent="0.25">
      <c r="K123" t="e">
        <f>_xlfn.IFNA(51-MATCH(Songs!$A123,Data!B$2:B$51,0),NA())</f>
        <v>#N/A</v>
      </c>
      <c r="L123" t="e">
        <f>_xlfn.IFNA(51-MATCH(Songs!$A123,Data!C$2:C$51,0),NA())</f>
        <v>#N/A</v>
      </c>
      <c r="M123" t="e">
        <f>_xlfn.IFNA(51-MATCH(Songs!$A123,Data!D$2:D$51,0),NA())</f>
        <v>#N/A</v>
      </c>
      <c r="N123" t="e">
        <f>_xlfn.IFNA(51-MATCH(Songs!$A123,Data!E$2:E$51,0),NA())</f>
        <v>#N/A</v>
      </c>
      <c r="O123" t="e">
        <f>_xlfn.IFNA(51-MATCH(Songs!$A123,Data!F$2:F$51,0),NA())</f>
        <v>#N/A</v>
      </c>
      <c r="P123" t="e">
        <f>_xlfn.IFNA(51-MATCH(Songs!$A123,Data!G$2:G$51,0),NA())</f>
        <v>#N/A</v>
      </c>
      <c r="Q123" t="e">
        <f>_xlfn.IFNA(51-MATCH(Songs!$A123,Data!H$2:H$51,0),NA())</f>
        <v>#N/A</v>
      </c>
      <c r="R123" t="e">
        <f>_xlfn.IFNA(51-MATCH(Songs!$A123,Data!I$2:I$51,0),NA())</f>
        <v>#N/A</v>
      </c>
      <c r="S123" t="e">
        <f>_xlfn.IFNA(51-MATCH(Songs!$A123,Data!J$2:J$51,0),NA())</f>
        <v>#N/A</v>
      </c>
      <c r="T123" t="e">
        <f>_xlfn.IFNA(51-MATCH(Songs!$A123,Data!K$2:K$51,0),NA())</f>
        <v>#N/A</v>
      </c>
      <c r="U123" t="e">
        <f>_xlfn.IFNA(51-MATCH(Songs!$A123,Data!L$2:L$51,0),NA())</f>
        <v>#N/A</v>
      </c>
      <c r="V123" t="e">
        <f>_xlfn.IFNA(51-MATCH(Songs!$A123,Data!M$2:M$51,0),NA())</f>
        <v>#N/A</v>
      </c>
      <c r="W123" t="e">
        <f>_xlfn.IFNA(51-MATCH(Songs!$A123,Data!N$2:N$51,0),NA())</f>
        <v>#N/A</v>
      </c>
      <c r="X123" t="e">
        <f>_xlfn.IFNA(51-MATCH(Songs!$A123,Data!O$2:O$51,0),NA())</f>
        <v>#N/A</v>
      </c>
      <c r="Y123" t="e">
        <f>_xlfn.IFNA(51-MATCH(Songs!$A123,Data!P$2:P$51,0),NA())</f>
        <v>#N/A</v>
      </c>
      <c r="Z123" t="e">
        <f>_xlfn.IFNA(51-MATCH(Songs!$A123,Data!Q$2:Q$51,0),NA())</f>
        <v>#N/A</v>
      </c>
      <c r="AA123" t="e">
        <f>_xlfn.IFNA(51-MATCH(Songs!$A123,Data!R$2:R$51,0),NA())</f>
        <v>#N/A</v>
      </c>
      <c r="AB123" t="e">
        <f>_xlfn.IFNA(51-MATCH(Songs!$A123,Data!S$2:S$51,0),NA())</f>
        <v>#N/A</v>
      </c>
      <c r="AC123" t="e">
        <f>_xlfn.IFNA(51-MATCH(Songs!$A123,Data!T$2:T$51,0),NA())</f>
        <v>#N/A</v>
      </c>
      <c r="AD123" t="e">
        <f>_xlfn.IFNA(51-MATCH(Songs!$A123,Data!U$2:U$51,0),NA())</f>
        <v>#N/A</v>
      </c>
    </row>
    <row r="124" spans="1:30" ht="15.75" customHeight="1" x14ac:dyDescent="0.25">
      <c r="K124" t="e">
        <f>_xlfn.IFNA(51-MATCH(Songs!$A124,Data!B$2:B$51,0),NA())</f>
        <v>#N/A</v>
      </c>
      <c r="L124" t="e">
        <f>_xlfn.IFNA(51-MATCH(Songs!$A124,Data!C$2:C$51,0),NA())</f>
        <v>#N/A</v>
      </c>
      <c r="M124" t="e">
        <f>_xlfn.IFNA(51-MATCH(Songs!$A124,Data!D$2:D$51,0),NA())</f>
        <v>#N/A</v>
      </c>
      <c r="N124" t="e">
        <f>_xlfn.IFNA(51-MATCH(Songs!$A124,Data!E$2:E$51,0),NA())</f>
        <v>#N/A</v>
      </c>
      <c r="O124" t="e">
        <f>_xlfn.IFNA(51-MATCH(Songs!$A124,Data!F$2:F$51,0),NA())</f>
        <v>#N/A</v>
      </c>
      <c r="P124" t="e">
        <f>_xlfn.IFNA(51-MATCH(Songs!$A124,Data!G$2:G$51,0),NA())</f>
        <v>#N/A</v>
      </c>
      <c r="Q124" t="e">
        <f>_xlfn.IFNA(51-MATCH(Songs!$A124,Data!H$2:H$51,0),NA())</f>
        <v>#N/A</v>
      </c>
      <c r="R124" t="e">
        <f>_xlfn.IFNA(51-MATCH(Songs!$A124,Data!I$2:I$51,0),NA())</f>
        <v>#N/A</v>
      </c>
      <c r="S124" t="e">
        <f>_xlfn.IFNA(51-MATCH(Songs!$A124,Data!J$2:J$51,0),NA())</f>
        <v>#N/A</v>
      </c>
      <c r="T124" t="e">
        <f>_xlfn.IFNA(51-MATCH(Songs!$A124,Data!K$2:K$51,0),NA())</f>
        <v>#N/A</v>
      </c>
      <c r="U124" t="e">
        <f>_xlfn.IFNA(51-MATCH(Songs!$A124,Data!L$2:L$51,0),NA())</f>
        <v>#N/A</v>
      </c>
      <c r="V124" t="e">
        <f>_xlfn.IFNA(51-MATCH(Songs!$A124,Data!M$2:M$51,0),NA())</f>
        <v>#N/A</v>
      </c>
      <c r="W124" t="e">
        <f>_xlfn.IFNA(51-MATCH(Songs!$A124,Data!N$2:N$51,0),NA())</f>
        <v>#N/A</v>
      </c>
      <c r="X124" t="e">
        <f>_xlfn.IFNA(51-MATCH(Songs!$A124,Data!O$2:O$51,0),NA())</f>
        <v>#N/A</v>
      </c>
      <c r="Y124" t="e">
        <f>_xlfn.IFNA(51-MATCH(Songs!$A124,Data!P$2:P$51,0),NA())</f>
        <v>#N/A</v>
      </c>
      <c r="Z124" t="e">
        <f>_xlfn.IFNA(51-MATCH(Songs!$A124,Data!Q$2:Q$51,0),NA())</f>
        <v>#N/A</v>
      </c>
      <c r="AA124" t="e">
        <f>_xlfn.IFNA(51-MATCH(Songs!$A124,Data!R$2:R$51,0),NA())</f>
        <v>#N/A</v>
      </c>
      <c r="AB124" t="e">
        <f>_xlfn.IFNA(51-MATCH(Songs!$A124,Data!S$2:S$51,0),NA())</f>
        <v>#N/A</v>
      </c>
      <c r="AC124" t="e">
        <f>_xlfn.IFNA(51-MATCH(Songs!$A124,Data!T$2:T$51,0),NA())</f>
        <v>#N/A</v>
      </c>
      <c r="AD124" t="e">
        <f>_xlfn.IFNA(51-MATCH(Songs!$A124,Data!U$2:U$51,0),NA())</f>
        <v>#N/A</v>
      </c>
    </row>
    <row r="125" spans="1:30" ht="15.75" customHeight="1" x14ac:dyDescent="0.25">
      <c r="K125" t="e">
        <f>_xlfn.IFNA(51-MATCH(Songs!$A125,Data!B$2:B$51,0),NA())</f>
        <v>#N/A</v>
      </c>
      <c r="L125" t="e">
        <f>_xlfn.IFNA(51-MATCH(Songs!$A125,Data!C$2:C$51,0),NA())</f>
        <v>#N/A</v>
      </c>
      <c r="M125" t="e">
        <f>_xlfn.IFNA(51-MATCH(Songs!$A125,Data!D$2:D$51,0),NA())</f>
        <v>#N/A</v>
      </c>
      <c r="N125" t="e">
        <f>_xlfn.IFNA(51-MATCH(Songs!$A125,Data!E$2:E$51,0),NA())</f>
        <v>#N/A</v>
      </c>
      <c r="O125" t="e">
        <f>_xlfn.IFNA(51-MATCH(Songs!$A125,Data!F$2:F$51,0),NA())</f>
        <v>#N/A</v>
      </c>
      <c r="P125" t="e">
        <f>_xlfn.IFNA(51-MATCH(Songs!$A125,Data!G$2:G$51,0),NA())</f>
        <v>#N/A</v>
      </c>
      <c r="Q125" t="e">
        <f>_xlfn.IFNA(51-MATCH(Songs!$A125,Data!H$2:H$51,0),NA())</f>
        <v>#N/A</v>
      </c>
      <c r="R125" t="e">
        <f>_xlfn.IFNA(51-MATCH(Songs!$A125,Data!I$2:I$51,0),NA())</f>
        <v>#N/A</v>
      </c>
      <c r="S125" t="e">
        <f>_xlfn.IFNA(51-MATCH(Songs!$A125,Data!J$2:J$51,0),NA())</f>
        <v>#N/A</v>
      </c>
      <c r="T125" t="e">
        <f>_xlfn.IFNA(51-MATCH(Songs!$A125,Data!K$2:K$51,0),NA())</f>
        <v>#N/A</v>
      </c>
      <c r="U125" t="e">
        <f>_xlfn.IFNA(51-MATCH(Songs!$A125,Data!L$2:L$51,0),NA())</f>
        <v>#N/A</v>
      </c>
      <c r="V125" t="e">
        <f>_xlfn.IFNA(51-MATCH(Songs!$A125,Data!M$2:M$51,0),NA())</f>
        <v>#N/A</v>
      </c>
      <c r="W125" t="e">
        <f>_xlfn.IFNA(51-MATCH(Songs!$A125,Data!N$2:N$51,0),NA())</f>
        <v>#N/A</v>
      </c>
      <c r="X125" t="e">
        <f>_xlfn.IFNA(51-MATCH(Songs!$A125,Data!O$2:O$51,0),NA())</f>
        <v>#N/A</v>
      </c>
      <c r="Y125" t="e">
        <f>_xlfn.IFNA(51-MATCH(Songs!$A125,Data!P$2:P$51,0),NA())</f>
        <v>#N/A</v>
      </c>
      <c r="Z125" t="e">
        <f>_xlfn.IFNA(51-MATCH(Songs!$A125,Data!Q$2:Q$51,0),NA())</f>
        <v>#N/A</v>
      </c>
      <c r="AA125" t="e">
        <f>_xlfn.IFNA(51-MATCH(Songs!$A125,Data!R$2:R$51,0),NA())</f>
        <v>#N/A</v>
      </c>
      <c r="AB125" t="e">
        <f>_xlfn.IFNA(51-MATCH(Songs!$A125,Data!S$2:S$51,0),NA())</f>
        <v>#N/A</v>
      </c>
      <c r="AC125" t="e">
        <f>_xlfn.IFNA(51-MATCH(Songs!$A125,Data!T$2:T$51,0),NA())</f>
        <v>#N/A</v>
      </c>
      <c r="AD125" t="e">
        <f>_xlfn.IFNA(51-MATCH(Songs!$A125,Data!U$2:U$51,0),NA())</f>
        <v>#N/A</v>
      </c>
    </row>
    <row r="126" spans="1:30" ht="15.75" customHeight="1" x14ac:dyDescent="0.25">
      <c r="K126" t="e">
        <f>_xlfn.IFNA(51-MATCH(Songs!$A126,Data!B$2:B$51,0),NA())</f>
        <v>#N/A</v>
      </c>
      <c r="L126" t="e">
        <f>_xlfn.IFNA(51-MATCH(Songs!$A126,Data!C$2:C$51,0),NA())</f>
        <v>#N/A</v>
      </c>
      <c r="M126" t="e">
        <f>_xlfn.IFNA(51-MATCH(Songs!$A126,Data!D$2:D$51,0),NA())</f>
        <v>#N/A</v>
      </c>
      <c r="N126" t="e">
        <f>_xlfn.IFNA(51-MATCH(Songs!$A126,Data!E$2:E$51,0),NA())</f>
        <v>#N/A</v>
      </c>
      <c r="O126" t="e">
        <f>_xlfn.IFNA(51-MATCH(Songs!$A126,Data!F$2:F$51,0),NA())</f>
        <v>#N/A</v>
      </c>
      <c r="P126" t="e">
        <f>_xlfn.IFNA(51-MATCH(Songs!$A126,Data!G$2:G$51,0),NA())</f>
        <v>#N/A</v>
      </c>
      <c r="Q126" t="e">
        <f>_xlfn.IFNA(51-MATCH(Songs!$A126,Data!H$2:H$51,0),NA())</f>
        <v>#N/A</v>
      </c>
      <c r="R126" t="e">
        <f>_xlfn.IFNA(51-MATCH(Songs!$A126,Data!I$2:I$51,0),NA())</f>
        <v>#N/A</v>
      </c>
      <c r="S126" t="e">
        <f>_xlfn.IFNA(51-MATCH(Songs!$A126,Data!J$2:J$51,0),NA())</f>
        <v>#N/A</v>
      </c>
      <c r="T126" t="e">
        <f>_xlfn.IFNA(51-MATCH(Songs!$A126,Data!K$2:K$51,0),NA())</f>
        <v>#N/A</v>
      </c>
      <c r="U126" t="e">
        <f>_xlfn.IFNA(51-MATCH(Songs!$A126,Data!L$2:L$51,0),NA())</f>
        <v>#N/A</v>
      </c>
      <c r="V126" t="e">
        <f>_xlfn.IFNA(51-MATCH(Songs!$A126,Data!M$2:M$51,0),NA())</f>
        <v>#N/A</v>
      </c>
      <c r="W126" t="e">
        <f>_xlfn.IFNA(51-MATCH(Songs!$A126,Data!N$2:N$51,0),NA())</f>
        <v>#N/A</v>
      </c>
      <c r="X126" t="e">
        <f>_xlfn.IFNA(51-MATCH(Songs!$A126,Data!O$2:O$51,0),NA())</f>
        <v>#N/A</v>
      </c>
      <c r="Y126" t="e">
        <f>_xlfn.IFNA(51-MATCH(Songs!$A126,Data!P$2:P$51,0),NA())</f>
        <v>#N/A</v>
      </c>
      <c r="Z126" t="e">
        <f>_xlfn.IFNA(51-MATCH(Songs!$A126,Data!Q$2:Q$51,0),NA())</f>
        <v>#N/A</v>
      </c>
      <c r="AA126" t="e">
        <f>_xlfn.IFNA(51-MATCH(Songs!$A126,Data!R$2:R$51,0),NA())</f>
        <v>#N/A</v>
      </c>
      <c r="AB126" t="e">
        <f>_xlfn.IFNA(51-MATCH(Songs!$A126,Data!S$2:S$51,0),NA())</f>
        <v>#N/A</v>
      </c>
      <c r="AC126" t="e">
        <f>_xlfn.IFNA(51-MATCH(Songs!$A126,Data!T$2:T$51,0),NA())</f>
        <v>#N/A</v>
      </c>
      <c r="AD126" t="e">
        <f>_xlfn.IFNA(51-MATCH(Songs!$A126,Data!U$2:U$51,0),NA())</f>
        <v>#N/A</v>
      </c>
    </row>
    <row r="127" spans="1:30" ht="15.75" customHeight="1" x14ac:dyDescent="0.25">
      <c r="K127" t="e">
        <f>_xlfn.IFNA(51-MATCH(Songs!$A127,Data!B$2:B$51,0),NA())</f>
        <v>#N/A</v>
      </c>
      <c r="L127" t="e">
        <f>_xlfn.IFNA(51-MATCH(Songs!$A127,Data!C$2:C$51,0),NA())</f>
        <v>#N/A</v>
      </c>
      <c r="M127" t="e">
        <f>_xlfn.IFNA(51-MATCH(Songs!$A127,Data!D$2:D$51,0),NA())</f>
        <v>#N/A</v>
      </c>
      <c r="N127" t="e">
        <f>_xlfn.IFNA(51-MATCH(Songs!$A127,Data!E$2:E$51,0),NA())</f>
        <v>#N/A</v>
      </c>
      <c r="O127" t="e">
        <f>_xlfn.IFNA(51-MATCH(Songs!$A127,Data!F$2:F$51,0),NA())</f>
        <v>#N/A</v>
      </c>
      <c r="P127" t="e">
        <f>_xlfn.IFNA(51-MATCH(Songs!$A127,Data!G$2:G$51,0),NA())</f>
        <v>#N/A</v>
      </c>
      <c r="Q127" t="e">
        <f>_xlfn.IFNA(51-MATCH(Songs!$A127,Data!H$2:H$51,0),NA())</f>
        <v>#N/A</v>
      </c>
      <c r="R127" t="e">
        <f>_xlfn.IFNA(51-MATCH(Songs!$A127,Data!I$2:I$51,0),NA())</f>
        <v>#N/A</v>
      </c>
      <c r="S127" t="e">
        <f>_xlfn.IFNA(51-MATCH(Songs!$A127,Data!J$2:J$51,0),NA())</f>
        <v>#N/A</v>
      </c>
      <c r="T127" t="e">
        <f>_xlfn.IFNA(51-MATCH(Songs!$A127,Data!K$2:K$51,0),NA())</f>
        <v>#N/A</v>
      </c>
      <c r="U127" t="e">
        <f>_xlfn.IFNA(51-MATCH(Songs!$A127,Data!L$2:L$51,0),NA())</f>
        <v>#N/A</v>
      </c>
      <c r="V127" t="e">
        <f>_xlfn.IFNA(51-MATCH(Songs!$A127,Data!M$2:M$51,0),NA())</f>
        <v>#N/A</v>
      </c>
      <c r="W127" t="e">
        <f>_xlfn.IFNA(51-MATCH(Songs!$A127,Data!N$2:N$51,0),NA())</f>
        <v>#N/A</v>
      </c>
      <c r="X127" t="e">
        <f>_xlfn.IFNA(51-MATCH(Songs!$A127,Data!O$2:O$51,0),NA())</f>
        <v>#N/A</v>
      </c>
      <c r="Y127" t="e">
        <f>_xlfn.IFNA(51-MATCH(Songs!$A127,Data!P$2:P$51,0),NA())</f>
        <v>#N/A</v>
      </c>
      <c r="Z127" t="e">
        <f>_xlfn.IFNA(51-MATCH(Songs!$A127,Data!Q$2:Q$51,0),NA())</f>
        <v>#N/A</v>
      </c>
      <c r="AA127" t="e">
        <f>_xlfn.IFNA(51-MATCH(Songs!$A127,Data!R$2:R$51,0),NA())</f>
        <v>#N/A</v>
      </c>
      <c r="AB127" t="e">
        <f>_xlfn.IFNA(51-MATCH(Songs!$A127,Data!S$2:S$51,0),NA())</f>
        <v>#N/A</v>
      </c>
      <c r="AC127" t="e">
        <f>_xlfn.IFNA(51-MATCH(Songs!$A127,Data!T$2:T$51,0),NA())</f>
        <v>#N/A</v>
      </c>
      <c r="AD127" t="e">
        <f>_xlfn.IFNA(51-MATCH(Songs!$A127,Data!U$2:U$51,0),NA())</f>
        <v>#N/A</v>
      </c>
    </row>
    <row r="128" spans="1:30" ht="15.75" customHeight="1" x14ac:dyDescent="0.25">
      <c r="K128" t="e">
        <f>_xlfn.IFNA(51-MATCH(Songs!$A128,Data!B$2:B$51,0),NA())</f>
        <v>#N/A</v>
      </c>
      <c r="L128" t="e">
        <f>_xlfn.IFNA(51-MATCH(Songs!$A128,Data!C$2:C$51,0),NA())</f>
        <v>#N/A</v>
      </c>
      <c r="M128" t="e">
        <f>_xlfn.IFNA(51-MATCH(Songs!$A128,Data!D$2:D$51,0),NA())</f>
        <v>#N/A</v>
      </c>
      <c r="N128" t="e">
        <f>_xlfn.IFNA(51-MATCH(Songs!$A128,Data!E$2:E$51,0),NA())</f>
        <v>#N/A</v>
      </c>
      <c r="O128" t="e">
        <f>_xlfn.IFNA(51-MATCH(Songs!$A128,Data!F$2:F$51,0),NA())</f>
        <v>#N/A</v>
      </c>
      <c r="P128" t="e">
        <f>_xlfn.IFNA(51-MATCH(Songs!$A128,Data!G$2:G$51,0),NA())</f>
        <v>#N/A</v>
      </c>
      <c r="Q128" t="e">
        <f>_xlfn.IFNA(51-MATCH(Songs!$A128,Data!H$2:H$51,0),NA())</f>
        <v>#N/A</v>
      </c>
      <c r="R128" t="e">
        <f>_xlfn.IFNA(51-MATCH(Songs!$A128,Data!I$2:I$51,0),NA())</f>
        <v>#N/A</v>
      </c>
      <c r="S128" t="e">
        <f>_xlfn.IFNA(51-MATCH(Songs!$A128,Data!J$2:J$51,0),NA())</f>
        <v>#N/A</v>
      </c>
      <c r="T128" t="e">
        <f>_xlfn.IFNA(51-MATCH(Songs!$A128,Data!K$2:K$51,0),NA())</f>
        <v>#N/A</v>
      </c>
      <c r="U128" t="e">
        <f>_xlfn.IFNA(51-MATCH(Songs!$A128,Data!L$2:L$51,0),NA())</f>
        <v>#N/A</v>
      </c>
      <c r="V128" t="e">
        <f>_xlfn.IFNA(51-MATCH(Songs!$A128,Data!M$2:M$51,0),NA())</f>
        <v>#N/A</v>
      </c>
      <c r="W128" t="e">
        <f>_xlfn.IFNA(51-MATCH(Songs!$A128,Data!N$2:N$51,0),NA())</f>
        <v>#N/A</v>
      </c>
      <c r="X128" t="e">
        <f>_xlfn.IFNA(51-MATCH(Songs!$A128,Data!O$2:O$51,0),NA())</f>
        <v>#N/A</v>
      </c>
      <c r="Y128" t="e">
        <f>_xlfn.IFNA(51-MATCH(Songs!$A128,Data!P$2:P$51,0),NA())</f>
        <v>#N/A</v>
      </c>
      <c r="Z128" t="e">
        <f>_xlfn.IFNA(51-MATCH(Songs!$A128,Data!Q$2:Q$51,0),NA())</f>
        <v>#N/A</v>
      </c>
      <c r="AA128" t="e">
        <f>_xlfn.IFNA(51-MATCH(Songs!$A128,Data!R$2:R$51,0),NA())</f>
        <v>#N/A</v>
      </c>
      <c r="AB128" t="e">
        <f>_xlfn.IFNA(51-MATCH(Songs!$A128,Data!S$2:S$51,0),NA())</f>
        <v>#N/A</v>
      </c>
      <c r="AC128" t="e">
        <f>_xlfn.IFNA(51-MATCH(Songs!$A128,Data!T$2:T$51,0),NA())</f>
        <v>#N/A</v>
      </c>
      <c r="AD128" t="e">
        <f>_xlfn.IFNA(51-MATCH(Songs!$A128,Data!U$2:U$51,0),NA())</f>
        <v>#N/A</v>
      </c>
    </row>
    <row r="129" spans="11:30" ht="15.75" customHeight="1" x14ac:dyDescent="0.25">
      <c r="K129" t="e">
        <f>_xlfn.IFNA(51-MATCH(Songs!$A129,Data!B$2:B$51,0),NA())</f>
        <v>#N/A</v>
      </c>
      <c r="L129" t="e">
        <f>_xlfn.IFNA(51-MATCH(Songs!$A129,Data!C$2:C$51,0),NA())</f>
        <v>#N/A</v>
      </c>
      <c r="M129" t="e">
        <f>_xlfn.IFNA(51-MATCH(Songs!$A129,Data!D$2:D$51,0),NA())</f>
        <v>#N/A</v>
      </c>
      <c r="N129" t="e">
        <f>_xlfn.IFNA(51-MATCH(Songs!$A129,Data!E$2:E$51,0),NA())</f>
        <v>#N/A</v>
      </c>
      <c r="O129" t="e">
        <f>_xlfn.IFNA(51-MATCH(Songs!$A129,Data!F$2:F$51,0),NA())</f>
        <v>#N/A</v>
      </c>
      <c r="P129" t="e">
        <f>_xlfn.IFNA(51-MATCH(Songs!$A129,Data!G$2:G$51,0),NA())</f>
        <v>#N/A</v>
      </c>
      <c r="Q129" t="e">
        <f>_xlfn.IFNA(51-MATCH(Songs!$A129,Data!H$2:H$51,0),NA())</f>
        <v>#N/A</v>
      </c>
      <c r="R129" t="e">
        <f>_xlfn.IFNA(51-MATCH(Songs!$A129,Data!I$2:I$51,0),NA())</f>
        <v>#N/A</v>
      </c>
      <c r="S129" t="e">
        <f>_xlfn.IFNA(51-MATCH(Songs!$A129,Data!J$2:J$51,0),NA())</f>
        <v>#N/A</v>
      </c>
      <c r="T129" t="e">
        <f>_xlfn.IFNA(51-MATCH(Songs!$A129,Data!K$2:K$51,0),NA())</f>
        <v>#N/A</v>
      </c>
      <c r="U129" t="e">
        <f>_xlfn.IFNA(51-MATCH(Songs!$A129,Data!L$2:L$51,0),NA())</f>
        <v>#N/A</v>
      </c>
      <c r="V129" t="e">
        <f>_xlfn.IFNA(51-MATCH(Songs!$A129,Data!M$2:M$51,0),NA())</f>
        <v>#N/A</v>
      </c>
      <c r="W129" t="e">
        <f>_xlfn.IFNA(51-MATCH(Songs!$A129,Data!N$2:N$51,0),NA())</f>
        <v>#N/A</v>
      </c>
      <c r="X129" t="e">
        <f>_xlfn.IFNA(51-MATCH(Songs!$A129,Data!O$2:O$51,0),NA())</f>
        <v>#N/A</v>
      </c>
      <c r="Y129" t="e">
        <f>_xlfn.IFNA(51-MATCH(Songs!$A129,Data!P$2:P$51,0),NA())</f>
        <v>#N/A</v>
      </c>
      <c r="Z129" t="e">
        <f>_xlfn.IFNA(51-MATCH(Songs!$A129,Data!Q$2:Q$51,0),NA())</f>
        <v>#N/A</v>
      </c>
      <c r="AA129" t="e">
        <f>_xlfn.IFNA(51-MATCH(Songs!$A129,Data!R$2:R$51,0),NA())</f>
        <v>#N/A</v>
      </c>
      <c r="AB129" t="e">
        <f>_xlfn.IFNA(51-MATCH(Songs!$A129,Data!S$2:S$51,0),NA())</f>
        <v>#N/A</v>
      </c>
      <c r="AC129" t="e">
        <f>_xlfn.IFNA(51-MATCH(Songs!$A129,Data!T$2:T$51,0),NA())</f>
        <v>#N/A</v>
      </c>
      <c r="AD129" t="e">
        <f>_xlfn.IFNA(51-MATCH(Songs!$A129,Data!U$2:U$51,0),NA())</f>
        <v>#N/A</v>
      </c>
    </row>
    <row r="130" spans="11:30" ht="15.75" customHeight="1" x14ac:dyDescent="0.25">
      <c r="K130" t="e">
        <f>_xlfn.IFNA(51-MATCH(Songs!$A130,Data!B$2:B$51,0),NA())</f>
        <v>#N/A</v>
      </c>
      <c r="L130" t="e">
        <f>_xlfn.IFNA(51-MATCH(Songs!$A130,Data!C$2:C$51,0),NA())</f>
        <v>#N/A</v>
      </c>
      <c r="M130" t="e">
        <f>_xlfn.IFNA(51-MATCH(Songs!$A130,Data!D$2:D$51,0),NA())</f>
        <v>#N/A</v>
      </c>
      <c r="N130" t="e">
        <f>_xlfn.IFNA(51-MATCH(Songs!$A130,Data!E$2:E$51,0),NA())</f>
        <v>#N/A</v>
      </c>
      <c r="O130" t="e">
        <f>_xlfn.IFNA(51-MATCH(Songs!$A130,Data!F$2:F$51,0),NA())</f>
        <v>#N/A</v>
      </c>
      <c r="P130" t="e">
        <f>_xlfn.IFNA(51-MATCH(Songs!$A130,Data!G$2:G$51,0),NA())</f>
        <v>#N/A</v>
      </c>
      <c r="Q130" t="e">
        <f>_xlfn.IFNA(51-MATCH(Songs!$A130,Data!H$2:H$51,0),NA())</f>
        <v>#N/A</v>
      </c>
      <c r="R130" t="e">
        <f>_xlfn.IFNA(51-MATCH(Songs!$A130,Data!I$2:I$51,0),NA())</f>
        <v>#N/A</v>
      </c>
      <c r="S130" t="e">
        <f>_xlfn.IFNA(51-MATCH(Songs!$A130,Data!J$2:J$51,0),NA())</f>
        <v>#N/A</v>
      </c>
      <c r="T130" t="e">
        <f>_xlfn.IFNA(51-MATCH(Songs!$A130,Data!K$2:K$51,0),NA())</f>
        <v>#N/A</v>
      </c>
      <c r="U130" t="e">
        <f>_xlfn.IFNA(51-MATCH(Songs!$A130,Data!L$2:L$51,0),NA())</f>
        <v>#N/A</v>
      </c>
      <c r="V130" t="e">
        <f>_xlfn.IFNA(51-MATCH(Songs!$A130,Data!M$2:M$51,0),NA())</f>
        <v>#N/A</v>
      </c>
      <c r="W130" t="e">
        <f>_xlfn.IFNA(51-MATCH(Songs!$A130,Data!N$2:N$51,0),NA())</f>
        <v>#N/A</v>
      </c>
      <c r="X130" t="e">
        <f>_xlfn.IFNA(51-MATCH(Songs!$A130,Data!O$2:O$51,0),NA())</f>
        <v>#N/A</v>
      </c>
      <c r="Y130" t="e">
        <f>_xlfn.IFNA(51-MATCH(Songs!$A130,Data!P$2:P$51,0),NA())</f>
        <v>#N/A</v>
      </c>
      <c r="Z130" t="e">
        <f>_xlfn.IFNA(51-MATCH(Songs!$A130,Data!Q$2:Q$51,0),NA())</f>
        <v>#N/A</v>
      </c>
      <c r="AA130" t="e">
        <f>_xlfn.IFNA(51-MATCH(Songs!$A130,Data!R$2:R$51,0),NA())</f>
        <v>#N/A</v>
      </c>
      <c r="AB130" t="e">
        <f>_xlfn.IFNA(51-MATCH(Songs!$A130,Data!S$2:S$51,0),NA())</f>
        <v>#N/A</v>
      </c>
      <c r="AC130" t="e">
        <f>_xlfn.IFNA(51-MATCH(Songs!$A130,Data!T$2:T$51,0),NA())</f>
        <v>#N/A</v>
      </c>
      <c r="AD130" t="e">
        <f>_xlfn.IFNA(51-MATCH(Songs!$A130,Data!U$2:U$51,0),NA())</f>
        <v>#N/A</v>
      </c>
    </row>
    <row r="131" spans="11:30" ht="15.75" customHeight="1" x14ac:dyDescent="0.25">
      <c r="K131" t="e">
        <f>_xlfn.IFNA(51-MATCH(Songs!$A131,Data!B$2:B$51,0),NA())</f>
        <v>#N/A</v>
      </c>
      <c r="L131" t="e">
        <f>_xlfn.IFNA(51-MATCH(Songs!$A131,Data!C$2:C$51,0),NA())</f>
        <v>#N/A</v>
      </c>
      <c r="M131" t="e">
        <f>_xlfn.IFNA(51-MATCH(Songs!$A131,Data!D$2:D$51,0),NA())</f>
        <v>#N/A</v>
      </c>
      <c r="N131" t="e">
        <f>_xlfn.IFNA(51-MATCH(Songs!$A131,Data!E$2:E$51,0),NA())</f>
        <v>#N/A</v>
      </c>
      <c r="O131" t="e">
        <f>_xlfn.IFNA(51-MATCH(Songs!$A131,Data!F$2:F$51,0),NA())</f>
        <v>#N/A</v>
      </c>
      <c r="P131" t="e">
        <f>_xlfn.IFNA(51-MATCH(Songs!$A131,Data!G$2:G$51,0),NA())</f>
        <v>#N/A</v>
      </c>
      <c r="Q131" t="e">
        <f>_xlfn.IFNA(51-MATCH(Songs!$A131,Data!H$2:H$51,0),NA())</f>
        <v>#N/A</v>
      </c>
      <c r="R131" t="e">
        <f>_xlfn.IFNA(51-MATCH(Songs!$A131,Data!I$2:I$51,0),NA())</f>
        <v>#N/A</v>
      </c>
      <c r="S131" t="e">
        <f>_xlfn.IFNA(51-MATCH(Songs!$A131,Data!J$2:J$51,0),NA())</f>
        <v>#N/A</v>
      </c>
      <c r="T131" t="e">
        <f>_xlfn.IFNA(51-MATCH(Songs!$A131,Data!K$2:K$51,0),NA())</f>
        <v>#N/A</v>
      </c>
      <c r="U131" t="e">
        <f>_xlfn.IFNA(51-MATCH(Songs!$A131,Data!L$2:L$51,0),NA())</f>
        <v>#N/A</v>
      </c>
      <c r="V131" t="e">
        <f>_xlfn.IFNA(51-MATCH(Songs!$A131,Data!M$2:M$51,0),NA())</f>
        <v>#N/A</v>
      </c>
      <c r="W131" t="e">
        <f>_xlfn.IFNA(51-MATCH(Songs!$A131,Data!N$2:N$51,0),NA())</f>
        <v>#N/A</v>
      </c>
      <c r="X131" t="e">
        <f>_xlfn.IFNA(51-MATCH(Songs!$A131,Data!O$2:O$51,0),NA())</f>
        <v>#N/A</v>
      </c>
      <c r="Y131" t="e">
        <f>_xlfn.IFNA(51-MATCH(Songs!$A131,Data!P$2:P$51,0),NA())</f>
        <v>#N/A</v>
      </c>
      <c r="Z131" t="e">
        <f>_xlfn.IFNA(51-MATCH(Songs!$A131,Data!Q$2:Q$51,0),NA())</f>
        <v>#N/A</v>
      </c>
      <c r="AA131" t="e">
        <f>_xlfn.IFNA(51-MATCH(Songs!$A131,Data!R$2:R$51,0),NA())</f>
        <v>#N/A</v>
      </c>
      <c r="AB131" t="e">
        <f>_xlfn.IFNA(51-MATCH(Songs!$A131,Data!S$2:S$51,0),NA())</f>
        <v>#N/A</v>
      </c>
      <c r="AC131" t="e">
        <f>_xlfn.IFNA(51-MATCH(Songs!$A131,Data!T$2:T$51,0),NA())</f>
        <v>#N/A</v>
      </c>
      <c r="AD131" t="e">
        <f>_xlfn.IFNA(51-MATCH(Songs!$A131,Data!U$2:U$51,0),NA())</f>
        <v>#N/A</v>
      </c>
    </row>
    <row r="132" spans="11:30" ht="15.75" customHeight="1" x14ac:dyDescent="0.25">
      <c r="K132" t="e">
        <f>_xlfn.IFNA(51-MATCH(Songs!$A132,Data!B$2:B$51,0),NA())</f>
        <v>#N/A</v>
      </c>
      <c r="L132" t="e">
        <f>_xlfn.IFNA(51-MATCH(Songs!$A132,Data!C$2:C$51,0),NA())</f>
        <v>#N/A</v>
      </c>
      <c r="M132" t="e">
        <f>_xlfn.IFNA(51-MATCH(Songs!$A132,Data!D$2:D$51,0),NA())</f>
        <v>#N/A</v>
      </c>
      <c r="N132" t="e">
        <f>_xlfn.IFNA(51-MATCH(Songs!$A132,Data!E$2:E$51,0),NA())</f>
        <v>#N/A</v>
      </c>
      <c r="O132" t="e">
        <f>_xlfn.IFNA(51-MATCH(Songs!$A132,Data!F$2:F$51,0),NA())</f>
        <v>#N/A</v>
      </c>
      <c r="P132" t="e">
        <f>_xlfn.IFNA(51-MATCH(Songs!$A132,Data!G$2:G$51,0),NA())</f>
        <v>#N/A</v>
      </c>
      <c r="Q132" t="e">
        <f>_xlfn.IFNA(51-MATCH(Songs!$A132,Data!H$2:H$51,0),NA())</f>
        <v>#N/A</v>
      </c>
      <c r="R132" t="e">
        <f>_xlfn.IFNA(51-MATCH(Songs!$A132,Data!I$2:I$51,0),NA())</f>
        <v>#N/A</v>
      </c>
      <c r="S132" t="e">
        <f>_xlfn.IFNA(51-MATCH(Songs!$A132,Data!J$2:J$51,0),NA())</f>
        <v>#N/A</v>
      </c>
      <c r="T132" t="e">
        <f>_xlfn.IFNA(51-MATCH(Songs!$A132,Data!K$2:K$51,0),NA())</f>
        <v>#N/A</v>
      </c>
      <c r="U132" t="e">
        <f>_xlfn.IFNA(51-MATCH(Songs!$A132,Data!L$2:L$51,0),NA())</f>
        <v>#N/A</v>
      </c>
      <c r="V132" t="e">
        <f>_xlfn.IFNA(51-MATCH(Songs!$A132,Data!M$2:M$51,0),NA())</f>
        <v>#N/A</v>
      </c>
      <c r="W132" t="e">
        <f>_xlfn.IFNA(51-MATCH(Songs!$A132,Data!N$2:N$51,0),NA())</f>
        <v>#N/A</v>
      </c>
      <c r="X132" t="e">
        <f>_xlfn.IFNA(51-MATCH(Songs!$A132,Data!O$2:O$51,0),NA())</f>
        <v>#N/A</v>
      </c>
      <c r="Y132" t="e">
        <f>_xlfn.IFNA(51-MATCH(Songs!$A132,Data!P$2:P$51,0),NA())</f>
        <v>#N/A</v>
      </c>
      <c r="Z132" t="e">
        <f>_xlfn.IFNA(51-MATCH(Songs!$A132,Data!Q$2:Q$51,0),NA())</f>
        <v>#N/A</v>
      </c>
      <c r="AA132" t="e">
        <f>_xlfn.IFNA(51-MATCH(Songs!$A132,Data!R$2:R$51,0),NA())</f>
        <v>#N/A</v>
      </c>
      <c r="AB132" t="e">
        <f>_xlfn.IFNA(51-MATCH(Songs!$A132,Data!S$2:S$51,0),NA())</f>
        <v>#N/A</v>
      </c>
      <c r="AC132" t="e">
        <f>_xlfn.IFNA(51-MATCH(Songs!$A132,Data!T$2:T$51,0),NA())</f>
        <v>#N/A</v>
      </c>
      <c r="AD132" t="e">
        <f>_xlfn.IFNA(51-MATCH(Songs!$A132,Data!U$2:U$51,0),NA())</f>
        <v>#N/A</v>
      </c>
    </row>
    <row r="133" spans="11:30" ht="15.75" customHeight="1" x14ac:dyDescent="0.25">
      <c r="K133" t="e">
        <f>_xlfn.IFNA(51-MATCH(Songs!$A133,Data!B$2:B$51,0),NA())</f>
        <v>#N/A</v>
      </c>
      <c r="L133" t="e">
        <f>_xlfn.IFNA(51-MATCH(Songs!$A133,Data!C$2:C$51,0),NA())</f>
        <v>#N/A</v>
      </c>
      <c r="M133" t="e">
        <f>_xlfn.IFNA(51-MATCH(Songs!$A133,Data!D$2:D$51,0),NA())</f>
        <v>#N/A</v>
      </c>
      <c r="N133" t="e">
        <f>_xlfn.IFNA(51-MATCH(Songs!$A133,Data!E$2:E$51,0),NA())</f>
        <v>#N/A</v>
      </c>
      <c r="O133" t="e">
        <f>_xlfn.IFNA(51-MATCH(Songs!$A133,Data!F$2:F$51,0),NA())</f>
        <v>#N/A</v>
      </c>
      <c r="P133" t="e">
        <f>_xlfn.IFNA(51-MATCH(Songs!$A133,Data!G$2:G$51,0),NA())</f>
        <v>#N/A</v>
      </c>
      <c r="Q133" t="e">
        <f>_xlfn.IFNA(51-MATCH(Songs!$A133,Data!H$2:H$51,0),NA())</f>
        <v>#N/A</v>
      </c>
      <c r="R133" t="e">
        <f>_xlfn.IFNA(51-MATCH(Songs!$A133,Data!I$2:I$51,0),NA())</f>
        <v>#N/A</v>
      </c>
      <c r="S133" t="e">
        <f>_xlfn.IFNA(51-MATCH(Songs!$A133,Data!J$2:J$51,0),NA())</f>
        <v>#N/A</v>
      </c>
      <c r="T133" t="e">
        <f>_xlfn.IFNA(51-MATCH(Songs!$A133,Data!K$2:K$51,0),NA())</f>
        <v>#N/A</v>
      </c>
      <c r="U133" t="e">
        <f>_xlfn.IFNA(51-MATCH(Songs!$A133,Data!L$2:L$51,0),NA())</f>
        <v>#N/A</v>
      </c>
      <c r="V133" t="e">
        <f>_xlfn.IFNA(51-MATCH(Songs!$A133,Data!M$2:M$51,0),NA())</f>
        <v>#N/A</v>
      </c>
      <c r="W133" t="e">
        <f>_xlfn.IFNA(51-MATCH(Songs!$A133,Data!N$2:N$51,0),NA())</f>
        <v>#N/A</v>
      </c>
      <c r="X133" t="e">
        <f>_xlfn.IFNA(51-MATCH(Songs!$A133,Data!O$2:O$51,0),NA())</f>
        <v>#N/A</v>
      </c>
      <c r="Y133" t="e">
        <f>_xlfn.IFNA(51-MATCH(Songs!$A133,Data!P$2:P$51,0),NA())</f>
        <v>#N/A</v>
      </c>
      <c r="Z133" t="e">
        <f>_xlfn.IFNA(51-MATCH(Songs!$A133,Data!Q$2:Q$51,0),NA())</f>
        <v>#N/A</v>
      </c>
      <c r="AA133" t="e">
        <f>_xlfn.IFNA(51-MATCH(Songs!$A133,Data!R$2:R$51,0),NA())</f>
        <v>#N/A</v>
      </c>
      <c r="AB133" t="e">
        <f>_xlfn.IFNA(51-MATCH(Songs!$A133,Data!S$2:S$51,0),NA())</f>
        <v>#N/A</v>
      </c>
      <c r="AC133" t="e">
        <f>_xlfn.IFNA(51-MATCH(Songs!$A133,Data!T$2:T$51,0),NA())</f>
        <v>#N/A</v>
      </c>
      <c r="AD133" t="e">
        <f>_xlfn.IFNA(51-MATCH(Songs!$A133,Data!U$2:U$51,0),NA())</f>
        <v>#N/A</v>
      </c>
    </row>
    <row r="134" spans="11:30" ht="15.75" customHeight="1" x14ac:dyDescent="0.25">
      <c r="K134" t="e">
        <f>_xlfn.IFNA(51-MATCH(Songs!$A134,Data!B$2:B$51,0),NA())</f>
        <v>#N/A</v>
      </c>
      <c r="L134" t="e">
        <f>_xlfn.IFNA(51-MATCH(Songs!$A134,Data!C$2:C$51,0),NA())</f>
        <v>#N/A</v>
      </c>
      <c r="M134" t="e">
        <f>_xlfn.IFNA(51-MATCH(Songs!$A134,Data!D$2:D$51,0),NA())</f>
        <v>#N/A</v>
      </c>
      <c r="N134" t="e">
        <f>_xlfn.IFNA(51-MATCH(Songs!$A134,Data!E$2:E$51,0),NA())</f>
        <v>#N/A</v>
      </c>
      <c r="O134" t="e">
        <f>_xlfn.IFNA(51-MATCH(Songs!$A134,Data!F$2:F$51,0),NA())</f>
        <v>#N/A</v>
      </c>
      <c r="P134" t="e">
        <f>_xlfn.IFNA(51-MATCH(Songs!$A134,Data!G$2:G$51,0),NA())</f>
        <v>#N/A</v>
      </c>
      <c r="Q134" t="e">
        <f>_xlfn.IFNA(51-MATCH(Songs!$A134,Data!H$2:H$51,0),NA())</f>
        <v>#N/A</v>
      </c>
      <c r="R134" t="e">
        <f>_xlfn.IFNA(51-MATCH(Songs!$A134,Data!I$2:I$51,0),NA())</f>
        <v>#N/A</v>
      </c>
      <c r="S134" t="e">
        <f>_xlfn.IFNA(51-MATCH(Songs!$A134,Data!J$2:J$51,0),NA())</f>
        <v>#N/A</v>
      </c>
      <c r="T134" t="e">
        <f>_xlfn.IFNA(51-MATCH(Songs!$A134,Data!K$2:K$51,0),NA())</f>
        <v>#N/A</v>
      </c>
      <c r="U134" t="e">
        <f>_xlfn.IFNA(51-MATCH(Songs!$A134,Data!L$2:L$51,0),NA())</f>
        <v>#N/A</v>
      </c>
      <c r="V134" t="e">
        <f>_xlfn.IFNA(51-MATCH(Songs!$A134,Data!M$2:M$51,0),NA())</f>
        <v>#N/A</v>
      </c>
      <c r="W134" t="e">
        <f>_xlfn.IFNA(51-MATCH(Songs!$A134,Data!N$2:N$51,0),NA())</f>
        <v>#N/A</v>
      </c>
      <c r="X134" t="e">
        <f>_xlfn.IFNA(51-MATCH(Songs!$A134,Data!O$2:O$51,0),NA())</f>
        <v>#N/A</v>
      </c>
      <c r="Y134" t="e">
        <f>_xlfn.IFNA(51-MATCH(Songs!$A134,Data!P$2:P$51,0),NA())</f>
        <v>#N/A</v>
      </c>
      <c r="Z134" t="e">
        <f>_xlfn.IFNA(51-MATCH(Songs!$A134,Data!Q$2:Q$51,0),NA())</f>
        <v>#N/A</v>
      </c>
      <c r="AA134" t="e">
        <f>_xlfn.IFNA(51-MATCH(Songs!$A134,Data!R$2:R$51,0),NA())</f>
        <v>#N/A</v>
      </c>
      <c r="AB134" t="e">
        <f>_xlfn.IFNA(51-MATCH(Songs!$A134,Data!S$2:S$51,0),NA())</f>
        <v>#N/A</v>
      </c>
      <c r="AC134" t="e">
        <f>_xlfn.IFNA(51-MATCH(Songs!$A134,Data!T$2:T$51,0),NA())</f>
        <v>#N/A</v>
      </c>
      <c r="AD134" t="e">
        <f>_xlfn.IFNA(51-MATCH(Songs!$A134,Data!U$2:U$51,0),NA())</f>
        <v>#N/A</v>
      </c>
    </row>
    <row r="135" spans="11:30" ht="15.75" customHeight="1" x14ac:dyDescent="0.25">
      <c r="K135" t="e">
        <f>_xlfn.IFNA(51-MATCH(Songs!$A135,Data!B$2:B$51,0),NA())</f>
        <v>#N/A</v>
      </c>
      <c r="L135" t="e">
        <f>_xlfn.IFNA(51-MATCH(Songs!$A135,Data!C$2:C$51,0),NA())</f>
        <v>#N/A</v>
      </c>
      <c r="M135" t="e">
        <f>_xlfn.IFNA(51-MATCH(Songs!$A135,Data!D$2:D$51,0),NA())</f>
        <v>#N/A</v>
      </c>
      <c r="N135" t="e">
        <f>_xlfn.IFNA(51-MATCH(Songs!$A135,Data!E$2:E$51,0),NA())</f>
        <v>#N/A</v>
      </c>
      <c r="O135" t="e">
        <f>_xlfn.IFNA(51-MATCH(Songs!$A135,Data!F$2:F$51,0),NA())</f>
        <v>#N/A</v>
      </c>
      <c r="P135" t="e">
        <f>_xlfn.IFNA(51-MATCH(Songs!$A135,Data!G$2:G$51,0),NA())</f>
        <v>#N/A</v>
      </c>
      <c r="Q135" t="e">
        <f>_xlfn.IFNA(51-MATCH(Songs!$A135,Data!H$2:H$51,0),NA())</f>
        <v>#N/A</v>
      </c>
      <c r="R135" t="e">
        <f>_xlfn.IFNA(51-MATCH(Songs!$A135,Data!I$2:I$51,0),NA())</f>
        <v>#N/A</v>
      </c>
      <c r="S135" t="e">
        <f>_xlfn.IFNA(51-MATCH(Songs!$A135,Data!J$2:J$51,0),NA())</f>
        <v>#N/A</v>
      </c>
      <c r="T135" t="e">
        <f>_xlfn.IFNA(51-MATCH(Songs!$A135,Data!K$2:K$51,0),NA())</f>
        <v>#N/A</v>
      </c>
      <c r="U135" t="e">
        <f>_xlfn.IFNA(51-MATCH(Songs!$A135,Data!L$2:L$51,0),NA())</f>
        <v>#N/A</v>
      </c>
      <c r="V135" t="e">
        <f>_xlfn.IFNA(51-MATCH(Songs!$A135,Data!M$2:M$51,0),NA())</f>
        <v>#N/A</v>
      </c>
      <c r="W135" t="e">
        <f>_xlfn.IFNA(51-MATCH(Songs!$A135,Data!N$2:N$51,0),NA())</f>
        <v>#N/A</v>
      </c>
      <c r="X135" t="e">
        <f>_xlfn.IFNA(51-MATCH(Songs!$A135,Data!O$2:O$51,0),NA())</f>
        <v>#N/A</v>
      </c>
      <c r="Y135" t="e">
        <f>_xlfn.IFNA(51-MATCH(Songs!$A135,Data!P$2:P$51,0),NA())</f>
        <v>#N/A</v>
      </c>
      <c r="Z135" t="e">
        <f>_xlfn.IFNA(51-MATCH(Songs!$A135,Data!Q$2:Q$51,0),NA())</f>
        <v>#N/A</v>
      </c>
      <c r="AA135" t="e">
        <f>_xlfn.IFNA(51-MATCH(Songs!$A135,Data!R$2:R$51,0),NA())</f>
        <v>#N/A</v>
      </c>
      <c r="AB135" t="e">
        <f>_xlfn.IFNA(51-MATCH(Songs!$A135,Data!S$2:S$51,0),NA())</f>
        <v>#N/A</v>
      </c>
      <c r="AC135" t="e">
        <f>_xlfn.IFNA(51-MATCH(Songs!$A135,Data!T$2:T$51,0),NA())</f>
        <v>#N/A</v>
      </c>
      <c r="AD135" t="e">
        <f>_xlfn.IFNA(51-MATCH(Songs!$A135,Data!U$2:U$51,0),NA())</f>
        <v>#N/A</v>
      </c>
    </row>
    <row r="136" spans="11:30" ht="15.75" customHeight="1" x14ac:dyDescent="0.25">
      <c r="K136" t="e">
        <f>_xlfn.IFNA(51-MATCH(Songs!$A136,Data!B$2:B$51,0),NA())</f>
        <v>#N/A</v>
      </c>
      <c r="L136" t="e">
        <f>_xlfn.IFNA(51-MATCH(Songs!$A136,Data!C$2:C$51,0),NA())</f>
        <v>#N/A</v>
      </c>
      <c r="M136" t="e">
        <f>_xlfn.IFNA(51-MATCH(Songs!$A136,Data!D$2:D$51,0),NA())</f>
        <v>#N/A</v>
      </c>
      <c r="N136" t="e">
        <f>_xlfn.IFNA(51-MATCH(Songs!$A136,Data!E$2:E$51,0),NA())</f>
        <v>#N/A</v>
      </c>
      <c r="O136" t="e">
        <f>_xlfn.IFNA(51-MATCH(Songs!$A136,Data!F$2:F$51,0),NA())</f>
        <v>#N/A</v>
      </c>
      <c r="P136" t="e">
        <f>_xlfn.IFNA(51-MATCH(Songs!$A136,Data!G$2:G$51,0),NA())</f>
        <v>#N/A</v>
      </c>
      <c r="Q136" t="e">
        <f>_xlfn.IFNA(51-MATCH(Songs!$A136,Data!H$2:H$51,0),NA())</f>
        <v>#N/A</v>
      </c>
      <c r="R136" t="e">
        <f>_xlfn.IFNA(51-MATCH(Songs!$A136,Data!I$2:I$51,0),NA())</f>
        <v>#N/A</v>
      </c>
      <c r="S136" t="e">
        <f>_xlfn.IFNA(51-MATCH(Songs!$A136,Data!J$2:J$51,0),NA())</f>
        <v>#N/A</v>
      </c>
      <c r="T136" t="e">
        <f>_xlfn.IFNA(51-MATCH(Songs!$A136,Data!K$2:K$51,0),NA())</f>
        <v>#N/A</v>
      </c>
      <c r="U136" t="e">
        <f>_xlfn.IFNA(51-MATCH(Songs!$A136,Data!L$2:L$51,0),NA())</f>
        <v>#N/A</v>
      </c>
      <c r="V136" t="e">
        <f>_xlfn.IFNA(51-MATCH(Songs!$A136,Data!M$2:M$51,0),NA())</f>
        <v>#N/A</v>
      </c>
      <c r="W136" t="e">
        <f>_xlfn.IFNA(51-MATCH(Songs!$A136,Data!N$2:N$51,0),NA())</f>
        <v>#N/A</v>
      </c>
      <c r="X136" t="e">
        <f>_xlfn.IFNA(51-MATCH(Songs!$A136,Data!O$2:O$51,0),NA())</f>
        <v>#N/A</v>
      </c>
      <c r="Y136" t="e">
        <f>_xlfn.IFNA(51-MATCH(Songs!$A136,Data!P$2:P$51,0),NA())</f>
        <v>#N/A</v>
      </c>
      <c r="Z136" t="e">
        <f>_xlfn.IFNA(51-MATCH(Songs!$A136,Data!Q$2:Q$51,0),NA())</f>
        <v>#N/A</v>
      </c>
      <c r="AA136" t="e">
        <f>_xlfn.IFNA(51-MATCH(Songs!$A136,Data!R$2:R$51,0),NA())</f>
        <v>#N/A</v>
      </c>
      <c r="AB136" t="e">
        <f>_xlfn.IFNA(51-MATCH(Songs!$A136,Data!S$2:S$51,0),NA())</f>
        <v>#N/A</v>
      </c>
      <c r="AC136" t="e">
        <f>_xlfn.IFNA(51-MATCH(Songs!$A136,Data!T$2:T$51,0),NA())</f>
        <v>#N/A</v>
      </c>
      <c r="AD136" t="e">
        <f>_xlfn.IFNA(51-MATCH(Songs!$A136,Data!U$2:U$51,0),NA())</f>
        <v>#N/A</v>
      </c>
    </row>
    <row r="137" spans="11:30" ht="15.75" customHeight="1" x14ac:dyDescent="0.25">
      <c r="K137" t="e">
        <f>_xlfn.IFNA(51-MATCH(Songs!$A137,Data!B$2:B$51,0),NA())</f>
        <v>#N/A</v>
      </c>
      <c r="L137" t="e">
        <f>_xlfn.IFNA(51-MATCH(Songs!$A137,Data!C$2:C$51,0),NA())</f>
        <v>#N/A</v>
      </c>
      <c r="M137" t="e">
        <f>_xlfn.IFNA(51-MATCH(Songs!$A137,Data!D$2:D$51,0),NA())</f>
        <v>#N/A</v>
      </c>
      <c r="N137" t="e">
        <f>_xlfn.IFNA(51-MATCH(Songs!$A137,Data!E$2:E$51,0),NA())</f>
        <v>#N/A</v>
      </c>
      <c r="O137" t="e">
        <f>_xlfn.IFNA(51-MATCH(Songs!$A137,Data!F$2:F$51,0),NA())</f>
        <v>#N/A</v>
      </c>
      <c r="P137" t="e">
        <f>_xlfn.IFNA(51-MATCH(Songs!$A137,Data!G$2:G$51,0),NA())</f>
        <v>#N/A</v>
      </c>
      <c r="Q137" t="e">
        <f>_xlfn.IFNA(51-MATCH(Songs!$A137,Data!H$2:H$51,0),NA())</f>
        <v>#N/A</v>
      </c>
      <c r="R137" t="e">
        <f>_xlfn.IFNA(51-MATCH(Songs!$A137,Data!I$2:I$51,0),NA())</f>
        <v>#N/A</v>
      </c>
      <c r="S137" t="e">
        <f>_xlfn.IFNA(51-MATCH(Songs!$A137,Data!J$2:J$51,0),NA())</f>
        <v>#N/A</v>
      </c>
      <c r="T137" t="e">
        <f>_xlfn.IFNA(51-MATCH(Songs!$A137,Data!K$2:K$51,0),NA())</f>
        <v>#N/A</v>
      </c>
      <c r="U137" t="e">
        <f>_xlfn.IFNA(51-MATCH(Songs!$A137,Data!L$2:L$51,0),NA())</f>
        <v>#N/A</v>
      </c>
      <c r="V137" t="e">
        <f>_xlfn.IFNA(51-MATCH(Songs!$A137,Data!M$2:M$51,0),NA())</f>
        <v>#N/A</v>
      </c>
      <c r="W137" t="e">
        <f>_xlfn.IFNA(51-MATCH(Songs!$A137,Data!N$2:N$51,0),NA())</f>
        <v>#N/A</v>
      </c>
      <c r="X137" t="e">
        <f>_xlfn.IFNA(51-MATCH(Songs!$A137,Data!O$2:O$51,0),NA())</f>
        <v>#N/A</v>
      </c>
      <c r="Y137" t="e">
        <f>_xlfn.IFNA(51-MATCH(Songs!$A137,Data!P$2:P$51,0),NA())</f>
        <v>#N/A</v>
      </c>
      <c r="Z137" t="e">
        <f>_xlfn.IFNA(51-MATCH(Songs!$A137,Data!Q$2:Q$51,0),NA())</f>
        <v>#N/A</v>
      </c>
      <c r="AA137" t="e">
        <f>_xlfn.IFNA(51-MATCH(Songs!$A137,Data!R$2:R$51,0),NA())</f>
        <v>#N/A</v>
      </c>
      <c r="AB137" t="e">
        <f>_xlfn.IFNA(51-MATCH(Songs!$A137,Data!S$2:S$51,0),NA())</f>
        <v>#N/A</v>
      </c>
      <c r="AC137" t="e">
        <f>_xlfn.IFNA(51-MATCH(Songs!$A137,Data!T$2:T$51,0),NA())</f>
        <v>#N/A</v>
      </c>
      <c r="AD137" t="e">
        <f>_xlfn.IFNA(51-MATCH(Songs!$A137,Data!U$2:U$51,0),NA())</f>
        <v>#N/A</v>
      </c>
    </row>
    <row r="138" spans="11:30" ht="15.75" customHeight="1" x14ac:dyDescent="0.25">
      <c r="K138" t="e">
        <f>_xlfn.IFNA(51-MATCH(Songs!$A138,Data!B$2:B$51,0),NA())</f>
        <v>#N/A</v>
      </c>
      <c r="L138" t="e">
        <f>_xlfn.IFNA(51-MATCH(Songs!$A138,Data!C$2:C$51,0),NA())</f>
        <v>#N/A</v>
      </c>
      <c r="M138" t="e">
        <f>_xlfn.IFNA(51-MATCH(Songs!$A138,Data!D$2:D$51,0),NA())</f>
        <v>#N/A</v>
      </c>
      <c r="N138" t="e">
        <f>_xlfn.IFNA(51-MATCH(Songs!$A138,Data!E$2:E$51,0),NA())</f>
        <v>#N/A</v>
      </c>
      <c r="O138" t="e">
        <f>_xlfn.IFNA(51-MATCH(Songs!$A138,Data!F$2:F$51,0),NA())</f>
        <v>#N/A</v>
      </c>
      <c r="P138" t="e">
        <f>_xlfn.IFNA(51-MATCH(Songs!$A138,Data!G$2:G$51,0),NA())</f>
        <v>#N/A</v>
      </c>
      <c r="Q138" t="e">
        <f>_xlfn.IFNA(51-MATCH(Songs!$A138,Data!H$2:H$51,0),NA())</f>
        <v>#N/A</v>
      </c>
      <c r="R138" t="e">
        <f>_xlfn.IFNA(51-MATCH(Songs!$A138,Data!I$2:I$51,0),NA())</f>
        <v>#N/A</v>
      </c>
      <c r="S138" t="e">
        <f>_xlfn.IFNA(51-MATCH(Songs!$A138,Data!J$2:J$51,0),NA())</f>
        <v>#N/A</v>
      </c>
      <c r="T138" t="e">
        <f>_xlfn.IFNA(51-MATCH(Songs!$A138,Data!K$2:K$51,0),NA())</f>
        <v>#N/A</v>
      </c>
      <c r="U138" t="e">
        <f>_xlfn.IFNA(51-MATCH(Songs!$A138,Data!L$2:L$51,0),NA())</f>
        <v>#N/A</v>
      </c>
      <c r="V138" t="e">
        <f>_xlfn.IFNA(51-MATCH(Songs!$A138,Data!M$2:M$51,0),NA())</f>
        <v>#N/A</v>
      </c>
      <c r="W138" t="e">
        <f>_xlfn.IFNA(51-MATCH(Songs!$A138,Data!N$2:N$51,0),NA())</f>
        <v>#N/A</v>
      </c>
      <c r="X138" t="e">
        <f>_xlfn.IFNA(51-MATCH(Songs!$A138,Data!O$2:O$51,0),NA())</f>
        <v>#N/A</v>
      </c>
      <c r="Y138" t="e">
        <f>_xlfn.IFNA(51-MATCH(Songs!$A138,Data!P$2:P$51,0),NA())</f>
        <v>#N/A</v>
      </c>
      <c r="Z138" t="e">
        <f>_xlfn.IFNA(51-MATCH(Songs!$A138,Data!Q$2:Q$51,0),NA())</f>
        <v>#N/A</v>
      </c>
      <c r="AA138" t="e">
        <f>_xlfn.IFNA(51-MATCH(Songs!$A138,Data!R$2:R$51,0),NA())</f>
        <v>#N/A</v>
      </c>
      <c r="AB138" t="e">
        <f>_xlfn.IFNA(51-MATCH(Songs!$A138,Data!S$2:S$51,0),NA())</f>
        <v>#N/A</v>
      </c>
      <c r="AC138" t="e">
        <f>_xlfn.IFNA(51-MATCH(Songs!$A138,Data!T$2:T$51,0),NA())</f>
        <v>#N/A</v>
      </c>
      <c r="AD138" t="e">
        <f>_xlfn.IFNA(51-MATCH(Songs!$A138,Data!U$2:U$51,0),NA())</f>
        <v>#N/A</v>
      </c>
    </row>
    <row r="139" spans="11:30" ht="15.75" customHeight="1" x14ac:dyDescent="0.25">
      <c r="K139" t="e">
        <f>_xlfn.IFNA(51-MATCH(Songs!$A139,Data!B$2:B$51,0),NA())</f>
        <v>#N/A</v>
      </c>
      <c r="L139" t="e">
        <f>_xlfn.IFNA(51-MATCH(Songs!$A139,Data!C$2:C$51,0),NA())</f>
        <v>#N/A</v>
      </c>
      <c r="M139" t="e">
        <f>_xlfn.IFNA(51-MATCH(Songs!$A139,Data!D$2:D$51,0),NA())</f>
        <v>#N/A</v>
      </c>
      <c r="N139" t="e">
        <f>_xlfn.IFNA(51-MATCH(Songs!$A139,Data!E$2:E$51,0),NA())</f>
        <v>#N/A</v>
      </c>
      <c r="O139" t="e">
        <f>_xlfn.IFNA(51-MATCH(Songs!$A139,Data!F$2:F$51,0),NA())</f>
        <v>#N/A</v>
      </c>
      <c r="P139" t="e">
        <f>_xlfn.IFNA(51-MATCH(Songs!$A139,Data!G$2:G$51,0),NA())</f>
        <v>#N/A</v>
      </c>
      <c r="Q139" t="e">
        <f>_xlfn.IFNA(51-MATCH(Songs!$A139,Data!H$2:H$51,0),NA())</f>
        <v>#N/A</v>
      </c>
      <c r="R139" t="e">
        <f>_xlfn.IFNA(51-MATCH(Songs!$A139,Data!I$2:I$51,0),NA())</f>
        <v>#N/A</v>
      </c>
      <c r="S139" t="e">
        <f>_xlfn.IFNA(51-MATCH(Songs!$A139,Data!J$2:J$51,0),NA())</f>
        <v>#N/A</v>
      </c>
      <c r="T139" t="e">
        <f>_xlfn.IFNA(51-MATCH(Songs!$A139,Data!K$2:K$51,0),NA())</f>
        <v>#N/A</v>
      </c>
      <c r="U139" t="e">
        <f>_xlfn.IFNA(51-MATCH(Songs!$A139,Data!L$2:L$51,0),NA())</f>
        <v>#N/A</v>
      </c>
      <c r="V139" t="e">
        <f>_xlfn.IFNA(51-MATCH(Songs!$A139,Data!M$2:M$51,0),NA())</f>
        <v>#N/A</v>
      </c>
      <c r="W139" t="e">
        <f>_xlfn.IFNA(51-MATCH(Songs!$A139,Data!N$2:N$51,0),NA())</f>
        <v>#N/A</v>
      </c>
      <c r="X139" t="e">
        <f>_xlfn.IFNA(51-MATCH(Songs!$A139,Data!O$2:O$51,0),NA())</f>
        <v>#N/A</v>
      </c>
      <c r="Y139" t="e">
        <f>_xlfn.IFNA(51-MATCH(Songs!$A139,Data!P$2:P$51,0),NA())</f>
        <v>#N/A</v>
      </c>
      <c r="Z139" t="e">
        <f>_xlfn.IFNA(51-MATCH(Songs!$A139,Data!Q$2:Q$51,0),NA())</f>
        <v>#N/A</v>
      </c>
      <c r="AA139" t="e">
        <f>_xlfn.IFNA(51-MATCH(Songs!$A139,Data!R$2:R$51,0),NA())</f>
        <v>#N/A</v>
      </c>
      <c r="AB139" t="e">
        <f>_xlfn.IFNA(51-MATCH(Songs!$A139,Data!S$2:S$51,0),NA())</f>
        <v>#N/A</v>
      </c>
      <c r="AC139" t="e">
        <f>_xlfn.IFNA(51-MATCH(Songs!$A139,Data!T$2:T$51,0),NA())</f>
        <v>#N/A</v>
      </c>
      <c r="AD139" t="e">
        <f>_xlfn.IFNA(51-MATCH(Songs!$A139,Data!U$2:U$51,0),NA())</f>
        <v>#N/A</v>
      </c>
    </row>
    <row r="140" spans="11:30" ht="15.75" customHeight="1" x14ac:dyDescent="0.25">
      <c r="K140" t="e">
        <f>_xlfn.IFNA(51-MATCH(Songs!$A140,Data!B$2:B$51,0),NA())</f>
        <v>#N/A</v>
      </c>
      <c r="L140" t="e">
        <f>_xlfn.IFNA(51-MATCH(Songs!$A140,Data!C$2:C$51,0),NA())</f>
        <v>#N/A</v>
      </c>
      <c r="M140" t="e">
        <f>_xlfn.IFNA(51-MATCH(Songs!$A140,Data!D$2:D$51,0),NA())</f>
        <v>#N/A</v>
      </c>
      <c r="N140" t="e">
        <f>_xlfn.IFNA(51-MATCH(Songs!$A140,Data!E$2:E$51,0),NA())</f>
        <v>#N/A</v>
      </c>
      <c r="O140" t="e">
        <f>_xlfn.IFNA(51-MATCH(Songs!$A140,Data!F$2:F$51,0),NA())</f>
        <v>#N/A</v>
      </c>
      <c r="P140" t="e">
        <f>_xlfn.IFNA(51-MATCH(Songs!$A140,Data!G$2:G$51,0),NA())</f>
        <v>#N/A</v>
      </c>
      <c r="Q140" t="e">
        <f>_xlfn.IFNA(51-MATCH(Songs!$A140,Data!H$2:H$51,0),NA())</f>
        <v>#N/A</v>
      </c>
      <c r="R140" t="e">
        <f>_xlfn.IFNA(51-MATCH(Songs!$A140,Data!I$2:I$51,0),NA())</f>
        <v>#N/A</v>
      </c>
      <c r="S140" t="e">
        <f>_xlfn.IFNA(51-MATCH(Songs!$A140,Data!J$2:J$51,0),NA())</f>
        <v>#N/A</v>
      </c>
      <c r="T140" t="e">
        <f>_xlfn.IFNA(51-MATCH(Songs!$A140,Data!K$2:K$51,0),NA())</f>
        <v>#N/A</v>
      </c>
      <c r="U140" t="e">
        <f>_xlfn.IFNA(51-MATCH(Songs!$A140,Data!L$2:L$51,0),NA())</f>
        <v>#N/A</v>
      </c>
      <c r="V140" t="e">
        <f>_xlfn.IFNA(51-MATCH(Songs!$A140,Data!M$2:M$51,0),NA())</f>
        <v>#N/A</v>
      </c>
      <c r="W140" t="e">
        <f>_xlfn.IFNA(51-MATCH(Songs!$A140,Data!N$2:N$51,0),NA())</f>
        <v>#N/A</v>
      </c>
      <c r="X140" t="e">
        <f>_xlfn.IFNA(51-MATCH(Songs!$A140,Data!O$2:O$51,0),NA())</f>
        <v>#N/A</v>
      </c>
      <c r="Y140" t="e">
        <f>_xlfn.IFNA(51-MATCH(Songs!$A140,Data!P$2:P$51,0),NA())</f>
        <v>#N/A</v>
      </c>
      <c r="Z140" t="e">
        <f>_xlfn.IFNA(51-MATCH(Songs!$A140,Data!Q$2:Q$51,0),NA())</f>
        <v>#N/A</v>
      </c>
      <c r="AA140" t="e">
        <f>_xlfn.IFNA(51-MATCH(Songs!$A140,Data!R$2:R$51,0),NA())</f>
        <v>#N/A</v>
      </c>
      <c r="AB140" t="e">
        <f>_xlfn.IFNA(51-MATCH(Songs!$A140,Data!S$2:S$51,0),NA())</f>
        <v>#N/A</v>
      </c>
      <c r="AC140" t="e">
        <f>_xlfn.IFNA(51-MATCH(Songs!$A140,Data!T$2:T$51,0),NA())</f>
        <v>#N/A</v>
      </c>
      <c r="AD140" t="e">
        <f>_xlfn.IFNA(51-MATCH(Songs!$A140,Data!U$2:U$51,0),NA())</f>
        <v>#N/A</v>
      </c>
    </row>
    <row r="141" spans="11:30" ht="15.75" customHeight="1" x14ac:dyDescent="0.25">
      <c r="K141" t="e">
        <f>_xlfn.IFNA(51-MATCH(Songs!$A141,Data!B$2:B$51,0),NA())</f>
        <v>#N/A</v>
      </c>
      <c r="L141" t="e">
        <f>_xlfn.IFNA(51-MATCH(Songs!$A141,Data!C$2:C$51,0),NA())</f>
        <v>#N/A</v>
      </c>
      <c r="M141" t="e">
        <f>_xlfn.IFNA(51-MATCH(Songs!$A141,Data!D$2:D$51,0),NA())</f>
        <v>#N/A</v>
      </c>
      <c r="N141" t="e">
        <f>_xlfn.IFNA(51-MATCH(Songs!$A141,Data!E$2:E$51,0),NA())</f>
        <v>#N/A</v>
      </c>
      <c r="O141" t="e">
        <f>_xlfn.IFNA(51-MATCH(Songs!$A141,Data!F$2:F$51,0),NA())</f>
        <v>#N/A</v>
      </c>
      <c r="P141" t="e">
        <f>_xlfn.IFNA(51-MATCH(Songs!$A141,Data!G$2:G$51,0),NA())</f>
        <v>#N/A</v>
      </c>
      <c r="Q141" t="e">
        <f>_xlfn.IFNA(51-MATCH(Songs!$A141,Data!H$2:H$51,0),NA())</f>
        <v>#N/A</v>
      </c>
      <c r="R141" t="e">
        <f>_xlfn.IFNA(51-MATCH(Songs!$A141,Data!I$2:I$51,0),NA())</f>
        <v>#N/A</v>
      </c>
      <c r="S141" t="e">
        <f>_xlfn.IFNA(51-MATCH(Songs!$A141,Data!J$2:J$51,0),NA())</f>
        <v>#N/A</v>
      </c>
      <c r="T141" t="e">
        <f>_xlfn.IFNA(51-MATCH(Songs!$A141,Data!K$2:K$51,0),NA())</f>
        <v>#N/A</v>
      </c>
      <c r="U141" t="e">
        <f>_xlfn.IFNA(51-MATCH(Songs!$A141,Data!L$2:L$51,0),NA())</f>
        <v>#N/A</v>
      </c>
      <c r="V141" t="e">
        <f>_xlfn.IFNA(51-MATCH(Songs!$A141,Data!M$2:M$51,0),NA())</f>
        <v>#N/A</v>
      </c>
      <c r="W141" t="e">
        <f>_xlfn.IFNA(51-MATCH(Songs!$A141,Data!N$2:N$51,0),NA())</f>
        <v>#N/A</v>
      </c>
      <c r="X141" t="e">
        <f>_xlfn.IFNA(51-MATCH(Songs!$A141,Data!O$2:O$51,0),NA())</f>
        <v>#N/A</v>
      </c>
      <c r="Y141" t="e">
        <f>_xlfn.IFNA(51-MATCH(Songs!$A141,Data!P$2:P$51,0),NA())</f>
        <v>#N/A</v>
      </c>
      <c r="Z141" t="e">
        <f>_xlfn.IFNA(51-MATCH(Songs!$A141,Data!Q$2:Q$51,0),NA())</f>
        <v>#N/A</v>
      </c>
      <c r="AA141" t="e">
        <f>_xlfn.IFNA(51-MATCH(Songs!$A141,Data!R$2:R$51,0),NA())</f>
        <v>#N/A</v>
      </c>
      <c r="AB141" t="e">
        <f>_xlfn.IFNA(51-MATCH(Songs!$A141,Data!S$2:S$51,0),NA())</f>
        <v>#N/A</v>
      </c>
      <c r="AC141" t="e">
        <f>_xlfn.IFNA(51-MATCH(Songs!$A141,Data!T$2:T$51,0),NA())</f>
        <v>#N/A</v>
      </c>
      <c r="AD141" t="e">
        <f>_xlfn.IFNA(51-MATCH(Songs!$A141,Data!U$2:U$51,0),NA())</f>
        <v>#N/A</v>
      </c>
    </row>
    <row r="142" spans="11:30" ht="15.75" customHeight="1" x14ac:dyDescent="0.25">
      <c r="K142" t="e">
        <f>_xlfn.IFNA(51-MATCH(Songs!$A142,Data!B$2:B$51,0),NA())</f>
        <v>#N/A</v>
      </c>
      <c r="L142" t="e">
        <f>_xlfn.IFNA(51-MATCH(Songs!$A142,Data!C$2:C$51,0),NA())</f>
        <v>#N/A</v>
      </c>
      <c r="M142" t="e">
        <f>_xlfn.IFNA(51-MATCH(Songs!$A142,Data!D$2:D$51,0),NA())</f>
        <v>#N/A</v>
      </c>
      <c r="N142" t="e">
        <f>_xlfn.IFNA(51-MATCH(Songs!$A142,Data!E$2:E$51,0),NA())</f>
        <v>#N/A</v>
      </c>
      <c r="O142" t="e">
        <f>_xlfn.IFNA(51-MATCH(Songs!$A142,Data!F$2:F$51,0),NA())</f>
        <v>#N/A</v>
      </c>
      <c r="P142" t="e">
        <f>_xlfn.IFNA(51-MATCH(Songs!$A142,Data!G$2:G$51,0),NA())</f>
        <v>#N/A</v>
      </c>
      <c r="Q142" t="e">
        <f>_xlfn.IFNA(51-MATCH(Songs!$A142,Data!H$2:H$51,0),NA())</f>
        <v>#N/A</v>
      </c>
      <c r="R142" t="e">
        <f>_xlfn.IFNA(51-MATCH(Songs!$A142,Data!I$2:I$51,0),NA())</f>
        <v>#N/A</v>
      </c>
      <c r="S142" t="e">
        <f>_xlfn.IFNA(51-MATCH(Songs!$A142,Data!J$2:J$51,0),NA())</f>
        <v>#N/A</v>
      </c>
      <c r="T142" t="e">
        <f>_xlfn.IFNA(51-MATCH(Songs!$A142,Data!K$2:K$51,0),NA())</f>
        <v>#N/A</v>
      </c>
      <c r="U142" t="e">
        <f>_xlfn.IFNA(51-MATCH(Songs!$A142,Data!L$2:L$51,0),NA())</f>
        <v>#N/A</v>
      </c>
      <c r="V142" t="e">
        <f>_xlfn.IFNA(51-MATCH(Songs!$A142,Data!M$2:M$51,0),NA())</f>
        <v>#N/A</v>
      </c>
      <c r="W142" t="e">
        <f>_xlfn.IFNA(51-MATCH(Songs!$A142,Data!N$2:N$51,0),NA())</f>
        <v>#N/A</v>
      </c>
      <c r="X142" t="e">
        <f>_xlfn.IFNA(51-MATCH(Songs!$A142,Data!O$2:O$51,0),NA())</f>
        <v>#N/A</v>
      </c>
      <c r="Y142" t="e">
        <f>_xlfn.IFNA(51-MATCH(Songs!$A142,Data!P$2:P$51,0),NA())</f>
        <v>#N/A</v>
      </c>
      <c r="Z142" t="e">
        <f>_xlfn.IFNA(51-MATCH(Songs!$A142,Data!Q$2:Q$51,0),NA())</f>
        <v>#N/A</v>
      </c>
      <c r="AA142" t="e">
        <f>_xlfn.IFNA(51-MATCH(Songs!$A142,Data!R$2:R$51,0),NA())</f>
        <v>#N/A</v>
      </c>
      <c r="AB142" t="e">
        <f>_xlfn.IFNA(51-MATCH(Songs!$A142,Data!S$2:S$51,0),NA())</f>
        <v>#N/A</v>
      </c>
      <c r="AC142" t="e">
        <f>_xlfn.IFNA(51-MATCH(Songs!$A142,Data!T$2:T$51,0),NA())</f>
        <v>#N/A</v>
      </c>
      <c r="AD142" t="e">
        <f>_xlfn.IFNA(51-MATCH(Songs!$A142,Data!U$2:U$51,0),NA())</f>
        <v>#N/A</v>
      </c>
    </row>
    <row r="143" spans="11:30" ht="15.75" customHeight="1" x14ac:dyDescent="0.25">
      <c r="K143" t="e">
        <f>_xlfn.IFNA(51-MATCH(Songs!$A143,Data!B$2:B$51,0),NA())</f>
        <v>#N/A</v>
      </c>
      <c r="L143" t="e">
        <f>_xlfn.IFNA(51-MATCH(Songs!$A143,Data!C$2:C$51,0),NA())</f>
        <v>#N/A</v>
      </c>
      <c r="M143" t="e">
        <f>_xlfn.IFNA(51-MATCH(Songs!$A143,Data!D$2:D$51,0),NA())</f>
        <v>#N/A</v>
      </c>
      <c r="N143" t="e">
        <f>_xlfn.IFNA(51-MATCH(Songs!$A143,Data!E$2:E$51,0),NA())</f>
        <v>#N/A</v>
      </c>
      <c r="O143" t="e">
        <f>_xlfn.IFNA(51-MATCH(Songs!$A143,Data!F$2:F$51,0),NA())</f>
        <v>#N/A</v>
      </c>
      <c r="P143" t="e">
        <f>_xlfn.IFNA(51-MATCH(Songs!$A143,Data!G$2:G$51,0),NA())</f>
        <v>#N/A</v>
      </c>
      <c r="Q143" t="e">
        <f>_xlfn.IFNA(51-MATCH(Songs!$A143,Data!H$2:H$51,0),NA())</f>
        <v>#N/A</v>
      </c>
      <c r="R143" t="e">
        <f>_xlfn.IFNA(51-MATCH(Songs!$A143,Data!I$2:I$51,0),NA())</f>
        <v>#N/A</v>
      </c>
      <c r="S143" t="e">
        <f>_xlfn.IFNA(51-MATCH(Songs!$A143,Data!J$2:J$51,0),NA())</f>
        <v>#N/A</v>
      </c>
      <c r="T143" t="e">
        <f>_xlfn.IFNA(51-MATCH(Songs!$A143,Data!K$2:K$51,0),NA())</f>
        <v>#N/A</v>
      </c>
      <c r="U143" t="e">
        <f>_xlfn.IFNA(51-MATCH(Songs!$A143,Data!L$2:L$51,0),NA())</f>
        <v>#N/A</v>
      </c>
      <c r="V143" t="e">
        <f>_xlfn.IFNA(51-MATCH(Songs!$A143,Data!M$2:M$51,0),NA())</f>
        <v>#N/A</v>
      </c>
      <c r="W143" t="e">
        <f>_xlfn.IFNA(51-MATCH(Songs!$A143,Data!N$2:N$51,0),NA())</f>
        <v>#N/A</v>
      </c>
      <c r="X143" t="e">
        <f>_xlfn.IFNA(51-MATCH(Songs!$A143,Data!O$2:O$51,0),NA())</f>
        <v>#N/A</v>
      </c>
      <c r="Y143" t="e">
        <f>_xlfn.IFNA(51-MATCH(Songs!$A143,Data!P$2:P$51,0),NA())</f>
        <v>#N/A</v>
      </c>
      <c r="Z143" t="e">
        <f>_xlfn.IFNA(51-MATCH(Songs!$A143,Data!Q$2:Q$51,0),NA())</f>
        <v>#N/A</v>
      </c>
      <c r="AA143" t="e">
        <f>_xlfn.IFNA(51-MATCH(Songs!$A143,Data!R$2:R$51,0),NA())</f>
        <v>#N/A</v>
      </c>
      <c r="AB143" t="e">
        <f>_xlfn.IFNA(51-MATCH(Songs!$A143,Data!S$2:S$51,0),NA())</f>
        <v>#N/A</v>
      </c>
      <c r="AC143" t="e">
        <f>_xlfn.IFNA(51-MATCH(Songs!$A143,Data!T$2:T$51,0),NA())</f>
        <v>#N/A</v>
      </c>
      <c r="AD143" t="e">
        <f>_xlfn.IFNA(51-MATCH(Songs!$A143,Data!U$2:U$51,0),NA())</f>
        <v>#N/A</v>
      </c>
    </row>
    <row r="144" spans="11:30" ht="15.75" customHeight="1" x14ac:dyDescent="0.25">
      <c r="K144" t="e">
        <f>_xlfn.IFNA(51-MATCH(Songs!$A144,Data!B$2:B$51,0),NA())</f>
        <v>#N/A</v>
      </c>
      <c r="L144" t="e">
        <f>_xlfn.IFNA(51-MATCH(Songs!$A144,Data!C$2:C$51,0),NA())</f>
        <v>#N/A</v>
      </c>
      <c r="M144" t="e">
        <f>_xlfn.IFNA(51-MATCH(Songs!$A144,Data!D$2:D$51,0),NA())</f>
        <v>#N/A</v>
      </c>
      <c r="N144" t="e">
        <f>_xlfn.IFNA(51-MATCH(Songs!$A144,Data!E$2:E$51,0),NA())</f>
        <v>#N/A</v>
      </c>
      <c r="O144" t="e">
        <f>_xlfn.IFNA(51-MATCH(Songs!$A144,Data!F$2:F$51,0),NA())</f>
        <v>#N/A</v>
      </c>
      <c r="P144" t="e">
        <f>_xlfn.IFNA(51-MATCH(Songs!$A144,Data!G$2:G$51,0),NA())</f>
        <v>#N/A</v>
      </c>
      <c r="Q144" t="e">
        <f>_xlfn.IFNA(51-MATCH(Songs!$A144,Data!H$2:H$51,0),NA())</f>
        <v>#N/A</v>
      </c>
      <c r="R144" t="e">
        <f>_xlfn.IFNA(51-MATCH(Songs!$A144,Data!I$2:I$51,0),NA())</f>
        <v>#N/A</v>
      </c>
      <c r="S144" t="e">
        <f>_xlfn.IFNA(51-MATCH(Songs!$A144,Data!J$2:J$51,0),NA())</f>
        <v>#N/A</v>
      </c>
      <c r="T144" t="e">
        <f>_xlfn.IFNA(51-MATCH(Songs!$A144,Data!K$2:K$51,0),NA())</f>
        <v>#N/A</v>
      </c>
      <c r="U144" t="e">
        <f>_xlfn.IFNA(51-MATCH(Songs!$A144,Data!L$2:L$51,0),NA())</f>
        <v>#N/A</v>
      </c>
      <c r="V144" t="e">
        <f>_xlfn.IFNA(51-MATCH(Songs!$A144,Data!M$2:M$51,0),NA())</f>
        <v>#N/A</v>
      </c>
      <c r="W144" t="e">
        <f>_xlfn.IFNA(51-MATCH(Songs!$A144,Data!N$2:N$51,0),NA())</f>
        <v>#N/A</v>
      </c>
      <c r="X144" t="e">
        <f>_xlfn.IFNA(51-MATCH(Songs!$A144,Data!O$2:O$51,0),NA())</f>
        <v>#N/A</v>
      </c>
      <c r="Y144" t="e">
        <f>_xlfn.IFNA(51-MATCH(Songs!$A144,Data!P$2:P$51,0),NA())</f>
        <v>#N/A</v>
      </c>
      <c r="Z144" t="e">
        <f>_xlfn.IFNA(51-MATCH(Songs!$A144,Data!Q$2:Q$51,0),NA())</f>
        <v>#N/A</v>
      </c>
      <c r="AA144" t="e">
        <f>_xlfn.IFNA(51-MATCH(Songs!$A144,Data!R$2:R$51,0),NA())</f>
        <v>#N/A</v>
      </c>
      <c r="AB144" t="e">
        <f>_xlfn.IFNA(51-MATCH(Songs!$A144,Data!S$2:S$51,0),NA())</f>
        <v>#N/A</v>
      </c>
      <c r="AC144" t="e">
        <f>_xlfn.IFNA(51-MATCH(Songs!$A144,Data!T$2:T$51,0),NA())</f>
        <v>#N/A</v>
      </c>
      <c r="AD144" t="e">
        <f>_xlfn.IFNA(51-MATCH(Songs!$A144,Data!U$2:U$51,0),NA())</f>
        <v>#N/A</v>
      </c>
    </row>
    <row r="145" spans="11:30" ht="15.75" customHeight="1" x14ac:dyDescent="0.25">
      <c r="K145" t="e">
        <f>_xlfn.IFNA(51-MATCH(Songs!$A145,Data!B$2:B$51,0),NA())</f>
        <v>#N/A</v>
      </c>
      <c r="L145" t="e">
        <f>_xlfn.IFNA(51-MATCH(Songs!$A145,Data!C$2:C$51,0),NA())</f>
        <v>#N/A</v>
      </c>
      <c r="M145" t="e">
        <f>_xlfn.IFNA(51-MATCH(Songs!$A145,Data!D$2:D$51,0),NA())</f>
        <v>#N/A</v>
      </c>
      <c r="N145" t="e">
        <f>_xlfn.IFNA(51-MATCH(Songs!$A145,Data!E$2:E$51,0),NA())</f>
        <v>#N/A</v>
      </c>
      <c r="O145" t="e">
        <f>_xlfn.IFNA(51-MATCH(Songs!$A145,Data!F$2:F$51,0),NA())</f>
        <v>#N/A</v>
      </c>
      <c r="P145" t="e">
        <f>_xlfn.IFNA(51-MATCH(Songs!$A145,Data!G$2:G$51,0),NA())</f>
        <v>#N/A</v>
      </c>
      <c r="Q145" t="e">
        <f>_xlfn.IFNA(51-MATCH(Songs!$A145,Data!H$2:H$51,0),NA())</f>
        <v>#N/A</v>
      </c>
      <c r="R145" t="e">
        <f>_xlfn.IFNA(51-MATCH(Songs!$A145,Data!I$2:I$51,0),NA())</f>
        <v>#N/A</v>
      </c>
      <c r="S145" t="e">
        <f>_xlfn.IFNA(51-MATCH(Songs!$A145,Data!J$2:J$51,0),NA())</f>
        <v>#N/A</v>
      </c>
      <c r="T145" t="e">
        <f>_xlfn.IFNA(51-MATCH(Songs!$A145,Data!K$2:K$51,0),NA())</f>
        <v>#N/A</v>
      </c>
      <c r="U145" t="e">
        <f>_xlfn.IFNA(51-MATCH(Songs!$A145,Data!L$2:L$51,0),NA())</f>
        <v>#N/A</v>
      </c>
      <c r="V145" t="e">
        <f>_xlfn.IFNA(51-MATCH(Songs!$A145,Data!M$2:M$51,0),NA())</f>
        <v>#N/A</v>
      </c>
      <c r="W145" t="e">
        <f>_xlfn.IFNA(51-MATCH(Songs!$A145,Data!N$2:N$51,0),NA())</f>
        <v>#N/A</v>
      </c>
      <c r="X145" t="e">
        <f>_xlfn.IFNA(51-MATCH(Songs!$A145,Data!O$2:O$51,0),NA())</f>
        <v>#N/A</v>
      </c>
      <c r="Y145" t="e">
        <f>_xlfn.IFNA(51-MATCH(Songs!$A145,Data!P$2:P$51,0),NA())</f>
        <v>#N/A</v>
      </c>
      <c r="Z145" t="e">
        <f>_xlfn.IFNA(51-MATCH(Songs!$A145,Data!Q$2:Q$51,0),NA())</f>
        <v>#N/A</v>
      </c>
      <c r="AA145" t="e">
        <f>_xlfn.IFNA(51-MATCH(Songs!$A145,Data!R$2:R$51,0),NA())</f>
        <v>#N/A</v>
      </c>
      <c r="AB145" t="e">
        <f>_xlfn.IFNA(51-MATCH(Songs!$A145,Data!S$2:S$51,0),NA())</f>
        <v>#N/A</v>
      </c>
      <c r="AC145" t="e">
        <f>_xlfn.IFNA(51-MATCH(Songs!$A145,Data!T$2:T$51,0),NA())</f>
        <v>#N/A</v>
      </c>
      <c r="AD145" t="e">
        <f>_xlfn.IFNA(51-MATCH(Songs!$A145,Data!U$2:U$51,0),NA())</f>
        <v>#N/A</v>
      </c>
    </row>
  </sheetData>
  <conditionalFormatting sqref="G1:G1048576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11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xr2:uid="{5345E2A3-5685-4D7D-B464-4DAF81A1F05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Songs!L110:AC110</xm:f>
              <xm:sqref>I110</xm:sqref>
            </x14:sparkline>
            <x14:sparkline>
              <xm:f>Songs!L111:AC111</xm:f>
              <xm:sqref>I111</xm:sqref>
            </x14:sparkline>
            <x14:sparkline>
              <xm:f>Songs!L112:AC112</xm:f>
              <xm:sqref>I112</xm:sqref>
            </x14:sparkline>
            <x14:sparkline>
              <xm:f>Songs!L113:AC113</xm:f>
              <xm:sqref>I113</xm:sqref>
            </x14:sparkline>
            <x14:sparkline>
              <xm:f>Songs!L114:AC114</xm:f>
              <xm:sqref>I114</xm:sqref>
            </x14:sparkline>
            <x14:sparkline>
              <xm:f>Songs!L115:AC115</xm:f>
              <xm:sqref>I115</xm:sqref>
            </x14:sparkline>
            <x14:sparkline>
              <xm:f>Songs!L116:AC116</xm:f>
              <xm:sqref>I116</xm:sqref>
            </x14:sparkline>
            <x14:sparkline>
              <xm:f>Songs!L117:AC117</xm:f>
              <xm:sqref>I117</xm:sqref>
            </x14:sparkline>
          </x14:sparklines>
        </x14:sparklineGroup>
        <x14:sparklineGroup manualMax="0" manualMin="0" displayEmptyCellsAs="gap" high="1" xr2:uid="{769D975E-9DC6-41B1-B14F-0FB985C3333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Songs!L105:AC105</xm:f>
              <xm:sqref>I105</xm:sqref>
            </x14:sparkline>
            <x14:sparkline>
              <xm:f>Songs!L106:AC106</xm:f>
              <xm:sqref>I106</xm:sqref>
            </x14:sparkline>
            <x14:sparkline>
              <xm:f>Songs!L107:AC107</xm:f>
              <xm:sqref>I107</xm:sqref>
            </x14:sparkline>
            <x14:sparkline>
              <xm:f>Songs!L108:AC108</xm:f>
              <xm:sqref>I108</xm:sqref>
            </x14:sparkline>
            <x14:sparkline>
              <xm:f>Songs!L109:AC109</xm:f>
              <xm:sqref>I109</xm:sqref>
            </x14:sparkline>
          </x14:sparklines>
        </x14:sparklineGroup>
        <x14:sparklineGroup manualMax="0" manualMin="0" displayEmptyCellsAs="gap" high="1" xr2:uid="{47198A74-1993-4B93-94A2-AA29D361BA0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Songs!L80:AC80</xm:f>
              <xm:sqref>I80</xm:sqref>
            </x14:sparkline>
            <x14:sparkline>
              <xm:f>Songs!L81:AC81</xm:f>
              <xm:sqref>I81</xm:sqref>
            </x14:sparkline>
            <x14:sparkline>
              <xm:f>Songs!L82:AC82</xm:f>
              <xm:sqref>I82</xm:sqref>
            </x14:sparkline>
            <x14:sparkline>
              <xm:f>Songs!L83:AC83</xm:f>
              <xm:sqref>I83</xm:sqref>
            </x14:sparkline>
            <x14:sparkline>
              <xm:f>Songs!L84:AC84</xm:f>
              <xm:sqref>I84</xm:sqref>
            </x14:sparkline>
            <x14:sparkline>
              <xm:f>Songs!L85:AC85</xm:f>
              <xm:sqref>I85</xm:sqref>
            </x14:sparkline>
            <x14:sparkline>
              <xm:f>Songs!L86:AC86</xm:f>
              <xm:sqref>I86</xm:sqref>
            </x14:sparkline>
            <x14:sparkline>
              <xm:f>Songs!L87:AC87</xm:f>
              <xm:sqref>I87</xm:sqref>
            </x14:sparkline>
            <x14:sparkline>
              <xm:f>Songs!L88:AC88</xm:f>
              <xm:sqref>I88</xm:sqref>
            </x14:sparkline>
            <x14:sparkline>
              <xm:f>Songs!L89:AC89</xm:f>
              <xm:sqref>I89</xm:sqref>
            </x14:sparkline>
            <x14:sparkline>
              <xm:f>Songs!L90:AC90</xm:f>
              <xm:sqref>I90</xm:sqref>
            </x14:sparkline>
            <x14:sparkline>
              <xm:f>Songs!L91:AC91</xm:f>
              <xm:sqref>I91</xm:sqref>
            </x14:sparkline>
            <x14:sparkline>
              <xm:f>Songs!L92:AC92</xm:f>
              <xm:sqref>I92</xm:sqref>
            </x14:sparkline>
            <x14:sparkline>
              <xm:f>Songs!L93:AC93</xm:f>
              <xm:sqref>I93</xm:sqref>
            </x14:sparkline>
            <x14:sparkline>
              <xm:f>Songs!L94:AC94</xm:f>
              <xm:sqref>I94</xm:sqref>
            </x14:sparkline>
            <x14:sparkline>
              <xm:f>Songs!L95:AC95</xm:f>
              <xm:sqref>I95</xm:sqref>
            </x14:sparkline>
            <x14:sparkline>
              <xm:f>Songs!L96:AC96</xm:f>
              <xm:sqref>I96</xm:sqref>
            </x14:sparkline>
            <x14:sparkline>
              <xm:f>Songs!L97:AC97</xm:f>
              <xm:sqref>I97</xm:sqref>
            </x14:sparkline>
            <x14:sparkline>
              <xm:f>Songs!L98:AC98</xm:f>
              <xm:sqref>I98</xm:sqref>
            </x14:sparkline>
            <x14:sparkline>
              <xm:f>Songs!L99:AC99</xm:f>
              <xm:sqref>I99</xm:sqref>
            </x14:sparkline>
            <x14:sparkline>
              <xm:f>Songs!L100:AC100</xm:f>
              <xm:sqref>I100</xm:sqref>
            </x14:sparkline>
            <x14:sparkline>
              <xm:f>Songs!L101:AC101</xm:f>
              <xm:sqref>I101</xm:sqref>
            </x14:sparkline>
            <x14:sparkline>
              <xm:f>Songs!L102:AC102</xm:f>
              <xm:sqref>I102</xm:sqref>
            </x14:sparkline>
            <x14:sparkline>
              <xm:f>Songs!L103:AC103</xm:f>
              <xm:sqref>I103</xm:sqref>
            </x14:sparkline>
            <x14:sparkline>
              <xm:f>Songs!L104:AC104</xm:f>
              <xm:sqref>I104</xm:sqref>
            </x14:sparkline>
          </x14:sparklines>
        </x14:sparklineGroup>
        <x14:sparklineGroup manualMax="0" manualMin="0" displayEmptyCellsAs="gap" high="1" xr2:uid="{576B94D8-2929-4DDA-8F1E-09CEE8FA695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Songs!K2:AC2</xm:f>
              <xm:sqref>I2</xm:sqref>
            </x14:sparkline>
            <x14:sparkline>
              <xm:f>Songs!K3:AC3</xm:f>
              <xm:sqref>I3</xm:sqref>
            </x14:sparkline>
            <x14:sparkline>
              <xm:f>Songs!K4:AC4</xm:f>
              <xm:sqref>I4</xm:sqref>
            </x14:sparkline>
            <x14:sparkline>
              <xm:f>Songs!K5:AC5</xm:f>
              <xm:sqref>I5</xm:sqref>
            </x14:sparkline>
            <x14:sparkline>
              <xm:f>Songs!K6:AC6</xm:f>
              <xm:sqref>I6</xm:sqref>
            </x14:sparkline>
            <x14:sparkline>
              <xm:f>Songs!K7:AC7</xm:f>
              <xm:sqref>I7</xm:sqref>
            </x14:sparkline>
            <x14:sparkline>
              <xm:f>Songs!K8:AC8</xm:f>
              <xm:sqref>I8</xm:sqref>
            </x14:sparkline>
            <x14:sparkline>
              <xm:f>Songs!K9:AC9</xm:f>
              <xm:sqref>I9</xm:sqref>
            </x14:sparkline>
            <x14:sparkline>
              <xm:f>Songs!K10:AC10</xm:f>
              <xm:sqref>I10</xm:sqref>
            </x14:sparkline>
            <x14:sparkline>
              <xm:f>Songs!K11:AC11</xm:f>
              <xm:sqref>I11</xm:sqref>
            </x14:sparkline>
            <x14:sparkline>
              <xm:f>Songs!K12:AC12</xm:f>
              <xm:sqref>I12</xm:sqref>
            </x14:sparkline>
            <x14:sparkline>
              <xm:f>Songs!K13:AC13</xm:f>
              <xm:sqref>I13</xm:sqref>
            </x14:sparkline>
            <x14:sparkline>
              <xm:f>Songs!K14:AC14</xm:f>
              <xm:sqref>I14</xm:sqref>
            </x14:sparkline>
            <x14:sparkline>
              <xm:f>Songs!K15:AC15</xm:f>
              <xm:sqref>I15</xm:sqref>
            </x14:sparkline>
            <x14:sparkline>
              <xm:f>Songs!K16:AC16</xm:f>
              <xm:sqref>I16</xm:sqref>
            </x14:sparkline>
            <x14:sparkline>
              <xm:f>Songs!K17:AC17</xm:f>
              <xm:sqref>I17</xm:sqref>
            </x14:sparkline>
            <x14:sparkline>
              <xm:f>Songs!K18:AC18</xm:f>
              <xm:sqref>I18</xm:sqref>
            </x14:sparkline>
            <x14:sparkline>
              <xm:f>Songs!K19:AC19</xm:f>
              <xm:sqref>I19</xm:sqref>
            </x14:sparkline>
            <x14:sparkline>
              <xm:f>Songs!K20:AC20</xm:f>
              <xm:sqref>I20</xm:sqref>
            </x14:sparkline>
            <x14:sparkline>
              <xm:f>Songs!K21:AC21</xm:f>
              <xm:sqref>I21</xm:sqref>
            </x14:sparkline>
            <x14:sparkline>
              <xm:f>Songs!K22:AC22</xm:f>
              <xm:sqref>I22</xm:sqref>
            </x14:sparkline>
            <x14:sparkline>
              <xm:f>Songs!K23:AC23</xm:f>
              <xm:sqref>I23</xm:sqref>
            </x14:sparkline>
            <x14:sparkline>
              <xm:f>Songs!K24:AC24</xm:f>
              <xm:sqref>I24</xm:sqref>
            </x14:sparkline>
            <x14:sparkline>
              <xm:f>Songs!K25:AC25</xm:f>
              <xm:sqref>I25</xm:sqref>
            </x14:sparkline>
            <x14:sparkline>
              <xm:f>Songs!K26:AC26</xm:f>
              <xm:sqref>I26</xm:sqref>
            </x14:sparkline>
            <x14:sparkline>
              <xm:f>Songs!K27:AC27</xm:f>
              <xm:sqref>I27</xm:sqref>
            </x14:sparkline>
            <x14:sparkline>
              <xm:f>Songs!K28:AC28</xm:f>
              <xm:sqref>I28</xm:sqref>
            </x14:sparkline>
            <x14:sparkline>
              <xm:f>Songs!K29:AC29</xm:f>
              <xm:sqref>I29</xm:sqref>
            </x14:sparkline>
            <x14:sparkline>
              <xm:f>Songs!K30:AC30</xm:f>
              <xm:sqref>I30</xm:sqref>
            </x14:sparkline>
            <x14:sparkline>
              <xm:f>Songs!K31:AC31</xm:f>
              <xm:sqref>I31</xm:sqref>
            </x14:sparkline>
            <x14:sparkline>
              <xm:f>Songs!K32:AC32</xm:f>
              <xm:sqref>I32</xm:sqref>
            </x14:sparkline>
            <x14:sparkline>
              <xm:f>Songs!K33:AC33</xm:f>
              <xm:sqref>I33</xm:sqref>
            </x14:sparkline>
            <x14:sparkline>
              <xm:f>Songs!K34:AC34</xm:f>
              <xm:sqref>I34</xm:sqref>
            </x14:sparkline>
            <x14:sparkline>
              <xm:f>Songs!K35:AC35</xm:f>
              <xm:sqref>I35</xm:sqref>
            </x14:sparkline>
            <x14:sparkline>
              <xm:f>Songs!K36:AC36</xm:f>
              <xm:sqref>I36</xm:sqref>
            </x14:sparkline>
            <x14:sparkline>
              <xm:f>Songs!K37:AC37</xm:f>
              <xm:sqref>I37</xm:sqref>
            </x14:sparkline>
            <x14:sparkline>
              <xm:f>Songs!K38:AC38</xm:f>
              <xm:sqref>I38</xm:sqref>
            </x14:sparkline>
            <x14:sparkline>
              <xm:f>Songs!K39:AC39</xm:f>
              <xm:sqref>I39</xm:sqref>
            </x14:sparkline>
            <x14:sparkline>
              <xm:f>Songs!K40:AC40</xm:f>
              <xm:sqref>I40</xm:sqref>
            </x14:sparkline>
            <x14:sparkline>
              <xm:f>Songs!K41:AC41</xm:f>
              <xm:sqref>I41</xm:sqref>
            </x14:sparkline>
            <x14:sparkline>
              <xm:f>Songs!K42:AC42</xm:f>
              <xm:sqref>I42</xm:sqref>
            </x14:sparkline>
            <x14:sparkline>
              <xm:f>Songs!K43:AC43</xm:f>
              <xm:sqref>I43</xm:sqref>
            </x14:sparkline>
            <x14:sparkline>
              <xm:f>Songs!K44:AC44</xm:f>
              <xm:sqref>I44</xm:sqref>
            </x14:sparkline>
            <x14:sparkline>
              <xm:f>Songs!K45:AC45</xm:f>
              <xm:sqref>I45</xm:sqref>
            </x14:sparkline>
            <x14:sparkline>
              <xm:f>Songs!K46:AC46</xm:f>
              <xm:sqref>I46</xm:sqref>
            </x14:sparkline>
            <x14:sparkline>
              <xm:f>Songs!K47:AC47</xm:f>
              <xm:sqref>I47</xm:sqref>
            </x14:sparkline>
            <x14:sparkline>
              <xm:f>Songs!K48:AC48</xm:f>
              <xm:sqref>I48</xm:sqref>
            </x14:sparkline>
            <x14:sparkline>
              <xm:f>Songs!K49:AC49</xm:f>
              <xm:sqref>I49</xm:sqref>
            </x14:sparkline>
            <x14:sparkline>
              <xm:f>Songs!K50:AC50</xm:f>
              <xm:sqref>I50</xm:sqref>
            </x14:sparkline>
            <x14:sparkline>
              <xm:f>Songs!K51:AC51</xm:f>
              <xm:sqref>I51</xm:sqref>
            </x14:sparkline>
            <x14:sparkline>
              <xm:f>Songs!K52:AC52</xm:f>
              <xm:sqref>I52</xm:sqref>
            </x14:sparkline>
            <x14:sparkline>
              <xm:f>Songs!K53:AC53</xm:f>
              <xm:sqref>I53</xm:sqref>
            </x14:sparkline>
            <x14:sparkline>
              <xm:f>Songs!K54:AC54</xm:f>
              <xm:sqref>I54</xm:sqref>
            </x14:sparkline>
            <x14:sparkline>
              <xm:f>Songs!K55:AC55</xm:f>
              <xm:sqref>I55</xm:sqref>
            </x14:sparkline>
            <x14:sparkline>
              <xm:f>Songs!K56:AC56</xm:f>
              <xm:sqref>I56</xm:sqref>
            </x14:sparkline>
            <x14:sparkline>
              <xm:f>Songs!K57:AC57</xm:f>
              <xm:sqref>I57</xm:sqref>
            </x14:sparkline>
            <x14:sparkline>
              <xm:f>Songs!K58:AC58</xm:f>
              <xm:sqref>I58</xm:sqref>
            </x14:sparkline>
            <x14:sparkline>
              <xm:f>Songs!K59:AC59</xm:f>
              <xm:sqref>I59</xm:sqref>
            </x14:sparkline>
            <x14:sparkline>
              <xm:f>Songs!K60:AC60</xm:f>
              <xm:sqref>I60</xm:sqref>
            </x14:sparkline>
            <x14:sparkline>
              <xm:f>Songs!K61:AC61</xm:f>
              <xm:sqref>I61</xm:sqref>
            </x14:sparkline>
            <x14:sparkline>
              <xm:f>Songs!K62:AC62</xm:f>
              <xm:sqref>I62</xm:sqref>
            </x14:sparkline>
            <x14:sparkline>
              <xm:f>Songs!K63:AC63</xm:f>
              <xm:sqref>I63</xm:sqref>
            </x14:sparkline>
            <x14:sparkline>
              <xm:f>Songs!K64:AC64</xm:f>
              <xm:sqref>I64</xm:sqref>
            </x14:sparkline>
            <x14:sparkline>
              <xm:f>Songs!K65:AC65</xm:f>
              <xm:sqref>I65</xm:sqref>
            </x14:sparkline>
            <x14:sparkline>
              <xm:f>Songs!K66:AC66</xm:f>
              <xm:sqref>I66</xm:sqref>
            </x14:sparkline>
            <x14:sparkline>
              <xm:f>Songs!K67:AC67</xm:f>
              <xm:sqref>I67</xm:sqref>
            </x14:sparkline>
            <x14:sparkline>
              <xm:f>Songs!K68:AC68</xm:f>
              <xm:sqref>I68</xm:sqref>
            </x14:sparkline>
            <x14:sparkline>
              <xm:f>Songs!K69:AC69</xm:f>
              <xm:sqref>I69</xm:sqref>
            </x14:sparkline>
            <x14:sparkline>
              <xm:f>Songs!K70:AC70</xm:f>
              <xm:sqref>I70</xm:sqref>
            </x14:sparkline>
            <x14:sparkline>
              <xm:f>Songs!K71:AC71</xm:f>
              <xm:sqref>I71</xm:sqref>
            </x14:sparkline>
            <x14:sparkline>
              <xm:f>Songs!K72:AC72</xm:f>
              <xm:sqref>I72</xm:sqref>
            </x14:sparkline>
            <x14:sparkline>
              <xm:f>Songs!K73:AC73</xm:f>
              <xm:sqref>I73</xm:sqref>
            </x14:sparkline>
            <x14:sparkline>
              <xm:f>Songs!K74:AC74</xm:f>
              <xm:sqref>I74</xm:sqref>
            </x14:sparkline>
            <x14:sparkline>
              <xm:f>Songs!K75:AC75</xm:f>
              <xm:sqref>I75</xm:sqref>
            </x14:sparkline>
            <x14:sparkline>
              <xm:f>Songs!K76:AC76</xm:f>
              <xm:sqref>I76</xm:sqref>
            </x14:sparkline>
            <x14:sparkline>
              <xm:f>Songs!K77:AC77</xm:f>
              <xm:sqref>I77</xm:sqref>
            </x14:sparkline>
            <x14:sparkline>
              <xm:f>Songs!K78:AC78</xm:f>
              <xm:sqref>I78</xm:sqref>
            </x14:sparkline>
            <x14:sparkline>
              <xm:f>Songs!K79:AC79</xm:f>
              <xm:sqref>I79</xm:sqref>
            </x14:sparkline>
          </x14:sparklines>
        </x14:sparklineGroup>
        <x14:sparklineGroup displayEmptyCellsAs="gap" high="1" minAxisType="group" maxAxisType="group" xr2:uid="{1D46AAC6-4B74-4D10-AF57-AA3E7339AD6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Songs!K110:AB110</xm:f>
              <xm:sqref>H110</xm:sqref>
            </x14:sparkline>
            <x14:sparkline>
              <xm:f>Songs!K111:AB111</xm:f>
              <xm:sqref>H111</xm:sqref>
            </x14:sparkline>
            <x14:sparkline>
              <xm:f>Songs!K112:AB112</xm:f>
              <xm:sqref>H112</xm:sqref>
            </x14:sparkline>
            <x14:sparkline>
              <xm:f>Songs!K113:AB113</xm:f>
              <xm:sqref>H113</xm:sqref>
            </x14:sparkline>
            <x14:sparkline>
              <xm:f>Songs!K114:AB114</xm:f>
              <xm:sqref>H114</xm:sqref>
            </x14:sparkline>
            <x14:sparkline>
              <xm:f>Songs!K115:AB115</xm:f>
              <xm:sqref>H115</xm:sqref>
            </x14:sparkline>
            <x14:sparkline>
              <xm:f>Songs!K116:AB116</xm:f>
              <xm:sqref>H116</xm:sqref>
            </x14:sparkline>
            <x14:sparkline>
              <xm:f>Songs!K117:AB117</xm:f>
              <xm:sqref>H117</xm:sqref>
            </x14:sparkline>
          </x14:sparklines>
        </x14:sparklineGroup>
        <x14:sparklineGroup displayEmptyCellsAs="gap" high="1" minAxisType="group" maxAxisType="group" xr2:uid="{F5C8C732-A5F9-4A0B-AA7B-E2BC37D117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Songs!K2:AB2</xm:f>
              <xm:sqref>H2</xm:sqref>
            </x14:sparkline>
            <x14:sparkline>
              <xm:f>Songs!K3:AB3</xm:f>
              <xm:sqref>H3</xm:sqref>
            </x14:sparkline>
            <x14:sparkline>
              <xm:f>Songs!K4:AB4</xm:f>
              <xm:sqref>H4</xm:sqref>
            </x14:sparkline>
            <x14:sparkline>
              <xm:f>Songs!K5:AB5</xm:f>
              <xm:sqref>H5</xm:sqref>
            </x14:sparkline>
            <x14:sparkline>
              <xm:f>Songs!K6:AB6</xm:f>
              <xm:sqref>H6</xm:sqref>
            </x14:sparkline>
            <x14:sparkline>
              <xm:f>Songs!K7:AB7</xm:f>
              <xm:sqref>H7</xm:sqref>
            </x14:sparkline>
            <x14:sparkline>
              <xm:f>Songs!K8:AB8</xm:f>
              <xm:sqref>H8</xm:sqref>
            </x14:sparkline>
            <x14:sparkline>
              <xm:f>Songs!K9:AB9</xm:f>
              <xm:sqref>H9</xm:sqref>
            </x14:sparkline>
            <x14:sparkline>
              <xm:f>Songs!K10:AB10</xm:f>
              <xm:sqref>H10</xm:sqref>
            </x14:sparkline>
            <x14:sparkline>
              <xm:f>Songs!K11:AB11</xm:f>
              <xm:sqref>H11</xm:sqref>
            </x14:sparkline>
            <x14:sparkline>
              <xm:f>Songs!K12:AB12</xm:f>
              <xm:sqref>H12</xm:sqref>
            </x14:sparkline>
            <x14:sparkline>
              <xm:f>Songs!K13:AB13</xm:f>
              <xm:sqref>H13</xm:sqref>
            </x14:sparkline>
            <x14:sparkline>
              <xm:f>Songs!K14:AB14</xm:f>
              <xm:sqref>H14</xm:sqref>
            </x14:sparkline>
            <x14:sparkline>
              <xm:f>Songs!K15:AB15</xm:f>
              <xm:sqref>H15</xm:sqref>
            </x14:sparkline>
            <x14:sparkline>
              <xm:f>Songs!K16:AB16</xm:f>
              <xm:sqref>H16</xm:sqref>
            </x14:sparkline>
            <x14:sparkline>
              <xm:f>Songs!K17:AB17</xm:f>
              <xm:sqref>H17</xm:sqref>
            </x14:sparkline>
            <x14:sparkline>
              <xm:f>Songs!K18:AB18</xm:f>
              <xm:sqref>H18</xm:sqref>
            </x14:sparkline>
            <x14:sparkline>
              <xm:f>Songs!K19:AB19</xm:f>
              <xm:sqref>H19</xm:sqref>
            </x14:sparkline>
            <x14:sparkline>
              <xm:f>Songs!K20:AB20</xm:f>
              <xm:sqref>H20</xm:sqref>
            </x14:sparkline>
            <x14:sparkline>
              <xm:f>Songs!K21:AB21</xm:f>
              <xm:sqref>H21</xm:sqref>
            </x14:sparkline>
            <x14:sparkline>
              <xm:f>Songs!K22:AB22</xm:f>
              <xm:sqref>H22</xm:sqref>
            </x14:sparkline>
            <x14:sparkline>
              <xm:f>Songs!K23:AB23</xm:f>
              <xm:sqref>H23</xm:sqref>
            </x14:sparkline>
            <x14:sparkline>
              <xm:f>Songs!K24:AB24</xm:f>
              <xm:sqref>H24</xm:sqref>
            </x14:sparkline>
            <x14:sparkline>
              <xm:f>Songs!K25:AB25</xm:f>
              <xm:sqref>H25</xm:sqref>
            </x14:sparkline>
            <x14:sparkline>
              <xm:f>Songs!K26:AB26</xm:f>
              <xm:sqref>H26</xm:sqref>
            </x14:sparkline>
            <x14:sparkline>
              <xm:f>Songs!K27:AB27</xm:f>
              <xm:sqref>H27</xm:sqref>
            </x14:sparkline>
            <x14:sparkline>
              <xm:f>Songs!K28:AB28</xm:f>
              <xm:sqref>H28</xm:sqref>
            </x14:sparkline>
            <x14:sparkline>
              <xm:f>Songs!K29:AB29</xm:f>
              <xm:sqref>H29</xm:sqref>
            </x14:sparkline>
            <x14:sparkline>
              <xm:f>Songs!K30:AB30</xm:f>
              <xm:sqref>H30</xm:sqref>
            </x14:sparkline>
            <x14:sparkline>
              <xm:f>Songs!K31:AB31</xm:f>
              <xm:sqref>H31</xm:sqref>
            </x14:sparkline>
            <x14:sparkline>
              <xm:f>Songs!K32:AB32</xm:f>
              <xm:sqref>H32</xm:sqref>
            </x14:sparkline>
            <x14:sparkline>
              <xm:f>Songs!K33:AB33</xm:f>
              <xm:sqref>H33</xm:sqref>
            </x14:sparkline>
            <x14:sparkline>
              <xm:f>Songs!K34:AB34</xm:f>
              <xm:sqref>H34</xm:sqref>
            </x14:sparkline>
            <x14:sparkline>
              <xm:f>Songs!K35:AB35</xm:f>
              <xm:sqref>H35</xm:sqref>
            </x14:sparkline>
            <x14:sparkline>
              <xm:f>Songs!K36:AB36</xm:f>
              <xm:sqref>H36</xm:sqref>
            </x14:sparkline>
            <x14:sparkline>
              <xm:f>Songs!K37:AB37</xm:f>
              <xm:sqref>H37</xm:sqref>
            </x14:sparkline>
            <x14:sparkline>
              <xm:f>Songs!K38:AB38</xm:f>
              <xm:sqref>H38</xm:sqref>
            </x14:sparkline>
            <x14:sparkline>
              <xm:f>Songs!K39:AB39</xm:f>
              <xm:sqref>H39</xm:sqref>
            </x14:sparkline>
            <x14:sparkline>
              <xm:f>Songs!K40:AB40</xm:f>
              <xm:sqref>H40</xm:sqref>
            </x14:sparkline>
            <x14:sparkline>
              <xm:f>Songs!K41:AB41</xm:f>
              <xm:sqref>H41</xm:sqref>
            </x14:sparkline>
            <x14:sparkline>
              <xm:f>Songs!K42:AB42</xm:f>
              <xm:sqref>H42</xm:sqref>
            </x14:sparkline>
            <x14:sparkline>
              <xm:f>Songs!K43:AB43</xm:f>
              <xm:sqref>H43</xm:sqref>
            </x14:sparkline>
            <x14:sparkline>
              <xm:f>Songs!K44:AB44</xm:f>
              <xm:sqref>H44</xm:sqref>
            </x14:sparkline>
            <x14:sparkline>
              <xm:f>Songs!K45:AB45</xm:f>
              <xm:sqref>H45</xm:sqref>
            </x14:sparkline>
            <x14:sparkline>
              <xm:f>Songs!K46:AB46</xm:f>
              <xm:sqref>H46</xm:sqref>
            </x14:sparkline>
            <x14:sparkline>
              <xm:f>Songs!K47:AB47</xm:f>
              <xm:sqref>H47</xm:sqref>
            </x14:sparkline>
            <x14:sparkline>
              <xm:f>Songs!K48:AB48</xm:f>
              <xm:sqref>H48</xm:sqref>
            </x14:sparkline>
            <x14:sparkline>
              <xm:f>Songs!K49:AB49</xm:f>
              <xm:sqref>H49</xm:sqref>
            </x14:sparkline>
            <x14:sparkline>
              <xm:f>Songs!K50:AB50</xm:f>
              <xm:sqref>H50</xm:sqref>
            </x14:sparkline>
            <x14:sparkline>
              <xm:f>Songs!K51:AB51</xm:f>
              <xm:sqref>H51</xm:sqref>
            </x14:sparkline>
            <x14:sparkline>
              <xm:f>Songs!K52:AB52</xm:f>
              <xm:sqref>H52</xm:sqref>
            </x14:sparkline>
            <x14:sparkline>
              <xm:f>Songs!K53:AB53</xm:f>
              <xm:sqref>H53</xm:sqref>
            </x14:sparkline>
            <x14:sparkline>
              <xm:f>Songs!K54:AB54</xm:f>
              <xm:sqref>H54</xm:sqref>
            </x14:sparkline>
            <x14:sparkline>
              <xm:f>Songs!K55:AB55</xm:f>
              <xm:sqref>H55</xm:sqref>
            </x14:sparkline>
            <x14:sparkline>
              <xm:f>Songs!K56:AB56</xm:f>
              <xm:sqref>H56</xm:sqref>
            </x14:sparkline>
            <x14:sparkline>
              <xm:f>Songs!K57:AB57</xm:f>
              <xm:sqref>H57</xm:sqref>
            </x14:sparkline>
            <x14:sparkline>
              <xm:f>Songs!K58:AB58</xm:f>
              <xm:sqref>H58</xm:sqref>
            </x14:sparkline>
            <x14:sparkline>
              <xm:f>Songs!K59:AB59</xm:f>
              <xm:sqref>H59</xm:sqref>
            </x14:sparkline>
            <x14:sparkline>
              <xm:f>Songs!K60:AB60</xm:f>
              <xm:sqref>H60</xm:sqref>
            </x14:sparkline>
            <x14:sparkline>
              <xm:f>Songs!K61:AB61</xm:f>
              <xm:sqref>H61</xm:sqref>
            </x14:sparkline>
            <x14:sparkline>
              <xm:f>Songs!K62:AB62</xm:f>
              <xm:sqref>H62</xm:sqref>
            </x14:sparkline>
            <x14:sparkline>
              <xm:f>Songs!K63:AB63</xm:f>
              <xm:sqref>H63</xm:sqref>
            </x14:sparkline>
            <x14:sparkline>
              <xm:f>Songs!K64:AB64</xm:f>
              <xm:sqref>H64</xm:sqref>
            </x14:sparkline>
            <x14:sparkline>
              <xm:f>Songs!K65:AB65</xm:f>
              <xm:sqref>H65</xm:sqref>
            </x14:sparkline>
            <x14:sparkline>
              <xm:f>Songs!K66:AB66</xm:f>
              <xm:sqref>H66</xm:sqref>
            </x14:sparkline>
            <x14:sparkline>
              <xm:f>Songs!K67:AB67</xm:f>
              <xm:sqref>H67</xm:sqref>
            </x14:sparkline>
            <x14:sparkline>
              <xm:f>Songs!K68:AB68</xm:f>
              <xm:sqref>H68</xm:sqref>
            </x14:sparkline>
            <x14:sparkline>
              <xm:f>Songs!K69:AB69</xm:f>
              <xm:sqref>H69</xm:sqref>
            </x14:sparkline>
            <x14:sparkline>
              <xm:f>Songs!K70:AB70</xm:f>
              <xm:sqref>H70</xm:sqref>
            </x14:sparkline>
            <x14:sparkline>
              <xm:f>Songs!K71:AB71</xm:f>
              <xm:sqref>H71</xm:sqref>
            </x14:sparkline>
            <x14:sparkline>
              <xm:f>Songs!K72:AB72</xm:f>
              <xm:sqref>H72</xm:sqref>
            </x14:sparkline>
            <x14:sparkline>
              <xm:f>Songs!K73:AB73</xm:f>
              <xm:sqref>H73</xm:sqref>
            </x14:sparkline>
            <x14:sparkline>
              <xm:f>Songs!K74:AB74</xm:f>
              <xm:sqref>H74</xm:sqref>
            </x14:sparkline>
            <x14:sparkline>
              <xm:f>Songs!K75:AB75</xm:f>
              <xm:sqref>H75</xm:sqref>
            </x14:sparkline>
            <x14:sparkline>
              <xm:f>Songs!K76:AB76</xm:f>
              <xm:sqref>H76</xm:sqref>
            </x14:sparkline>
            <x14:sparkline>
              <xm:f>Songs!K77:AB77</xm:f>
              <xm:sqref>H77</xm:sqref>
            </x14:sparkline>
            <x14:sparkline>
              <xm:f>Songs!K78:AB78</xm:f>
              <xm:sqref>H78</xm:sqref>
            </x14:sparkline>
            <x14:sparkline>
              <xm:f>Songs!K79:AB79</xm:f>
              <xm:sqref>H79</xm:sqref>
            </x14:sparkline>
            <x14:sparkline>
              <xm:f>Songs!K80:AB80</xm:f>
              <xm:sqref>H80</xm:sqref>
            </x14:sparkline>
            <x14:sparkline>
              <xm:f>Songs!K81:AB81</xm:f>
              <xm:sqref>H81</xm:sqref>
            </x14:sparkline>
            <x14:sparkline>
              <xm:f>Songs!K82:AB82</xm:f>
              <xm:sqref>H82</xm:sqref>
            </x14:sparkline>
            <x14:sparkline>
              <xm:f>Songs!K83:AB83</xm:f>
              <xm:sqref>H83</xm:sqref>
            </x14:sparkline>
            <x14:sparkline>
              <xm:f>Songs!K84:AB84</xm:f>
              <xm:sqref>H84</xm:sqref>
            </x14:sparkline>
            <x14:sparkline>
              <xm:f>Songs!K85:AB85</xm:f>
              <xm:sqref>H85</xm:sqref>
            </x14:sparkline>
            <x14:sparkline>
              <xm:f>Songs!K86:AB86</xm:f>
              <xm:sqref>H86</xm:sqref>
            </x14:sparkline>
            <x14:sparkline>
              <xm:f>Songs!K87:AB87</xm:f>
              <xm:sqref>H87</xm:sqref>
            </x14:sparkline>
            <x14:sparkline>
              <xm:f>Songs!K88:AB88</xm:f>
              <xm:sqref>H88</xm:sqref>
            </x14:sparkline>
            <x14:sparkline>
              <xm:f>Songs!K89:AB89</xm:f>
              <xm:sqref>H89</xm:sqref>
            </x14:sparkline>
            <x14:sparkline>
              <xm:f>Songs!K90:AB90</xm:f>
              <xm:sqref>H90</xm:sqref>
            </x14:sparkline>
            <x14:sparkline>
              <xm:f>Songs!K91:AB91</xm:f>
              <xm:sqref>H91</xm:sqref>
            </x14:sparkline>
            <x14:sparkline>
              <xm:f>Songs!K92:AB92</xm:f>
              <xm:sqref>H92</xm:sqref>
            </x14:sparkline>
            <x14:sparkline>
              <xm:f>Songs!K93:AB93</xm:f>
              <xm:sqref>H93</xm:sqref>
            </x14:sparkline>
            <x14:sparkline>
              <xm:f>Songs!K94:AB94</xm:f>
              <xm:sqref>H94</xm:sqref>
            </x14:sparkline>
            <x14:sparkline>
              <xm:f>Songs!K95:AB95</xm:f>
              <xm:sqref>H95</xm:sqref>
            </x14:sparkline>
            <x14:sparkline>
              <xm:f>Songs!K96:AB96</xm:f>
              <xm:sqref>H96</xm:sqref>
            </x14:sparkline>
            <x14:sparkline>
              <xm:f>Songs!K97:AB97</xm:f>
              <xm:sqref>H97</xm:sqref>
            </x14:sparkline>
            <x14:sparkline>
              <xm:f>Songs!K98:AB98</xm:f>
              <xm:sqref>H98</xm:sqref>
            </x14:sparkline>
            <x14:sparkline>
              <xm:f>Songs!K99:AB99</xm:f>
              <xm:sqref>H99</xm:sqref>
            </x14:sparkline>
            <x14:sparkline>
              <xm:f>Songs!K100:AB100</xm:f>
              <xm:sqref>H100</xm:sqref>
            </x14:sparkline>
            <x14:sparkline>
              <xm:f>Songs!K101:AB101</xm:f>
              <xm:sqref>H101</xm:sqref>
            </x14:sparkline>
            <x14:sparkline>
              <xm:f>Songs!K102:AB102</xm:f>
              <xm:sqref>H102</xm:sqref>
            </x14:sparkline>
            <x14:sparkline>
              <xm:f>Songs!K103:AB103</xm:f>
              <xm:sqref>H103</xm:sqref>
            </x14:sparkline>
            <x14:sparkline>
              <xm:f>Songs!K104:AB104</xm:f>
              <xm:sqref>H104</xm:sqref>
            </x14:sparkline>
            <x14:sparkline>
              <xm:f>Songs!K105:AB105</xm:f>
              <xm:sqref>H105</xm:sqref>
            </x14:sparkline>
            <x14:sparkline>
              <xm:f>Songs!K106:AB106</xm:f>
              <xm:sqref>H106</xm:sqref>
            </x14:sparkline>
            <x14:sparkline>
              <xm:f>Songs!K107:AB107</xm:f>
              <xm:sqref>H107</xm:sqref>
            </x14:sparkline>
            <x14:sparkline>
              <xm:f>Songs!K108:AB108</xm:f>
              <xm:sqref>H108</xm:sqref>
            </x14:sparkline>
            <x14:sparkline>
              <xm:f>Songs!K109:AB109</xm:f>
              <xm:sqref>H109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K83"/>
  <sheetViews>
    <sheetView topLeftCell="B53" workbookViewId="0">
      <pane xSplit="1" topLeftCell="C1" activePane="topRight" state="frozen"/>
      <selection activeCell="B1" sqref="B1"/>
      <selection pane="topRight" activeCell="E76" sqref="E76"/>
    </sheetView>
  </sheetViews>
  <sheetFormatPr defaultColWidth="12.6640625" defaultRowHeight="15.75" customHeight="1" x14ac:dyDescent="0.25"/>
  <cols>
    <col min="1" max="1" width="8.109375" style="10" hidden="1" customWidth="1"/>
    <col min="2" max="2" width="21.44140625" bestFit="1" customWidth="1"/>
    <col min="3" max="3" width="11.88671875" bestFit="1" customWidth="1"/>
    <col min="4" max="4" width="26.21875" bestFit="1" customWidth="1"/>
    <col min="6" max="6" width="17.44140625" customWidth="1"/>
    <col min="7" max="7" width="15.77734375" bestFit="1" customWidth="1"/>
    <col min="8" max="8" width="20.88671875" customWidth="1"/>
    <col min="9" max="10" width="11.88671875" customWidth="1"/>
  </cols>
  <sheetData>
    <row r="1" spans="1:11" s="11" customFormat="1" ht="15.75" customHeight="1" x14ac:dyDescent="0.25">
      <c r="A1" s="10" t="s">
        <v>159</v>
      </c>
      <c r="B1" s="11" t="s">
        <v>160</v>
      </c>
      <c r="C1" s="11" t="s">
        <v>161</v>
      </c>
      <c r="D1" s="11" t="s">
        <v>166</v>
      </c>
      <c r="E1" s="11" t="s">
        <v>162</v>
      </c>
      <c r="F1" s="11" t="s">
        <v>165</v>
      </c>
      <c r="G1" s="11" t="s">
        <v>163</v>
      </c>
      <c r="H1" s="11" t="s">
        <v>260</v>
      </c>
      <c r="I1" s="11" t="s">
        <v>243</v>
      </c>
      <c r="J1" s="11" t="s">
        <v>258</v>
      </c>
    </row>
    <row r="2" spans="1:11" ht="15.75" customHeight="1" x14ac:dyDescent="0.25">
      <c r="A2" s="10">
        <v>8</v>
      </c>
      <c r="B2" s="2" t="s">
        <v>121</v>
      </c>
      <c r="C2" cm="1">
        <f t="array" ref="C2">SUM(IF(ISNUMBER(SEARCH($B2,Songs!C:C)),1,0))+E2</f>
        <v>16</v>
      </c>
      <c r="D2" cm="1">
        <f t="array" aca="1" ref="D2" ca="1">SUM(IF(ISNUMBER(SEARCH($B2,Songs!C:C)),Songs!G:G,0))-SUM(IF(ISNUMBER(SEARCH($B2,Songs!C:C)),Songs!F:F,0))+F2</f>
        <v>67</v>
      </c>
      <c r="E2">
        <f>COUNTIF(Songs!$B:$B,Artists!$B2)</f>
        <v>16</v>
      </c>
      <c r="F2">
        <f ca="1">SUMIF(Songs!$B:$B,Artists!$B2,Songs!$G:$G)-SUMIF(Songs!$B:$B,Artists!$B2,Songs!$F:$F)</f>
        <v>67</v>
      </c>
      <c r="G2" cm="1">
        <f t="array" ref="G2">SUM(IF(ISNUMBER(SEARCH($B2,Songs!D:D)),1,0))</f>
        <v>0</v>
      </c>
      <c r="H2" cm="1">
        <f t="array" aca="1" ref="H2" ca="1">SUM(IF(ISNUMBER(SEARCH($B2,Songs!D:D)),Songs!G:G,0)) - SUM(IF(ISNUMBER(SEARCH($B2,Songs!D:D)),Songs!F:F,0))</f>
        <v>0</v>
      </c>
      <c r="I2">
        <f>_xlfn.MINIFS(Songs!J:J,Songs!$B:$B,Artists!$B2)</f>
        <v>1</v>
      </c>
      <c r="J2">
        <v>1</v>
      </c>
      <c r="K2" t="s">
        <v>239</v>
      </c>
    </row>
    <row r="3" spans="1:11" ht="15.75" customHeight="1" x14ac:dyDescent="0.25">
      <c r="A3" s="10">
        <v>2</v>
      </c>
      <c r="B3" s="6" t="s">
        <v>76</v>
      </c>
      <c r="C3" cm="1">
        <f t="array" ref="C3">SUM(IF(ISNUMBER(SEARCH($B3,Songs!C:C)),1,0))+E3</f>
        <v>7</v>
      </c>
      <c r="D3" cm="1">
        <f t="array" aca="1" ref="D3" ca="1">SUM(IF(ISNUMBER(SEARCH($B3,Songs!C:C)),Songs!G:G,0))-SUM(IF(ISNUMBER(SEARCH($B3,Songs!C:C)),Songs!F:F,0))+F3</f>
        <v>61</v>
      </c>
      <c r="E3">
        <f>COUNTIF(Songs!$B:$B,Artists!$B3)</f>
        <v>5</v>
      </c>
      <c r="F3">
        <f ca="1">SUMIF(Songs!$B:$B,Artists!$B3,Songs!$G:$G)-SUMIF(Songs!$B:$B,Artists!$B3,Songs!$F:$F)</f>
        <v>56</v>
      </c>
      <c r="G3" cm="1">
        <f t="array" ref="G3">SUM(IF(ISNUMBER(SEARCH($B3,Songs!D:D)),1,0))</f>
        <v>1</v>
      </c>
      <c r="H3" cm="1">
        <f t="array" aca="1" ref="H3" ca="1">SUM(IF(ISNUMBER(SEARCH($B3,Songs!D:D)),Songs!G:G,0)) - SUM(IF(ISNUMBER(SEARCH($B3,Songs!D:D)),Songs!F:F,0))</f>
        <v>11</v>
      </c>
      <c r="I3">
        <f>_xlfn.MINIFS(Songs!J:J,Songs!$B:$B,Artists!$B3)</f>
        <v>2</v>
      </c>
      <c r="J3">
        <v>0</v>
      </c>
    </row>
    <row r="4" spans="1:11" ht="15.75" customHeight="1" x14ac:dyDescent="0.25">
      <c r="A4" s="10">
        <v>6</v>
      </c>
      <c r="B4" s="2" t="s">
        <v>104</v>
      </c>
      <c r="C4" cm="1">
        <f t="array" ref="C4">SUM(IF(ISNUMBER(SEARCH($B4,Songs!C:C)),1,0))+E4</f>
        <v>5</v>
      </c>
      <c r="D4" cm="1">
        <f t="array" aca="1" ref="D4" ca="1">SUM(IF(ISNUMBER(SEARCH($B4,Songs!C:C)),Songs!G:G,0))-SUM(IF(ISNUMBER(SEARCH($B4,Songs!C:C)),Songs!F:F,0))+F4</f>
        <v>45</v>
      </c>
      <c r="E4">
        <f>COUNTIF(Songs!$B:$B,Artists!$B4)</f>
        <v>4</v>
      </c>
      <c r="F4">
        <f ca="1">SUMIF(Songs!$B:$B,Artists!$B4,Songs!$G:$G)-SUMIF(Songs!$B:$B,Artists!$B4,Songs!$F:$F)</f>
        <v>35</v>
      </c>
      <c r="G4" cm="1">
        <f t="array" ref="G4">SUM(IF(ISNUMBER(SEARCH($B4,Songs!D:D)),1,0))</f>
        <v>0</v>
      </c>
      <c r="H4" cm="1">
        <f t="array" aca="1" ref="H4" ca="1">SUM(IF(ISNUMBER(SEARCH($B4,Songs!D:D)),Songs!G:G,0)) - SUM(IF(ISNUMBER(SEARCH($B4,Songs!D:D)),Songs!F:F,0))</f>
        <v>0</v>
      </c>
      <c r="I4">
        <f>_xlfn.MINIFS(Songs!J:J,Songs!$B:$B,Artists!$B4)</f>
        <v>13</v>
      </c>
      <c r="J4">
        <v>1</v>
      </c>
    </row>
    <row r="5" spans="1:11" ht="15.75" customHeight="1" x14ac:dyDescent="0.25">
      <c r="A5" s="10">
        <v>5</v>
      </c>
      <c r="B5" s="6" t="s">
        <v>80</v>
      </c>
      <c r="C5" cm="1">
        <f t="array" ref="C5">SUM(IF(ISNUMBER(SEARCH($B5,Songs!C:C)),1,0))+E5</f>
        <v>5</v>
      </c>
      <c r="D5" cm="1">
        <f t="array" aca="1" ref="D5" ca="1">SUM(IF(ISNUMBER(SEARCH($B5,Songs!C:C)),Songs!G:G,0))-SUM(IF(ISNUMBER(SEARCH($B5,Songs!C:C)),Songs!F:F,0))+F5</f>
        <v>38</v>
      </c>
      <c r="E5">
        <f>COUNTIF(Songs!$B:$B,Artists!$B5)</f>
        <v>4</v>
      </c>
      <c r="F5">
        <f ca="1">SUMIF(Songs!$B:$B,Artists!$B5,Songs!$G:$G)-SUMIF(Songs!$B:$B,Artists!$B5,Songs!$F:$F)</f>
        <v>21</v>
      </c>
      <c r="G5" cm="1">
        <f t="array" ref="G5">SUM(IF(ISNUMBER(SEARCH($B5,Songs!D:D)),1,0))</f>
        <v>1</v>
      </c>
      <c r="H5" cm="1">
        <f t="array" aca="1" ref="H5" ca="1">SUM(IF(ISNUMBER(SEARCH($B5,Songs!D:D)),Songs!G:G,0)) - SUM(IF(ISNUMBER(SEARCH($B5,Songs!D:D)),Songs!F:F,0))</f>
        <v>8</v>
      </c>
      <c r="I5">
        <f>_xlfn.MINIFS(Songs!J:J,Songs!$B:$B,Artists!$B5)</f>
        <v>7</v>
      </c>
      <c r="J5">
        <v>0</v>
      </c>
    </row>
    <row r="6" spans="1:11" ht="15.75" customHeight="1" x14ac:dyDescent="0.25">
      <c r="A6" s="10">
        <v>1</v>
      </c>
      <c r="B6" s="6" t="s">
        <v>74</v>
      </c>
      <c r="C6" cm="1">
        <f t="array" ref="C6">SUM(IF(ISNUMBER(SEARCH($B6,Songs!C:C)),1,0))+E6</f>
        <v>5</v>
      </c>
      <c r="D6" cm="1">
        <f t="array" aca="1" ref="D6" ca="1">SUM(IF(ISNUMBER(SEARCH($B6,Songs!C:C)),Songs!G:G,0))-SUM(IF(ISNUMBER(SEARCH($B6,Songs!C:C)),Songs!F:F,0))+F6</f>
        <v>35</v>
      </c>
      <c r="E6">
        <f>COUNTIF(Songs!$B:$B,Artists!$B6)</f>
        <v>5</v>
      </c>
      <c r="F6">
        <f ca="1">SUMIF(Songs!$B:$B,Artists!$B6,Songs!$G:$G)-SUMIF(Songs!$B:$B,Artists!$B6,Songs!$F:$F)</f>
        <v>35</v>
      </c>
      <c r="G6" cm="1">
        <f t="array" ref="G6">SUM(IF(ISNUMBER(SEARCH($B6,Songs!D:D)),1,0))</f>
        <v>0</v>
      </c>
      <c r="H6" cm="1">
        <f t="array" aca="1" ref="H6" ca="1">SUM(IF(ISNUMBER(SEARCH($B6,Songs!D:D)),Songs!G:G,0)) - SUM(IF(ISNUMBER(SEARCH($B6,Songs!D:D)),Songs!F:F,0))</f>
        <v>0</v>
      </c>
      <c r="I6">
        <f>_xlfn.MINIFS(Songs!J:J,Songs!$B:$B,Artists!$B6)</f>
        <v>1</v>
      </c>
      <c r="J6">
        <v>0</v>
      </c>
    </row>
    <row r="7" spans="1:11" ht="15.75" customHeight="1" x14ac:dyDescent="0.25">
      <c r="A7" s="10">
        <v>20</v>
      </c>
      <c r="B7" s="2" t="s">
        <v>113</v>
      </c>
      <c r="C7" cm="1">
        <f t="array" ref="C7">SUM(IF(ISNUMBER(SEARCH($B7,Songs!C:C)),1,0))+E7</f>
        <v>3</v>
      </c>
      <c r="D7" cm="1">
        <f t="array" aca="1" ref="D7" ca="1">SUM(IF(ISNUMBER(SEARCH($B7,Songs!C:C)),Songs!G:G,0))-SUM(IF(ISNUMBER(SEARCH($B7,Songs!C:C)),Songs!F:F,0))+F7</f>
        <v>32</v>
      </c>
      <c r="E7">
        <f>COUNTIF(Songs!$B:$B,Artists!$B7)</f>
        <v>2</v>
      </c>
      <c r="F7">
        <f ca="1">SUMIF(Songs!$B:$B,Artists!$B7,Songs!$G:$G)-SUMIF(Songs!$B:$B,Artists!$B7,Songs!$F:$F)</f>
        <v>18</v>
      </c>
      <c r="G7" cm="1">
        <f t="array" ref="G7">SUM(IF(ISNUMBER(SEARCH($B7,Songs!D:D)),1,0))</f>
        <v>0</v>
      </c>
      <c r="H7" cm="1">
        <f t="array" aca="1" ref="H7" ca="1">SUM(IF(ISNUMBER(SEARCH($B7,Songs!D:D)),Songs!G:G,0)) - SUM(IF(ISNUMBER(SEARCH($B7,Songs!D:D)),Songs!F:F,0))</f>
        <v>0</v>
      </c>
      <c r="I7">
        <f>_xlfn.MINIFS(Songs!J:J,Songs!$B:$B,Artists!$B7)</f>
        <v>39</v>
      </c>
      <c r="J7">
        <v>0</v>
      </c>
    </row>
    <row r="8" spans="1:11" ht="15.75" customHeight="1" x14ac:dyDescent="0.25">
      <c r="A8" s="10">
        <v>3</v>
      </c>
      <c r="B8" s="6" t="s">
        <v>77</v>
      </c>
      <c r="C8" cm="1">
        <f t="array" ref="C8">SUM(IF(ISNUMBER(SEARCH($B8,Songs!C:C)),1,0))+E8</f>
        <v>2</v>
      </c>
      <c r="D8" cm="1">
        <f t="array" aca="1" ref="D8" ca="1">SUM(IF(ISNUMBER(SEARCH($B8,Songs!C:C)),Songs!G:G,0))-SUM(IF(ISNUMBER(SEARCH($B8,Songs!C:C)),Songs!F:F,0))+F8</f>
        <v>28</v>
      </c>
      <c r="E8">
        <f>COUNTIF(Songs!$B:$B,Artists!$B8)</f>
        <v>2</v>
      </c>
      <c r="F8">
        <f ca="1">SUMIF(Songs!$B:$B,Artists!$B8,Songs!$G:$G)-SUMIF(Songs!$B:$B,Artists!$B8,Songs!$F:$F)</f>
        <v>28</v>
      </c>
      <c r="G8" cm="1">
        <f t="array" ref="G8">SUM(IF(ISNUMBER(SEARCH($B8,Songs!D:D)),1,0))</f>
        <v>1</v>
      </c>
      <c r="H8" cm="1">
        <f t="array" aca="1" ref="H8" ca="1">SUM(IF(ISNUMBER(SEARCH($B8,Songs!D:D)),Songs!G:G,0)) - SUM(IF(ISNUMBER(SEARCH($B8,Songs!D:D)),Songs!F:F,0))</f>
        <v>5</v>
      </c>
      <c r="I8">
        <f>_xlfn.MINIFS(Songs!J:J,Songs!$B:$B,Artists!$B8)</f>
        <v>2</v>
      </c>
      <c r="J8">
        <v>0</v>
      </c>
    </row>
    <row r="9" spans="1:11" ht="15.75" customHeight="1" x14ac:dyDescent="0.25">
      <c r="A9" s="10">
        <v>4</v>
      </c>
      <c r="B9" s="2" t="s">
        <v>84</v>
      </c>
      <c r="C9" cm="1">
        <f t="array" ref="C9">SUM(IF(ISNUMBER(SEARCH($B9,Songs!C:C)),1,0))+E9</f>
        <v>2</v>
      </c>
      <c r="D9" cm="1">
        <f t="array" aca="1" ref="D9" ca="1">SUM(IF(ISNUMBER(SEARCH($B9,Songs!C:C)),Songs!G:G,0))-SUM(IF(ISNUMBER(SEARCH($B9,Songs!C:C)),Songs!F:F,0))+F9</f>
        <v>26</v>
      </c>
      <c r="E9">
        <f>COUNTIF(Songs!$B:$B,Artists!$B9)</f>
        <v>2</v>
      </c>
      <c r="F9">
        <f ca="1">SUMIF(Songs!$B:$B,Artists!$B9,Songs!$G:$G)-SUMIF(Songs!$B:$B,Artists!$B9,Songs!$F:$F)</f>
        <v>26</v>
      </c>
      <c r="G9" cm="1">
        <f t="array" ref="G9">SUM(IF(ISNUMBER(SEARCH($B9,Songs!D:D)),1,0))</f>
        <v>0</v>
      </c>
      <c r="H9" cm="1">
        <f t="array" aca="1" ref="H9" ca="1">SUM(IF(ISNUMBER(SEARCH($B9,Songs!D:D)),Songs!G:G,0)) - SUM(IF(ISNUMBER(SEARCH($B9,Songs!D:D)),Songs!F:F,0))</f>
        <v>0</v>
      </c>
      <c r="I9">
        <f>_xlfn.MINIFS(Songs!J:J,Songs!$B:$B,Artists!$B9)</f>
        <v>7</v>
      </c>
      <c r="J9">
        <v>0</v>
      </c>
    </row>
    <row r="10" spans="1:11" ht="15.75" customHeight="1" x14ac:dyDescent="0.25">
      <c r="A10" s="10">
        <v>7</v>
      </c>
      <c r="B10" s="2" t="s">
        <v>78</v>
      </c>
      <c r="C10" cm="1">
        <f t="array" ref="C10">SUM(IF(ISNUMBER(SEARCH($B10,Songs!C:C)),1,0))+E10</f>
        <v>2</v>
      </c>
      <c r="D10" cm="1">
        <f t="array" aca="1" ref="D10" ca="1">SUM(IF(ISNUMBER(SEARCH($B10,Songs!C:C)),Songs!G:G,0))-SUM(IF(ISNUMBER(SEARCH($B10,Songs!C:C)),Songs!F:F,0))+F10</f>
        <v>20</v>
      </c>
      <c r="E10">
        <f>COUNTIF(Songs!$B:$B,Artists!$B10)</f>
        <v>2</v>
      </c>
      <c r="F10">
        <f ca="1">SUMIF(Songs!$B:$B,Artists!$B10,Songs!$G:$G)-SUMIF(Songs!$B:$B,Artists!$B10,Songs!$F:$F)</f>
        <v>20</v>
      </c>
      <c r="G10" cm="1">
        <f t="array" ref="G10">SUM(IF(ISNUMBER(SEARCH($B10,Songs!D:D)),1,0))</f>
        <v>1</v>
      </c>
      <c r="H10" cm="1">
        <f t="array" aca="1" ref="H10" ca="1">SUM(IF(ISNUMBER(SEARCH($B10,Songs!D:D)),Songs!G:G,0)) - SUM(IF(ISNUMBER(SEARCH($B10,Songs!D:D)),Songs!F:F,0))</f>
        <v>17</v>
      </c>
      <c r="I10">
        <f>_xlfn.MINIFS(Songs!J:J,Songs!$B:$B,Artists!$B10)</f>
        <v>5</v>
      </c>
      <c r="J10">
        <v>0</v>
      </c>
    </row>
    <row r="11" spans="1:11" ht="15.75" customHeight="1" x14ac:dyDescent="0.25">
      <c r="A11" s="10">
        <v>9</v>
      </c>
      <c r="B11" s="2" t="s">
        <v>79</v>
      </c>
      <c r="C11" cm="1">
        <f t="array" ref="C11">SUM(IF(ISNUMBER(SEARCH($B11,Songs!C:C)),1,0))+E11</f>
        <v>2</v>
      </c>
      <c r="D11" cm="1">
        <f t="array" aca="1" ref="D11" ca="1">SUM(IF(ISNUMBER(SEARCH($B11,Songs!C:C)),Songs!G:G,0))-SUM(IF(ISNUMBER(SEARCH($B11,Songs!C:C)),Songs!F:F,0))+F11</f>
        <v>18</v>
      </c>
      <c r="E11">
        <f>COUNTIF(Songs!$B:$B,Artists!$B11)</f>
        <v>2</v>
      </c>
      <c r="F11">
        <f ca="1">SUMIF(Songs!$B:$B,Artists!$B11,Songs!$G:$G)-SUMIF(Songs!$B:$B,Artists!$B11,Songs!$F:$F)</f>
        <v>18</v>
      </c>
      <c r="G11" cm="1">
        <f t="array" ref="G11">SUM(IF(ISNUMBER(SEARCH($B11,Songs!D:D)),1,0))</f>
        <v>0</v>
      </c>
      <c r="H11" cm="1">
        <f t="array" aca="1" ref="H11" ca="1">SUM(IF(ISNUMBER(SEARCH($B11,Songs!D:D)),Songs!G:G,0)) - SUM(IF(ISNUMBER(SEARCH($B11,Songs!D:D)),Songs!F:F,0))</f>
        <v>0</v>
      </c>
      <c r="I11">
        <f>_xlfn.MINIFS(Songs!J:J,Songs!$B:$B,Artists!$B11)</f>
        <v>6</v>
      </c>
      <c r="J11">
        <v>0</v>
      </c>
    </row>
    <row r="12" spans="1:11" ht="15.75" customHeight="1" x14ac:dyDescent="0.25">
      <c r="A12" s="10">
        <v>27</v>
      </c>
      <c r="B12" s="2" t="s">
        <v>98</v>
      </c>
      <c r="C12" cm="1">
        <f t="array" ref="C12">SUM(IF(ISNUMBER(SEARCH($B12,Songs!C:C)),1,0))+E12</f>
        <v>2</v>
      </c>
      <c r="D12" cm="1">
        <f t="array" aca="1" ref="D12" ca="1">SUM(IF(ISNUMBER(SEARCH($B12,Songs!C:C)),Songs!G:G,0))-SUM(IF(ISNUMBER(SEARCH($B12,Songs!C:C)),Songs!F:F,0))+F12</f>
        <v>18</v>
      </c>
      <c r="E12">
        <f>COUNTIF(Songs!$B:$B,Artists!$B12)</f>
        <v>1</v>
      </c>
      <c r="F12">
        <f ca="1">SUMIF(Songs!$B:$B,Artists!$B12,Songs!$G:$G)-SUMIF(Songs!$B:$B,Artists!$B12,Songs!$F:$F)</f>
        <v>17</v>
      </c>
      <c r="G12" cm="1">
        <f t="array" ref="G12">SUM(IF(ISNUMBER(SEARCH($B12,Songs!D:D)),1,0))</f>
        <v>0</v>
      </c>
      <c r="H12" cm="1">
        <f t="array" aca="1" ref="H12" ca="1">SUM(IF(ISNUMBER(SEARCH($B12,Songs!D:D)),Songs!G:G,0)) - SUM(IF(ISNUMBER(SEARCH($B12,Songs!D:D)),Songs!F:F,0))</f>
        <v>0</v>
      </c>
      <c r="I12">
        <f>_xlfn.MINIFS(Songs!J:J,Songs!$B:$B,Artists!$B12)</f>
        <v>8</v>
      </c>
      <c r="J12">
        <v>1</v>
      </c>
    </row>
    <row r="13" spans="1:11" ht="15.75" customHeight="1" x14ac:dyDescent="0.25">
      <c r="A13" s="10">
        <v>10</v>
      </c>
      <c r="B13" s="2" t="s">
        <v>75</v>
      </c>
      <c r="C13" cm="1">
        <f t="array" ref="C13">SUM(IF(ISNUMBER(SEARCH($B13,Songs!C:C)),1,0))+E13</f>
        <v>5</v>
      </c>
      <c r="D13" cm="1">
        <f t="array" aca="1" ref="D13" ca="1">SUM(IF(ISNUMBER(SEARCH($B13,Songs!C:C)),Songs!G:G,0))-SUM(IF(ISNUMBER(SEARCH($B13,Songs!C:C)),Songs!F:F,0))+F13</f>
        <v>17</v>
      </c>
      <c r="E13">
        <f>COUNTIF(Songs!$B:$B,Artists!$B13)</f>
        <v>5</v>
      </c>
      <c r="F13">
        <f ca="1">SUMIF(Songs!$B:$B,Artists!$B13,Songs!$G:$G)-SUMIF(Songs!$B:$B,Artists!$B13,Songs!$F:$F)</f>
        <v>17</v>
      </c>
      <c r="G13" cm="1">
        <f t="array" ref="G13">SUM(IF(ISNUMBER(SEARCH($B13,Songs!D:D)),1,0))</f>
        <v>1</v>
      </c>
      <c r="H13" cm="1">
        <f t="array" aca="1" ref="H13" ca="1">SUM(IF(ISNUMBER(SEARCH($B13,Songs!D:D)),Songs!G:G,0)) - SUM(IF(ISNUMBER(SEARCH($B13,Songs!D:D)),Songs!F:F,0))</f>
        <v>17</v>
      </c>
      <c r="I13">
        <f>_xlfn.MINIFS(Songs!J:J,Songs!$B:$B,Artists!$B13)</f>
        <v>17</v>
      </c>
      <c r="J13">
        <v>1</v>
      </c>
    </row>
    <row r="14" spans="1:11" ht="15.75" customHeight="1" x14ac:dyDescent="0.25">
      <c r="A14" s="10">
        <v>45</v>
      </c>
      <c r="B14" s="6" t="s">
        <v>143</v>
      </c>
      <c r="C14" cm="1">
        <f t="array" ref="C14">SUM(IF(ISNUMBER(SEARCH($B14,Songs!C:C)),1,0))+E14</f>
        <v>2</v>
      </c>
      <c r="D14" cm="1">
        <f t="array" aca="1" ref="D14" ca="1">SUM(IF(ISNUMBER(SEARCH($B14,Songs!C:C)),Songs!G:G,0))-SUM(IF(ISNUMBER(SEARCH($B14,Songs!C:C)),Songs!F:F,0))+F14</f>
        <v>17</v>
      </c>
      <c r="E14">
        <f>COUNTIF(Songs!$B:$B,Artists!$B14)</f>
        <v>2</v>
      </c>
      <c r="F14">
        <f ca="1">SUMIF(Songs!$B:$B,Artists!$B14,Songs!$G:$G)-SUMIF(Songs!$B:$B,Artists!$B14,Songs!$F:$F)</f>
        <v>17</v>
      </c>
      <c r="G14" cm="1">
        <f t="array" ref="G14">SUM(IF(ISNUMBER(SEARCH($B14,Songs!D:D)),1,0))</f>
        <v>0</v>
      </c>
      <c r="H14" cm="1">
        <f t="array" aca="1" ref="H14" ca="1">SUM(IF(ISNUMBER(SEARCH($B14,Songs!D:D)),Songs!G:G,0)) - SUM(IF(ISNUMBER(SEARCH($B14,Songs!D:D)),Songs!F:F,0))</f>
        <v>0</v>
      </c>
      <c r="I14">
        <f>_xlfn.MINIFS(Songs!J:J,Songs!$B:$B,Artists!$B14)</f>
        <v>11</v>
      </c>
      <c r="J14">
        <v>0</v>
      </c>
    </row>
    <row r="15" spans="1:11" ht="15.75" customHeight="1" x14ac:dyDescent="0.25">
      <c r="A15" s="10">
        <v>24</v>
      </c>
      <c r="B15" s="2" t="s">
        <v>82</v>
      </c>
      <c r="C15" cm="1">
        <f t="array" ref="C15">SUM(IF(ISNUMBER(SEARCH($B15,Songs!C:C)),1,0))+E15</f>
        <v>1</v>
      </c>
      <c r="D15" cm="1">
        <f t="array" aca="1" ref="D15" ca="1">SUM(IF(ISNUMBER(SEARCH($B15,Songs!C:C)),Songs!G:G,0))-SUM(IF(ISNUMBER(SEARCH($B15,Songs!C:C)),Songs!F:F,0))+F15</f>
        <v>17</v>
      </c>
      <c r="E15">
        <f>COUNTIF(Songs!$B:$B,Artists!$B15)</f>
        <v>1</v>
      </c>
      <c r="F15">
        <f ca="1">SUMIF(Songs!$B:$B,Artists!$B15,Songs!$G:$G)-SUMIF(Songs!$B:$B,Artists!$B15,Songs!$F:$F)</f>
        <v>17</v>
      </c>
      <c r="G15" cm="1">
        <f t="array" ref="G15">SUM(IF(ISNUMBER(SEARCH($B15,Songs!D:D)),1,0))</f>
        <v>0</v>
      </c>
      <c r="H15" cm="1">
        <f t="array" aca="1" ref="H15" ca="1">SUM(IF(ISNUMBER(SEARCH($B15,Songs!D:D)),Songs!G:G,0)) - SUM(IF(ISNUMBER(SEARCH($B15,Songs!D:D)),Songs!F:F,0))</f>
        <v>0</v>
      </c>
      <c r="I15">
        <f>_xlfn.MINIFS(Songs!J:J,Songs!$B:$B,Artists!$B15)</f>
        <v>7</v>
      </c>
      <c r="J15">
        <v>1</v>
      </c>
    </row>
    <row r="16" spans="1:11" ht="15.75" customHeight="1" x14ac:dyDescent="0.25">
      <c r="A16" s="10">
        <v>33</v>
      </c>
      <c r="B16" s="2" t="s">
        <v>111</v>
      </c>
      <c r="C16" cm="1">
        <f t="array" ref="C16">SUM(IF(ISNUMBER(SEARCH($B16,Songs!C:C)),1,0))+E16</f>
        <v>1</v>
      </c>
      <c r="D16" cm="1">
        <f t="array" aca="1" ref="D16" ca="1">SUM(IF(ISNUMBER(SEARCH($B16,Songs!C:C)),Songs!G:G,0))-SUM(IF(ISNUMBER(SEARCH($B16,Songs!C:C)),Songs!F:F,0))+F16</f>
        <v>17</v>
      </c>
      <c r="E16">
        <f>COUNTIF(Songs!$B:$B,Artists!$B16)</f>
        <v>1</v>
      </c>
      <c r="F16">
        <f ca="1">SUMIF(Songs!$B:$B,Artists!$B16,Songs!$G:$G)-SUMIF(Songs!$B:$B,Artists!$B16,Songs!$F:$F)</f>
        <v>17</v>
      </c>
      <c r="G16" cm="1">
        <f t="array" ref="G16">SUM(IF(ISNUMBER(SEARCH($B16,Songs!D:D)),1,0))</f>
        <v>0</v>
      </c>
      <c r="H16" cm="1">
        <f t="array" aca="1" ref="H16" ca="1">SUM(IF(ISNUMBER(SEARCH($B16,Songs!D:D)),Songs!G:G,0)) - SUM(IF(ISNUMBER(SEARCH($B16,Songs!D:D)),Songs!F:F,0))</f>
        <v>0</v>
      </c>
      <c r="I16">
        <f>_xlfn.MINIFS(Songs!J:J,Songs!$B:$B,Artists!$B16)</f>
        <v>9</v>
      </c>
      <c r="J16">
        <v>0</v>
      </c>
    </row>
    <row r="17" spans="1:10" ht="15.75" customHeight="1" x14ac:dyDescent="0.25">
      <c r="A17" s="10">
        <v>25</v>
      </c>
      <c r="B17" s="2" t="s">
        <v>103</v>
      </c>
      <c r="C17" cm="1">
        <f t="array" ref="C17">SUM(IF(ISNUMBER(SEARCH($B17,Songs!C:C)),1,0))+E17</f>
        <v>1</v>
      </c>
      <c r="D17" cm="1">
        <f t="array" aca="1" ref="D17" ca="1">SUM(IF(ISNUMBER(SEARCH($B17,Songs!C:C)),Songs!G:G,0))-SUM(IF(ISNUMBER(SEARCH($B17,Songs!C:C)),Songs!F:F,0))+F17</f>
        <v>17</v>
      </c>
      <c r="E17">
        <f>COUNTIF(Songs!$B:$B,Artists!$B17)</f>
        <v>1</v>
      </c>
      <c r="F17">
        <f ca="1">SUMIF(Songs!$B:$B,Artists!$B17,Songs!$G:$G)-SUMIF(Songs!$B:$B,Artists!$B17,Songs!$F:$F)</f>
        <v>17</v>
      </c>
      <c r="G17" cm="1">
        <f t="array" ref="G17">SUM(IF(ISNUMBER(SEARCH($B17,Songs!D:D)),1,0))</f>
        <v>0</v>
      </c>
      <c r="H17" cm="1">
        <f t="array" aca="1" ref="H17" ca="1">SUM(IF(ISNUMBER(SEARCH($B17,Songs!D:D)),Songs!G:G,0)) - SUM(IF(ISNUMBER(SEARCH($B17,Songs!D:D)),Songs!F:F,0))</f>
        <v>0</v>
      </c>
      <c r="I17">
        <f>_xlfn.MINIFS(Songs!J:J,Songs!$B:$B,Artists!$B17)</f>
        <v>13</v>
      </c>
      <c r="J17">
        <v>0</v>
      </c>
    </row>
    <row r="18" spans="1:10" ht="15.75" customHeight="1" x14ac:dyDescent="0.25">
      <c r="A18" s="10">
        <v>13</v>
      </c>
      <c r="B18" s="2" t="s">
        <v>101</v>
      </c>
      <c r="C18" cm="1">
        <f t="array" ref="C18">SUM(IF(ISNUMBER(SEARCH($B18,Songs!C:C)),1,0))+E18</f>
        <v>1</v>
      </c>
      <c r="D18" cm="1">
        <f t="array" aca="1" ref="D18" ca="1">SUM(IF(ISNUMBER(SEARCH($B18,Songs!C:C)),Songs!G:G,0))-SUM(IF(ISNUMBER(SEARCH($B18,Songs!C:C)),Songs!F:F,0))+F18</f>
        <v>17</v>
      </c>
      <c r="E18">
        <f>COUNTIF(Songs!$B:$B,Artists!$B18)</f>
        <v>1</v>
      </c>
      <c r="F18">
        <f ca="1">SUMIF(Songs!$B:$B,Artists!$B18,Songs!$G:$G)-SUMIF(Songs!$B:$B,Artists!$B18,Songs!$F:$F)</f>
        <v>17</v>
      </c>
      <c r="G18" cm="1">
        <f t="array" ref="G18">SUM(IF(ISNUMBER(SEARCH($B18,Songs!D:D)),1,0))</f>
        <v>0</v>
      </c>
      <c r="H18" cm="1">
        <f t="array" aca="1" ref="H18" ca="1">SUM(IF(ISNUMBER(SEARCH($B18,Songs!D:D)),Songs!G:G,0)) - SUM(IF(ISNUMBER(SEARCH($B18,Songs!D:D)),Songs!F:F,0))</f>
        <v>0</v>
      </c>
      <c r="I18">
        <f>_xlfn.MINIFS(Songs!J:J,Songs!$B:$B,Artists!$B18)</f>
        <v>16</v>
      </c>
      <c r="J18">
        <v>0</v>
      </c>
    </row>
    <row r="19" spans="1:10" ht="15.75" customHeight="1" x14ac:dyDescent="0.25">
      <c r="A19" s="10">
        <v>14</v>
      </c>
      <c r="B19" s="2" t="s">
        <v>92</v>
      </c>
      <c r="C19" cm="1">
        <f t="array" ref="C19">SUM(IF(ISNUMBER(SEARCH($B19,Songs!C:C)),1,0))+E19</f>
        <v>1</v>
      </c>
      <c r="D19" cm="1">
        <f t="array" aca="1" ref="D19" ca="1">SUM(IF(ISNUMBER(SEARCH($B19,Songs!C:C)),Songs!G:G,0))-SUM(IF(ISNUMBER(SEARCH($B19,Songs!C:C)),Songs!F:F,0))+F19</f>
        <v>17</v>
      </c>
      <c r="E19">
        <f>COUNTIF(Songs!$B:$B,Artists!$B19)</f>
        <v>1</v>
      </c>
      <c r="F19">
        <f ca="1">SUMIF(Songs!$B:$B,Artists!$B19,Songs!$G:$G)-SUMIF(Songs!$B:$B,Artists!$B19,Songs!$F:$F)</f>
        <v>17</v>
      </c>
      <c r="G19" cm="1">
        <f t="array" ref="G19">SUM(IF(ISNUMBER(SEARCH($B19,Songs!D:D)),1,0))</f>
        <v>0</v>
      </c>
      <c r="H19" cm="1">
        <f t="array" aca="1" ref="H19" ca="1">SUM(IF(ISNUMBER(SEARCH($B19,Songs!D:D)),Songs!G:G,0)) - SUM(IF(ISNUMBER(SEARCH($B19,Songs!D:D)),Songs!F:F,0))</f>
        <v>0</v>
      </c>
      <c r="I19">
        <f>_xlfn.MINIFS(Songs!J:J,Songs!$B:$B,Artists!$B19)</f>
        <v>19</v>
      </c>
      <c r="J19">
        <v>1</v>
      </c>
    </row>
    <row r="20" spans="1:10" ht="15.75" customHeight="1" x14ac:dyDescent="0.25">
      <c r="A20" s="10">
        <v>29</v>
      </c>
      <c r="B20" s="2" t="s">
        <v>115</v>
      </c>
      <c r="C20" cm="1">
        <f t="array" ref="C20">SUM(IF(ISNUMBER(SEARCH($B20,Songs!C:C)),1,0))+E20</f>
        <v>1</v>
      </c>
      <c r="D20" cm="1">
        <f t="array" aca="1" ref="D20" ca="1">SUM(IF(ISNUMBER(SEARCH($B20,Songs!C:C)),Songs!G:G,0))-SUM(IF(ISNUMBER(SEARCH($B20,Songs!C:C)),Songs!F:F,0))+F20</f>
        <v>17</v>
      </c>
      <c r="E20">
        <f>COUNTIF(Songs!$B:$B,Artists!$B20)</f>
        <v>1</v>
      </c>
      <c r="F20">
        <f ca="1">SUMIF(Songs!$B:$B,Artists!$B20,Songs!$G:$G)-SUMIF(Songs!$B:$B,Artists!$B20,Songs!$F:$F)</f>
        <v>17</v>
      </c>
      <c r="G20" cm="1">
        <f t="array" ref="G20">SUM(IF(ISNUMBER(SEARCH($B20,Songs!D:D)),1,0))</f>
        <v>0</v>
      </c>
      <c r="H20" cm="1">
        <f t="array" aca="1" ref="H20" ca="1">SUM(IF(ISNUMBER(SEARCH($B20,Songs!D:D)),Songs!G:G,0)) - SUM(IF(ISNUMBER(SEARCH($B20,Songs!D:D)),Songs!F:F,0))</f>
        <v>0</v>
      </c>
      <c r="I20">
        <f>_xlfn.MINIFS(Songs!J:J,Songs!$B:$B,Artists!$B20)</f>
        <v>20</v>
      </c>
      <c r="J20">
        <v>0</v>
      </c>
    </row>
    <row r="21" spans="1:10" ht="15.75" customHeight="1" x14ac:dyDescent="0.25">
      <c r="A21" s="10">
        <v>30</v>
      </c>
      <c r="B21" s="2" t="s">
        <v>93</v>
      </c>
      <c r="C21" cm="1">
        <f t="array" ref="C21">SUM(IF(ISNUMBER(SEARCH($B21,Songs!C:C)),1,0))+E21</f>
        <v>1</v>
      </c>
      <c r="D21" cm="1">
        <f t="array" aca="1" ref="D21" ca="1">SUM(IF(ISNUMBER(SEARCH($B21,Songs!C:C)),Songs!G:G,0))-SUM(IF(ISNUMBER(SEARCH($B21,Songs!C:C)),Songs!F:F,0))+F21</f>
        <v>17</v>
      </c>
      <c r="E21">
        <f>COUNTIF(Songs!$B:$B,Artists!$B21)</f>
        <v>1</v>
      </c>
      <c r="F21">
        <f ca="1">SUMIF(Songs!$B:$B,Artists!$B21,Songs!$G:$G)-SUMIF(Songs!$B:$B,Artists!$B21,Songs!$F:$F)</f>
        <v>17</v>
      </c>
      <c r="G21" cm="1">
        <f t="array" ref="G21">SUM(IF(ISNUMBER(SEARCH($B21,Songs!D:D)),1,0))</f>
        <v>0</v>
      </c>
      <c r="H21" cm="1">
        <f t="array" aca="1" ref="H21" ca="1">SUM(IF(ISNUMBER(SEARCH($B21,Songs!D:D)),Songs!G:G,0)) - SUM(IF(ISNUMBER(SEARCH($B21,Songs!D:D)),Songs!F:F,0))</f>
        <v>0</v>
      </c>
      <c r="I21">
        <f>_xlfn.MINIFS(Songs!J:J,Songs!$B:$B,Artists!$B21)</f>
        <v>21</v>
      </c>
      <c r="J21">
        <v>0</v>
      </c>
    </row>
    <row r="22" spans="1:10" ht="15.75" customHeight="1" x14ac:dyDescent="0.25">
      <c r="A22" s="10">
        <v>12</v>
      </c>
      <c r="B22" s="2" t="s">
        <v>112</v>
      </c>
      <c r="C22" cm="1">
        <f t="array" ref="C22">SUM(IF(ISNUMBER(SEARCH($B22,Songs!C:C)),1,0))+E22</f>
        <v>1</v>
      </c>
      <c r="D22" cm="1">
        <f t="array" aca="1" ref="D22" ca="1">SUM(IF(ISNUMBER(SEARCH($B22,Songs!C:C)),Songs!G:G,0))-SUM(IF(ISNUMBER(SEARCH($B22,Songs!C:C)),Songs!F:F,0))+F22</f>
        <v>17</v>
      </c>
      <c r="E22">
        <f>COUNTIF(Songs!$B:$B,Artists!$B22)</f>
        <v>1</v>
      </c>
      <c r="F22">
        <f ca="1">SUMIF(Songs!$B:$B,Artists!$B22,Songs!$G:$G)-SUMIF(Songs!$B:$B,Artists!$B22,Songs!$F:$F)</f>
        <v>17</v>
      </c>
      <c r="G22" cm="1">
        <f t="array" ref="G22">SUM(IF(ISNUMBER(SEARCH($B22,Songs!D:D)),1,0))</f>
        <v>0</v>
      </c>
      <c r="H22" cm="1">
        <f t="array" aca="1" ref="H22" ca="1">SUM(IF(ISNUMBER(SEARCH($B22,Songs!D:D)),Songs!G:G,0)) - SUM(IF(ISNUMBER(SEARCH($B22,Songs!D:D)),Songs!F:F,0))</f>
        <v>0</v>
      </c>
      <c r="I22">
        <f>_xlfn.MINIFS(Songs!J:J,Songs!$B:$B,Artists!$B22)</f>
        <v>24</v>
      </c>
      <c r="J22">
        <v>1</v>
      </c>
    </row>
    <row r="23" spans="1:10" ht="15.75" customHeight="1" x14ac:dyDescent="0.25">
      <c r="A23" s="10">
        <v>23</v>
      </c>
      <c r="B23" s="2" t="s">
        <v>117</v>
      </c>
      <c r="C23" cm="1">
        <f t="array" ref="C23">SUM(IF(ISNUMBER(SEARCH($B23,Songs!C:C)),1,0))+E23</f>
        <v>1</v>
      </c>
      <c r="D23" cm="1">
        <f t="array" aca="1" ref="D23" ca="1">SUM(IF(ISNUMBER(SEARCH($B23,Songs!C:C)),Songs!G:G,0))-SUM(IF(ISNUMBER(SEARCH($B23,Songs!C:C)),Songs!F:F,0))+F23</f>
        <v>17</v>
      </c>
      <c r="E23">
        <f>COUNTIF(Songs!$B:$B,Artists!$B23)</f>
        <v>1</v>
      </c>
      <c r="F23">
        <f ca="1">SUMIF(Songs!$B:$B,Artists!$B23,Songs!$G:$G)-SUMIF(Songs!$B:$B,Artists!$B23,Songs!$F:$F)</f>
        <v>17</v>
      </c>
      <c r="G23" cm="1">
        <f t="array" ref="G23">SUM(IF(ISNUMBER(SEARCH($B23,Songs!D:D)),1,0))</f>
        <v>0</v>
      </c>
      <c r="H23" cm="1">
        <f t="array" aca="1" ref="H23" ca="1">SUM(IF(ISNUMBER(SEARCH($B23,Songs!D:D)),Songs!G:G,0)) - SUM(IF(ISNUMBER(SEARCH($B23,Songs!D:D)),Songs!F:F,0))</f>
        <v>0</v>
      </c>
      <c r="I23">
        <f>_xlfn.MINIFS(Songs!J:J,Songs!$B:$B,Artists!$B23)</f>
        <v>26</v>
      </c>
      <c r="J23">
        <v>0</v>
      </c>
    </row>
    <row r="24" spans="1:10" ht="15.75" customHeight="1" x14ac:dyDescent="0.25">
      <c r="A24" s="10">
        <v>43</v>
      </c>
      <c r="B24" s="6" t="s">
        <v>142</v>
      </c>
      <c r="C24" cm="1">
        <f t="array" ref="C24">SUM(IF(ISNUMBER(SEARCH($B24,Songs!C:C)),1,0))+E24</f>
        <v>2</v>
      </c>
      <c r="D24" cm="1">
        <f t="array" aca="1" ref="D24" ca="1">SUM(IF(ISNUMBER(SEARCH($B24,Songs!C:C)),Songs!G:G,0))-SUM(IF(ISNUMBER(SEARCH($B24,Songs!C:C)),Songs!F:F,0))+F24</f>
        <v>16</v>
      </c>
      <c r="E24">
        <f>COUNTIF(Songs!$B:$B,Artists!$B24)</f>
        <v>2</v>
      </c>
      <c r="F24">
        <f ca="1">SUMIF(Songs!$B:$B,Artists!$B24,Songs!$G:$G)-SUMIF(Songs!$B:$B,Artists!$B24,Songs!$F:$F)</f>
        <v>16</v>
      </c>
      <c r="G24" cm="1">
        <f t="array" ref="G24">SUM(IF(ISNUMBER(SEARCH($B24,Songs!D:D)),1,0))</f>
        <v>0</v>
      </c>
      <c r="H24" cm="1">
        <f t="array" aca="1" ref="H24" ca="1">SUM(IF(ISNUMBER(SEARCH($B24,Songs!D:D)),Songs!G:G,0)) - SUM(IF(ISNUMBER(SEARCH($B24,Songs!D:D)),Songs!F:F,0))</f>
        <v>0</v>
      </c>
      <c r="I24">
        <f>_xlfn.MINIFS(Songs!J:J,Songs!$B:$B,Artists!$B24)</f>
        <v>6</v>
      </c>
      <c r="J24">
        <v>0</v>
      </c>
    </row>
    <row r="25" spans="1:10" ht="15.75" customHeight="1" x14ac:dyDescent="0.25">
      <c r="A25" s="10">
        <v>32</v>
      </c>
      <c r="B25" s="2" t="s">
        <v>100</v>
      </c>
      <c r="C25" cm="1">
        <f t="array" ref="C25">SUM(IF(ISNUMBER(SEARCH($B25,Songs!C:C)),1,0))+E25</f>
        <v>1</v>
      </c>
      <c r="D25" cm="1">
        <f t="array" aca="1" ref="D25" ca="1">SUM(IF(ISNUMBER(SEARCH($B25,Songs!C:C)),Songs!G:G,0))-SUM(IF(ISNUMBER(SEARCH($B25,Songs!C:C)),Songs!F:F,0))+F25</f>
        <v>16</v>
      </c>
      <c r="E25">
        <f>COUNTIF(Songs!$B:$B,Artists!$B25)</f>
        <v>1</v>
      </c>
      <c r="F25">
        <f ca="1">SUMIF(Songs!$B:$B,Artists!$B25,Songs!$G:$G)-SUMIF(Songs!$B:$B,Artists!$B25,Songs!$F:$F)</f>
        <v>16</v>
      </c>
      <c r="G25" cm="1">
        <f t="array" ref="G25">SUM(IF(ISNUMBER(SEARCH($B25,Songs!D:D)),1,0))</f>
        <v>0</v>
      </c>
      <c r="H25" cm="1">
        <f t="array" aca="1" ref="H25" ca="1">SUM(IF(ISNUMBER(SEARCH($B25,Songs!D:D)),Songs!G:G,0)) - SUM(IF(ISNUMBER(SEARCH($B25,Songs!D:D)),Songs!F:F,0))</f>
        <v>0</v>
      </c>
      <c r="I25">
        <f>_xlfn.MINIFS(Songs!J:J,Songs!$B:$B,Artists!$B25)</f>
        <v>27</v>
      </c>
      <c r="J25">
        <v>0</v>
      </c>
    </row>
    <row r="26" spans="1:10" ht="15.75" customHeight="1" x14ac:dyDescent="0.25">
      <c r="A26" s="10">
        <v>15</v>
      </c>
      <c r="B26" s="2" t="s">
        <v>114</v>
      </c>
      <c r="C26" cm="1">
        <f t="array" ref="C26">SUM(IF(ISNUMBER(SEARCH($B26,Songs!C:C)),1,0))+E26</f>
        <v>1</v>
      </c>
      <c r="D26" cm="1">
        <f t="array" aca="1" ref="D26" ca="1">SUM(IF(ISNUMBER(SEARCH($B26,Songs!C:C)),Songs!G:G,0))-SUM(IF(ISNUMBER(SEARCH($B26,Songs!C:C)),Songs!F:F,0))+F26</f>
        <v>16</v>
      </c>
      <c r="E26">
        <f>COUNTIF(Songs!$B:$B,Artists!$B26)</f>
        <v>1</v>
      </c>
      <c r="F26">
        <f ca="1">SUMIF(Songs!$B:$B,Artists!$B26,Songs!$G:$G)-SUMIF(Songs!$B:$B,Artists!$B26,Songs!$F:$F)</f>
        <v>16</v>
      </c>
      <c r="G26" cm="1">
        <f t="array" ref="G26">SUM(IF(ISNUMBER(SEARCH($B26,Songs!D:D)),1,0))</f>
        <v>0</v>
      </c>
      <c r="H26" cm="1">
        <f t="array" aca="1" ref="H26" ca="1">SUM(IF(ISNUMBER(SEARCH($B26,Songs!D:D)),Songs!G:G,0)) - SUM(IF(ISNUMBER(SEARCH($B26,Songs!D:D)),Songs!F:F,0))</f>
        <v>0</v>
      </c>
      <c r="I26">
        <f>_xlfn.MINIFS(Songs!J:J,Songs!$B:$B,Artists!$B26)</f>
        <v>29</v>
      </c>
      <c r="J26">
        <v>0</v>
      </c>
    </row>
    <row r="27" spans="1:10" ht="15.75" customHeight="1" x14ac:dyDescent="0.25">
      <c r="A27" s="10">
        <v>22</v>
      </c>
      <c r="B27" s="2" t="s">
        <v>105</v>
      </c>
      <c r="C27" cm="1">
        <f t="array" ref="C27">SUM(IF(ISNUMBER(SEARCH($B27,Songs!C:C)),1,0))+E27</f>
        <v>1</v>
      </c>
      <c r="D27" cm="1">
        <f t="array" aca="1" ref="D27" ca="1">SUM(IF(ISNUMBER(SEARCH($B27,Songs!C:C)),Songs!G:G,0))-SUM(IF(ISNUMBER(SEARCH($B27,Songs!C:C)),Songs!F:F,0))+F27</f>
        <v>16</v>
      </c>
      <c r="E27">
        <f>COUNTIF(Songs!$B:$B,Artists!$B27)</f>
        <v>1</v>
      </c>
      <c r="F27">
        <f ca="1">SUMIF(Songs!$B:$B,Artists!$B27,Songs!$G:$G)-SUMIF(Songs!$B:$B,Artists!$B27,Songs!$F:$F)</f>
        <v>16</v>
      </c>
      <c r="G27" cm="1">
        <f t="array" ref="G27">SUM(IF(ISNUMBER(SEARCH($B27,Songs!D:D)),1,0))</f>
        <v>0</v>
      </c>
      <c r="H27" cm="1">
        <f t="array" aca="1" ref="H27" ca="1">SUM(IF(ISNUMBER(SEARCH($B27,Songs!D:D)),Songs!G:G,0)) - SUM(IF(ISNUMBER(SEARCH($B27,Songs!D:D)),Songs!F:F,0))</f>
        <v>0</v>
      </c>
      <c r="I27">
        <f>_xlfn.MINIFS(Songs!J:J,Songs!$B:$B,Artists!$B27)</f>
        <v>31</v>
      </c>
      <c r="J27">
        <v>0</v>
      </c>
    </row>
    <row r="28" spans="1:10" ht="15.75" customHeight="1" x14ac:dyDescent="0.25">
      <c r="A28" s="10">
        <v>35</v>
      </c>
      <c r="B28" s="2" t="s">
        <v>108</v>
      </c>
      <c r="C28" cm="1">
        <f t="array" ref="C28">SUM(IF(ISNUMBER(SEARCH($B28,Songs!C:C)),1,0))+E28</f>
        <v>1</v>
      </c>
      <c r="D28" cm="1">
        <f t="array" aca="1" ref="D28" ca="1">SUM(IF(ISNUMBER(SEARCH($B28,Songs!C:C)),Songs!G:G,0))-SUM(IF(ISNUMBER(SEARCH($B28,Songs!C:C)),Songs!F:F,0))+F28</f>
        <v>14</v>
      </c>
      <c r="E28">
        <f>COUNTIF(Songs!$B:$B,Artists!$B28)</f>
        <v>1</v>
      </c>
      <c r="F28">
        <f ca="1">SUMIF(Songs!$B:$B,Artists!$B28,Songs!$G:$G)-SUMIF(Songs!$B:$B,Artists!$B28,Songs!$F:$F)</f>
        <v>14</v>
      </c>
      <c r="G28" cm="1">
        <f t="array" ref="G28">SUM(IF(ISNUMBER(SEARCH($B28,Songs!D:D)),1,0))</f>
        <v>0</v>
      </c>
      <c r="H28" cm="1">
        <f t="array" aca="1" ref="H28" ca="1">SUM(IF(ISNUMBER(SEARCH($B28,Songs!D:D)),Songs!G:G,0)) - SUM(IF(ISNUMBER(SEARCH($B28,Songs!D:D)),Songs!F:F,0))</f>
        <v>0</v>
      </c>
      <c r="I28">
        <f>_xlfn.MINIFS(Songs!J:J,Songs!$B:$B,Artists!$B28)</f>
        <v>14</v>
      </c>
      <c r="J28">
        <v>0</v>
      </c>
    </row>
    <row r="29" spans="1:10" ht="15.75" customHeight="1" x14ac:dyDescent="0.25">
      <c r="A29" s="10">
        <v>18</v>
      </c>
      <c r="B29" s="2" t="s">
        <v>96</v>
      </c>
      <c r="C29" cm="1">
        <f t="array" ref="C29">SUM(IF(ISNUMBER(SEARCH($B29,Songs!C:C)),1,0))+E29</f>
        <v>1</v>
      </c>
      <c r="D29" cm="1">
        <f t="array" aca="1" ref="D29" ca="1">SUM(IF(ISNUMBER(SEARCH($B29,Songs!C:C)),Songs!G:G,0))-SUM(IF(ISNUMBER(SEARCH($B29,Songs!C:C)),Songs!F:F,0))+F29</f>
        <v>14</v>
      </c>
      <c r="E29">
        <f>COUNTIF(Songs!$B:$B,Artists!$B29)</f>
        <v>1</v>
      </c>
      <c r="F29">
        <f ca="1">SUMIF(Songs!$B:$B,Artists!$B29,Songs!$G:$G)-SUMIF(Songs!$B:$B,Artists!$B29,Songs!$F:$F)</f>
        <v>14</v>
      </c>
      <c r="G29" cm="1">
        <f t="array" ref="G29">SUM(IF(ISNUMBER(SEARCH($B29,Songs!D:D)),1,0))</f>
        <v>0</v>
      </c>
      <c r="H29" cm="1">
        <f t="array" aca="1" ref="H29" ca="1">SUM(IF(ISNUMBER(SEARCH($B29,Songs!D:D)),Songs!G:G,0)) - SUM(IF(ISNUMBER(SEARCH($B29,Songs!D:D)),Songs!F:F,0))</f>
        <v>0</v>
      </c>
      <c r="I29">
        <f>_xlfn.MINIFS(Songs!J:J,Songs!$B:$B,Artists!$B29)</f>
        <v>19</v>
      </c>
      <c r="J29">
        <v>0</v>
      </c>
    </row>
    <row r="30" spans="1:10" ht="15.75" customHeight="1" x14ac:dyDescent="0.25">
      <c r="A30" s="10">
        <v>19</v>
      </c>
      <c r="B30" s="2" t="s">
        <v>110</v>
      </c>
      <c r="C30" cm="1">
        <f t="array" ref="C30">SUM(IF(ISNUMBER(SEARCH($B30,Songs!C:C)),1,0))+E30</f>
        <v>1</v>
      </c>
      <c r="D30" cm="1">
        <f t="array" aca="1" ref="D30" ca="1">SUM(IF(ISNUMBER(SEARCH($B30,Songs!C:C)),Songs!G:G,0))-SUM(IF(ISNUMBER(SEARCH($B30,Songs!C:C)),Songs!F:F,0))+F30</f>
        <v>14</v>
      </c>
      <c r="E30">
        <f>COUNTIF(Songs!$B:$B,Artists!$B30)</f>
        <v>1</v>
      </c>
      <c r="F30">
        <f ca="1">SUMIF(Songs!$B:$B,Artists!$B30,Songs!$G:$G)-SUMIF(Songs!$B:$B,Artists!$B30,Songs!$F:$F)</f>
        <v>14</v>
      </c>
      <c r="G30" cm="1">
        <f t="array" ref="G30">SUM(IF(ISNUMBER(SEARCH($B30,Songs!D:D)),1,0))</f>
        <v>0</v>
      </c>
      <c r="H30" cm="1">
        <f t="array" aca="1" ref="H30" ca="1">SUM(IF(ISNUMBER(SEARCH($B30,Songs!D:D)),Songs!G:G,0)) - SUM(IF(ISNUMBER(SEARCH($B30,Songs!D:D)),Songs!F:F,0))</f>
        <v>0</v>
      </c>
      <c r="I30">
        <f>_xlfn.MINIFS(Songs!J:J,Songs!$B:$B,Artists!$B30)</f>
        <v>36</v>
      </c>
      <c r="J30">
        <v>0</v>
      </c>
    </row>
    <row r="31" spans="1:10" ht="15.75" customHeight="1" x14ac:dyDescent="0.25">
      <c r="A31" s="10">
        <v>34</v>
      </c>
      <c r="B31" s="2" t="s">
        <v>81</v>
      </c>
      <c r="C31" cm="1">
        <f t="array" ref="C31">SUM(IF(ISNUMBER(SEARCH($B31,Songs!C:C)),1,0))+E31</f>
        <v>2</v>
      </c>
      <c r="D31" cm="1">
        <f t="array" aca="1" ref="D31" ca="1">SUM(IF(ISNUMBER(SEARCH($B31,Songs!C:C)),Songs!G:G,0))-SUM(IF(ISNUMBER(SEARCH($B31,Songs!C:C)),Songs!F:F,0))+F31</f>
        <v>13</v>
      </c>
      <c r="E31">
        <f>COUNTIF(Songs!$B:$B,Artists!$B31)</f>
        <v>2</v>
      </c>
      <c r="F31">
        <f ca="1">SUMIF(Songs!$B:$B,Artists!$B31,Songs!$G:$G)-SUMIF(Songs!$B:$B,Artists!$B31,Songs!$F:$F)</f>
        <v>13</v>
      </c>
      <c r="G31" cm="1">
        <f t="array" ref="G31">SUM(IF(ISNUMBER(SEARCH($B31,Songs!D:D)),1,0))</f>
        <v>0</v>
      </c>
      <c r="H31" cm="1">
        <f t="array" aca="1" ref="H31" ca="1">SUM(IF(ISNUMBER(SEARCH($B31,Songs!D:D)),Songs!G:G,0)) - SUM(IF(ISNUMBER(SEARCH($B31,Songs!D:D)),Songs!F:F,0))</f>
        <v>0</v>
      </c>
      <c r="I31">
        <f>_xlfn.MINIFS(Songs!J:J,Songs!$B:$B,Artists!$B31)</f>
        <v>5</v>
      </c>
      <c r="J31">
        <v>0</v>
      </c>
    </row>
    <row r="32" spans="1:10" ht="15.75" customHeight="1" x14ac:dyDescent="0.25">
      <c r="A32" s="10">
        <v>28</v>
      </c>
      <c r="B32" s="2" t="s">
        <v>85</v>
      </c>
      <c r="C32" cm="1">
        <f t="array" ref="C32">SUM(IF(ISNUMBER(SEARCH($B32,Songs!C:C)),1,0))+E32</f>
        <v>1</v>
      </c>
      <c r="D32" cm="1">
        <f t="array" aca="1" ref="D32" ca="1">SUM(IF(ISNUMBER(SEARCH($B32,Songs!C:C)),Songs!G:G,0))-SUM(IF(ISNUMBER(SEARCH($B32,Songs!C:C)),Songs!F:F,0))+F32</f>
        <v>13</v>
      </c>
      <c r="E32">
        <f>COUNTIF(Songs!$B:$B,Artists!$B32)</f>
        <v>1</v>
      </c>
      <c r="F32">
        <f ca="1">SUMIF(Songs!$B:$B,Artists!$B32,Songs!$G:$G)-SUMIF(Songs!$B:$B,Artists!$B32,Songs!$F:$F)</f>
        <v>13</v>
      </c>
      <c r="G32" cm="1">
        <f t="array" ref="G32">SUM(IF(ISNUMBER(SEARCH($B32,Songs!D:D)),1,0))</f>
        <v>0</v>
      </c>
      <c r="H32" cm="1">
        <f t="array" aca="1" ref="H32" ca="1">SUM(IF(ISNUMBER(SEARCH($B32,Songs!D:D)),Songs!G:G,0)) - SUM(IF(ISNUMBER(SEARCH($B32,Songs!D:D)),Songs!F:F,0))</f>
        <v>0</v>
      </c>
      <c r="I32">
        <f>_xlfn.MINIFS(Songs!J:J,Songs!$B:$B,Artists!$B32)</f>
        <v>7</v>
      </c>
      <c r="J32">
        <v>0</v>
      </c>
    </row>
    <row r="33" spans="1:10" ht="15.75" customHeight="1" x14ac:dyDescent="0.25">
      <c r="A33" s="10">
        <v>26</v>
      </c>
      <c r="B33" s="2" t="s">
        <v>89</v>
      </c>
      <c r="C33" cm="1">
        <f t="array" ref="C33">SUM(IF(ISNUMBER(SEARCH($B33,Songs!C:C)),1,0))+E33</f>
        <v>3</v>
      </c>
      <c r="D33" cm="1">
        <f t="array" aca="1" ref="D33" ca="1">SUM(IF(ISNUMBER(SEARCH($B33,Songs!C:C)),Songs!G:G,0))-SUM(IF(ISNUMBER(SEARCH($B33,Songs!C:C)),Songs!F:F,0))+F33</f>
        <v>12</v>
      </c>
      <c r="E33">
        <f>COUNTIF(Songs!$B:$B,Artists!$B33)</f>
        <v>1</v>
      </c>
      <c r="F33">
        <f ca="1">SUMIF(Songs!$B:$B,Artists!$B33,Songs!$G:$G)-SUMIF(Songs!$B:$B,Artists!$B33,Songs!$F:$F)</f>
        <v>10</v>
      </c>
      <c r="G33" cm="1">
        <f t="array" ref="G33">SUM(IF(ISNUMBER(SEARCH($B33,Songs!D:D)),1,0))</f>
        <v>0</v>
      </c>
      <c r="H33" cm="1">
        <f t="array" aca="1" ref="H33" ca="1">SUM(IF(ISNUMBER(SEARCH($B33,Songs!D:D)),Songs!G:G,0)) - SUM(IF(ISNUMBER(SEARCH($B33,Songs!D:D)),Songs!F:F,0))</f>
        <v>0</v>
      </c>
      <c r="I33">
        <f>_xlfn.MINIFS(Songs!J:J,Songs!$B:$B,Artists!$B33)</f>
        <v>13</v>
      </c>
      <c r="J33">
        <v>0</v>
      </c>
    </row>
    <row r="34" spans="1:10" ht="15.75" customHeight="1" x14ac:dyDescent="0.25">
      <c r="A34" s="10">
        <v>42</v>
      </c>
      <c r="B34" s="6" t="s">
        <v>130</v>
      </c>
      <c r="C34" cm="1">
        <f t="array" ref="C34">SUM(IF(ISNUMBER(SEARCH($B34,Songs!C:C)),1,0))+E34</f>
        <v>1</v>
      </c>
      <c r="D34" cm="1">
        <f t="array" aca="1" ref="D34" ca="1">SUM(IF(ISNUMBER(SEARCH($B34,Songs!C:C)),Songs!G:G,0))-SUM(IF(ISNUMBER(SEARCH($B34,Songs!C:C)),Songs!F:F,0))+F34</f>
        <v>12</v>
      </c>
      <c r="E34">
        <f>COUNTIF(Songs!$B:$B,Artists!$B34)</f>
        <v>1</v>
      </c>
      <c r="F34">
        <f ca="1">SUMIF(Songs!$B:$B,Artists!$B34,Songs!$G:$G)-SUMIF(Songs!$B:$B,Artists!$B34,Songs!$F:$F)</f>
        <v>12</v>
      </c>
      <c r="G34" cm="1">
        <f t="array" ref="G34">SUM(IF(ISNUMBER(SEARCH($B34,Songs!D:D)),1,0))</f>
        <v>0</v>
      </c>
      <c r="H34" cm="1">
        <f t="array" aca="1" ref="H34" ca="1">SUM(IF(ISNUMBER(SEARCH($B34,Songs!D:D)),Songs!G:G,0)) - SUM(IF(ISNUMBER(SEARCH($B34,Songs!D:D)),Songs!F:F,0))</f>
        <v>0</v>
      </c>
      <c r="I34">
        <f>_xlfn.MINIFS(Songs!J:J,Songs!$B:$B,Artists!$B34)</f>
        <v>19</v>
      </c>
      <c r="J34">
        <v>0</v>
      </c>
    </row>
    <row r="35" spans="1:10" ht="15.75" customHeight="1" x14ac:dyDescent="0.25">
      <c r="A35" s="10">
        <v>21</v>
      </c>
      <c r="B35" s="2" t="s">
        <v>83</v>
      </c>
      <c r="C35" cm="1">
        <f t="array" ref="C35">SUM(IF(ISNUMBER(SEARCH($B35,Songs!C:C)),1,0))+E35</f>
        <v>1</v>
      </c>
      <c r="D35" cm="1">
        <f t="array" aca="1" ref="D35" ca="1">SUM(IF(ISNUMBER(SEARCH($B35,Songs!C:C)),Songs!G:G,0))-SUM(IF(ISNUMBER(SEARCH($B35,Songs!C:C)),Songs!F:F,0))+F35</f>
        <v>11</v>
      </c>
      <c r="E35">
        <f>COUNTIF(Songs!$B:$B,Artists!$B35)</f>
        <v>1</v>
      </c>
      <c r="F35">
        <f ca="1">SUMIF(Songs!$B:$B,Artists!$B35,Songs!$G:$G)-SUMIF(Songs!$B:$B,Artists!$B35,Songs!$F:$F)</f>
        <v>11</v>
      </c>
      <c r="G35" cm="1">
        <f t="array" ref="G35">SUM(IF(ISNUMBER(SEARCH($B35,Songs!D:D)),1,0))</f>
        <v>0</v>
      </c>
      <c r="H35" cm="1">
        <f t="array" aca="1" ref="H35" ca="1">SUM(IF(ISNUMBER(SEARCH($B35,Songs!D:D)),Songs!G:G,0)) - SUM(IF(ISNUMBER(SEARCH($B35,Songs!D:D)),Songs!F:F,0))</f>
        <v>0</v>
      </c>
      <c r="I35">
        <f>_xlfn.MINIFS(Songs!J:J,Songs!$B:$B,Artists!$B35)</f>
        <v>6</v>
      </c>
      <c r="J35">
        <v>0</v>
      </c>
    </row>
    <row r="36" spans="1:10" ht="15.75" customHeight="1" x14ac:dyDescent="0.25">
      <c r="A36" s="10">
        <v>16</v>
      </c>
      <c r="B36" s="2" t="s">
        <v>91</v>
      </c>
      <c r="C36" cm="1">
        <f t="array" ref="C36">SUM(IF(ISNUMBER(SEARCH($B36,Songs!C:C)),1,0))+E36</f>
        <v>1</v>
      </c>
      <c r="D36" cm="1">
        <f t="array" aca="1" ref="D36" ca="1">SUM(IF(ISNUMBER(SEARCH($B36,Songs!C:C)),Songs!G:G,0))-SUM(IF(ISNUMBER(SEARCH($B36,Songs!C:C)),Songs!F:F,0))+F36</f>
        <v>11</v>
      </c>
      <c r="E36">
        <f>COUNTIF(Songs!$B:$B,Artists!$B36)</f>
        <v>1</v>
      </c>
      <c r="F36">
        <f ca="1">SUMIF(Songs!$B:$B,Artists!$B36,Songs!$G:$G)-SUMIF(Songs!$B:$B,Artists!$B36,Songs!$F:$F)</f>
        <v>11</v>
      </c>
      <c r="G36" cm="1">
        <f t="array" ref="G36">SUM(IF(ISNUMBER(SEARCH($B36,Songs!D:D)),1,0))</f>
        <v>0</v>
      </c>
      <c r="H36" cm="1">
        <f t="array" aca="1" ref="H36" ca="1">SUM(IF(ISNUMBER(SEARCH($B36,Songs!D:D)),Songs!G:G,0)) - SUM(IF(ISNUMBER(SEARCH($B36,Songs!D:D)),Songs!F:F,0))</f>
        <v>0</v>
      </c>
      <c r="I36">
        <f>_xlfn.MINIFS(Songs!J:J,Songs!$B:$B,Artists!$B36)</f>
        <v>8</v>
      </c>
      <c r="J36">
        <v>0</v>
      </c>
    </row>
    <row r="37" spans="1:10" ht="15.75" customHeight="1" x14ac:dyDescent="0.25">
      <c r="A37" s="10">
        <v>31</v>
      </c>
      <c r="B37" s="2" t="s">
        <v>95</v>
      </c>
      <c r="C37" cm="1">
        <f t="array" ref="C37">SUM(IF(ISNUMBER(SEARCH($B37,Songs!C:C)),1,0))+E37</f>
        <v>1</v>
      </c>
      <c r="D37" cm="1">
        <f t="array" aca="1" ref="D37" ca="1">SUM(IF(ISNUMBER(SEARCH($B37,Songs!C:C)),Songs!G:G,0))-SUM(IF(ISNUMBER(SEARCH($B37,Songs!C:C)),Songs!F:F,0))+F37</f>
        <v>11</v>
      </c>
      <c r="E37">
        <f>COUNTIF(Songs!$B:$B,Artists!$B37)</f>
        <v>1</v>
      </c>
      <c r="F37">
        <f ca="1">SUMIF(Songs!$B:$B,Artists!$B37,Songs!$G:$G)-SUMIF(Songs!$B:$B,Artists!$B37,Songs!$F:$F)</f>
        <v>11</v>
      </c>
      <c r="G37" cm="1">
        <f t="array" ref="G37">SUM(IF(ISNUMBER(SEARCH($B37,Songs!D:D)),1,0))</f>
        <v>0</v>
      </c>
      <c r="H37" cm="1">
        <f t="array" aca="1" ref="H37" ca="1">SUM(IF(ISNUMBER(SEARCH($B37,Songs!D:D)),Songs!G:G,0)) - SUM(IF(ISNUMBER(SEARCH($B37,Songs!D:D)),Songs!F:F,0))</f>
        <v>0</v>
      </c>
      <c r="I37">
        <f>_xlfn.MINIFS(Songs!J:J,Songs!$B:$B,Artists!$B37)</f>
        <v>14</v>
      </c>
      <c r="J37">
        <v>0</v>
      </c>
    </row>
    <row r="38" spans="1:10" ht="15.75" customHeight="1" x14ac:dyDescent="0.25">
      <c r="A38" s="10">
        <v>47</v>
      </c>
      <c r="B38" s="6" t="s">
        <v>149</v>
      </c>
      <c r="C38" cm="1">
        <f t="array" ref="C38">SUM(IF(ISNUMBER(SEARCH($B38,Songs!C:C)),1,0))+E38</f>
        <v>1</v>
      </c>
      <c r="D38" cm="1">
        <f t="array" aca="1" ref="D38" ca="1">SUM(IF(ISNUMBER(SEARCH($B38,Songs!C:C)),Songs!G:G,0))-SUM(IF(ISNUMBER(SEARCH($B38,Songs!C:C)),Songs!F:F,0))+F38</f>
        <v>10</v>
      </c>
      <c r="E38">
        <f>COUNTIF(Songs!$B:$B,Artists!$B38)</f>
        <v>1</v>
      </c>
      <c r="F38">
        <f ca="1">SUMIF(Songs!$B:$B,Artists!$B38,Songs!$G:$G)-SUMIF(Songs!$B:$B,Artists!$B38,Songs!$F:$F)</f>
        <v>10</v>
      </c>
      <c r="G38" cm="1">
        <f t="array" ref="G38">SUM(IF(ISNUMBER(SEARCH($B38,Songs!D:D)),1,0))</f>
        <v>0</v>
      </c>
      <c r="H38" cm="1">
        <f t="array" aca="1" ref="H38" ca="1">SUM(IF(ISNUMBER(SEARCH($B38,Songs!D:D)),Songs!G:G,0)) - SUM(IF(ISNUMBER(SEARCH($B38,Songs!D:D)),Songs!F:F,0))</f>
        <v>0</v>
      </c>
      <c r="I38">
        <f>_xlfn.MINIFS(Songs!J:J,Songs!$B:$B,Artists!$B38)</f>
        <v>3</v>
      </c>
      <c r="J38">
        <v>1</v>
      </c>
    </row>
    <row r="39" spans="1:10" ht="15.75" customHeight="1" x14ac:dyDescent="0.25">
      <c r="A39" s="10">
        <v>17</v>
      </c>
      <c r="B39" s="2" t="s">
        <v>102</v>
      </c>
      <c r="C39" cm="1">
        <f t="array" ref="C39">SUM(IF(ISNUMBER(SEARCH($B39,Songs!C:C)),1,0))+E39</f>
        <v>1</v>
      </c>
      <c r="D39" cm="1">
        <f t="array" aca="1" ref="D39" ca="1">SUM(IF(ISNUMBER(SEARCH($B39,Songs!C:C)),Songs!G:G,0))-SUM(IF(ISNUMBER(SEARCH($B39,Songs!C:C)),Songs!F:F,0))+F39</f>
        <v>10</v>
      </c>
      <c r="E39">
        <f>COUNTIF(Songs!$B:$B,Artists!$B39)</f>
        <v>1</v>
      </c>
      <c r="F39">
        <f ca="1">SUMIF(Songs!$B:$B,Artists!$B39,Songs!$G:$G)-SUMIF(Songs!$B:$B,Artists!$B39,Songs!$F:$F)</f>
        <v>10</v>
      </c>
      <c r="G39" cm="1">
        <f t="array" ref="G39">SUM(IF(ISNUMBER(SEARCH($B39,Songs!D:D)),1,0))</f>
        <v>0</v>
      </c>
      <c r="H39" cm="1">
        <f t="array" aca="1" ref="H39" ca="1">SUM(IF(ISNUMBER(SEARCH($B39,Songs!D:D)),Songs!G:G,0)) - SUM(IF(ISNUMBER(SEARCH($B39,Songs!D:D)),Songs!F:F,0))</f>
        <v>0</v>
      </c>
      <c r="I39">
        <f>_xlfn.MINIFS(Songs!J:J,Songs!$B:$B,Artists!$B39)</f>
        <v>22</v>
      </c>
      <c r="J39">
        <v>0</v>
      </c>
    </row>
    <row r="40" spans="1:10" ht="15.75" customHeight="1" x14ac:dyDescent="0.25">
      <c r="A40" s="10">
        <v>38</v>
      </c>
      <c r="B40" s="2" t="s">
        <v>118</v>
      </c>
      <c r="C40" cm="1">
        <f t="array" ref="C40">SUM(IF(ISNUMBER(SEARCH($B40,Songs!C:C)),1,0))+E40</f>
        <v>1</v>
      </c>
      <c r="D40" cm="1">
        <f t="array" aca="1" ref="D40" ca="1">SUM(IF(ISNUMBER(SEARCH($B40,Songs!C:C)),Songs!G:G,0))-SUM(IF(ISNUMBER(SEARCH($B40,Songs!C:C)),Songs!F:F,0))+F40</f>
        <v>10</v>
      </c>
      <c r="E40">
        <f>COUNTIF(Songs!$B:$B,Artists!$B40)</f>
        <v>1</v>
      </c>
      <c r="F40">
        <f ca="1">SUMIF(Songs!$B:$B,Artists!$B40,Songs!$G:$G)-SUMIF(Songs!$B:$B,Artists!$B40,Songs!$F:$F)</f>
        <v>10</v>
      </c>
      <c r="G40" cm="1">
        <f t="array" ref="G40">SUM(IF(ISNUMBER(SEARCH($B40,Songs!D:D)),1,0))</f>
        <v>0</v>
      </c>
      <c r="H40" cm="1">
        <f t="array" aca="1" ref="H40" ca="1">SUM(IF(ISNUMBER(SEARCH($B40,Songs!D:D)),Songs!G:G,0)) - SUM(IF(ISNUMBER(SEARCH($B40,Songs!D:D)),Songs!F:F,0))</f>
        <v>0</v>
      </c>
      <c r="I40">
        <f>_xlfn.MINIFS(Songs!J:J,Songs!$B:$B,Artists!$B40)</f>
        <v>43</v>
      </c>
      <c r="J40">
        <v>0</v>
      </c>
    </row>
    <row r="41" spans="1:10" ht="15.75" customHeight="1" x14ac:dyDescent="0.25">
      <c r="A41" s="10">
        <v>40</v>
      </c>
      <c r="B41" s="2" t="s">
        <v>86</v>
      </c>
      <c r="C41" cm="1">
        <f t="array" ref="C41">SUM(IF(ISNUMBER(SEARCH($B41,Songs!C:C)),1,0))+E41</f>
        <v>2</v>
      </c>
      <c r="D41" cm="1">
        <f t="array" aca="1" ref="D41" ca="1">SUM(IF(ISNUMBER(SEARCH($B41,Songs!C:C)),Songs!G:G,0))-SUM(IF(ISNUMBER(SEARCH($B41,Songs!C:C)),Songs!F:F,0))+F41</f>
        <v>9</v>
      </c>
      <c r="E41">
        <f>COUNTIF(Songs!$B:$B,Artists!$B41)</f>
        <v>2</v>
      </c>
      <c r="F41">
        <f ca="1">SUMIF(Songs!$B:$B,Artists!$B41,Songs!$G:$G)-SUMIF(Songs!$B:$B,Artists!$B41,Songs!$F:$F)</f>
        <v>9</v>
      </c>
      <c r="G41" cm="1">
        <f t="array" ref="G41">SUM(IF(ISNUMBER(SEARCH($B41,Songs!D:D)),1,0))</f>
        <v>0</v>
      </c>
      <c r="H41" cm="1">
        <f t="array" aca="1" ref="H41" ca="1">SUM(IF(ISNUMBER(SEARCH($B41,Songs!D:D)),Songs!G:G,0)) - SUM(IF(ISNUMBER(SEARCH($B41,Songs!D:D)),Songs!F:F,0))</f>
        <v>0</v>
      </c>
      <c r="I41">
        <f>_xlfn.MINIFS(Songs!J:J,Songs!$B:$B,Artists!$B41)</f>
        <v>15</v>
      </c>
      <c r="J41">
        <v>0</v>
      </c>
    </row>
    <row r="42" spans="1:10" ht="15.75" customHeight="1" x14ac:dyDescent="0.25">
      <c r="A42" s="10">
        <v>57</v>
      </c>
      <c r="B42" s="6" t="s">
        <v>157</v>
      </c>
      <c r="C42" cm="1">
        <f t="array" ref="C42">SUM(IF(ISNUMBER(SEARCH($B42,Songs!C:C)),1,0))+E42</f>
        <v>1</v>
      </c>
      <c r="D42" cm="1">
        <f t="array" aca="1" ref="D42" ca="1">SUM(IF(ISNUMBER(SEARCH($B42,Songs!C:C)),Songs!G:G,0))-SUM(IF(ISNUMBER(SEARCH($B42,Songs!C:C)),Songs!F:F,0))+F42</f>
        <v>9</v>
      </c>
      <c r="E42">
        <f>COUNTIF(Songs!$B:$B,Artists!$B42)</f>
        <v>1</v>
      </c>
      <c r="F42">
        <f ca="1">SUMIF(Songs!$B:$B,Artists!$B42,Songs!$G:$G)-SUMIF(Songs!$B:$B,Artists!$B42,Songs!$F:$F)</f>
        <v>9</v>
      </c>
      <c r="G42" cm="1">
        <f t="array" ref="G42">SUM(IF(ISNUMBER(SEARCH($B42,Songs!D:D)),1,0))</f>
        <v>0</v>
      </c>
      <c r="H42" cm="1">
        <f t="array" aca="1" ref="H42" ca="1">SUM(IF(ISNUMBER(SEARCH($B42,Songs!D:D)),Songs!G:G,0)) - SUM(IF(ISNUMBER(SEARCH($B42,Songs!D:D)),Songs!F:F,0))</f>
        <v>0</v>
      </c>
      <c r="I42">
        <f>_xlfn.MINIFS(Songs!J:J,Songs!$B:$B,Artists!$B42)</f>
        <v>22</v>
      </c>
      <c r="J42">
        <v>0</v>
      </c>
    </row>
    <row r="43" spans="1:10" ht="15.75" customHeight="1" x14ac:dyDescent="0.25">
      <c r="B43" s="6" t="s">
        <v>164</v>
      </c>
      <c r="C43" cm="1">
        <f t="array" ref="C43">SUM(IF(ISNUMBER(SEARCH($B43,Songs!C:C)),1,0))+E43</f>
        <v>5</v>
      </c>
      <c r="D43" cm="1">
        <f t="array" aca="1" ref="D43" ca="1">SUM(IF(ISNUMBER(SEARCH($B43,Songs!C:C)),Songs!G:G,0))-SUM(IF(ISNUMBER(SEARCH($B43,Songs!C:C)),Songs!F:F,0))+F43</f>
        <v>8</v>
      </c>
      <c r="E43">
        <f>COUNTIF(Songs!$B:$B,Artists!$B43)</f>
        <v>5</v>
      </c>
      <c r="F43">
        <f ca="1">SUMIF(Songs!$B:$B,Artists!$B43,Songs!$G:$G)-SUMIF(Songs!$B:$B,Artists!$B43,Songs!$F:$F)</f>
        <v>8</v>
      </c>
      <c r="G43" cm="1">
        <f t="array" ref="G43">SUM(IF(ISNUMBER(SEARCH($B43,Songs!D:D)),1,0))</f>
        <v>0</v>
      </c>
      <c r="H43" cm="1">
        <f t="array" aca="1" ref="H43" ca="1">SUM(IF(ISNUMBER(SEARCH($B43,Songs!D:D)),Songs!G:G,0)) - SUM(IF(ISNUMBER(SEARCH($B43,Songs!D:D)),Songs!F:F,0))</f>
        <v>0</v>
      </c>
      <c r="I43">
        <f>_xlfn.MINIFS(Songs!J:J,Songs!$B:$B,Artists!$B43)</f>
        <v>12</v>
      </c>
      <c r="J43">
        <v>0</v>
      </c>
    </row>
    <row r="44" spans="1:10" ht="15.75" customHeight="1" x14ac:dyDescent="0.25">
      <c r="B44" s="6" t="s">
        <v>222</v>
      </c>
      <c r="C44" cm="1">
        <f t="array" ref="C44">SUM(IF(ISNUMBER(SEARCH($B44,Songs!C:C)),1,0))+E44</f>
        <v>3</v>
      </c>
      <c r="D44" cm="1">
        <f t="array" aca="1" ref="D44" ca="1">SUM(IF(ISNUMBER(SEARCH($B44,Songs!C:C)),Songs!G:G,0))-SUM(IF(ISNUMBER(SEARCH($B44,Songs!C:C)),Songs!F:F,0))+F44</f>
        <v>8</v>
      </c>
      <c r="E44">
        <f>COUNTIF(Songs!$B:$B,Artists!$B44)</f>
        <v>2</v>
      </c>
      <c r="F44">
        <f ca="1">SUMIF(Songs!$B:$B,Artists!$B44,Songs!$G:$G)-SUMIF(Songs!$B:$B,Artists!$B44,Songs!$F:$F)</f>
        <v>3</v>
      </c>
      <c r="G44" cm="1">
        <f t="array" ref="G44">SUM(IF(ISNUMBER(SEARCH($B44,Songs!D:D)),1,0))</f>
        <v>0</v>
      </c>
      <c r="H44" cm="1">
        <f t="array" aca="1" ref="H44" ca="1">SUM(IF(ISNUMBER(SEARCH($B44,Songs!D:D)),Songs!G:G,0)) - SUM(IF(ISNUMBER(SEARCH($B44,Songs!D:D)),Songs!F:F,0))</f>
        <v>0</v>
      </c>
      <c r="I44">
        <f>_xlfn.MINIFS(Songs!J:J,Songs!$B:$B,Artists!$B44)</f>
        <v>45</v>
      </c>
      <c r="J44">
        <v>0</v>
      </c>
    </row>
    <row r="45" spans="1:10" ht="15.75" customHeight="1" x14ac:dyDescent="0.25">
      <c r="A45" s="10">
        <v>48</v>
      </c>
      <c r="B45" s="6" t="s">
        <v>131</v>
      </c>
      <c r="C45" cm="1">
        <f t="array" ref="C45">SUM(IF(ISNUMBER(SEARCH($B45,Songs!C:C)),1,0))+E45</f>
        <v>1</v>
      </c>
      <c r="D45" cm="1">
        <f t="array" aca="1" ref="D45" ca="1">SUM(IF(ISNUMBER(SEARCH($B45,Songs!C:C)),Songs!G:G,0))-SUM(IF(ISNUMBER(SEARCH($B45,Songs!C:C)),Songs!F:F,0))+F45</f>
        <v>8</v>
      </c>
      <c r="E45">
        <f>COUNTIF(Songs!$B:$B,Artists!$B45)</f>
        <v>1</v>
      </c>
      <c r="F45">
        <f ca="1">SUMIF(Songs!$B:$B,Artists!$B45,Songs!$G:$G)-SUMIF(Songs!$B:$B,Artists!$B45,Songs!$F:$F)</f>
        <v>8</v>
      </c>
      <c r="G45" cm="1">
        <f t="array" ref="G45">SUM(IF(ISNUMBER(SEARCH($B45,Songs!D:D)),1,0))</f>
        <v>0</v>
      </c>
      <c r="H45" cm="1">
        <f t="array" aca="1" ref="H45" ca="1">SUM(IF(ISNUMBER(SEARCH($B45,Songs!D:D)),Songs!G:G,0)) - SUM(IF(ISNUMBER(SEARCH($B45,Songs!D:D)),Songs!F:F,0))</f>
        <v>0</v>
      </c>
      <c r="I45">
        <f>_xlfn.MINIFS(Songs!J:J,Songs!$B:$B,Artists!$B45)</f>
        <v>36</v>
      </c>
      <c r="J45">
        <v>0</v>
      </c>
    </row>
    <row r="46" spans="1:10" ht="15.75" customHeight="1" x14ac:dyDescent="0.25">
      <c r="A46" s="10">
        <v>36</v>
      </c>
      <c r="B46" s="2" t="s">
        <v>107</v>
      </c>
      <c r="C46" cm="1">
        <f t="array" ref="C46">SUM(IF(ISNUMBER(SEARCH($B46,Songs!C:C)),1,0))+E46</f>
        <v>1</v>
      </c>
      <c r="D46" cm="1">
        <f t="array" aca="1" ref="D46" ca="1">SUM(IF(ISNUMBER(SEARCH($B46,Songs!C:C)),Songs!G:G,0))-SUM(IF(ISNUMBER(SEARCH($B46,Songs!C:C)),Songs!F:F,0))+F46</f>
        <v>7</v>
      </c>
      <c r="E46">
        <f>COUNTIF(Songs!$B:$B,Artists!$B46)</f>
        <v>1</v>
      </c>
      <c r="F46">
        <f ca="1">SUMIF(Songs!$B:$B,Artists!$B46,Songs!$G:$G)-SUMIF(Songs!$B:$B,Artists!$B46,Songs!$F:$F)</f>
        <v>7</v>
      </c>
      <c r="G46" cm="1">
        <f t="array" ref="G46">SUM(IF(ISNUMBER(SEARCH($B46,Songs!D:D)),1,0))</f>
        <v>0</v>
      </c>
      <c r="H46" cm="1">
        <f t="array" aca="1" ref="H46" ca="1">SUM(IF(ISNUMBER(SEARCH($B46,Songs!D:D)),Songs!G:G,0)) - SUM(IF(ISNUMBER(SEARCH($B46,Songs!D:D)),Songs!F:F,0))</f>
        <v>0</v>
      </c>
      <c r="I46">
        <f>_xlfn.MINIFS(Songs!J:J,Songs!$B:$B,Artists!$B46)</f>
        <v>35</v>
      </c>
      <c r="J46">
        <v>1</v>
      </c>
    </row>
    <row r="47" spans="1:10" ht="15.75" customHeight="1" x14ac:dyDescent="0.25">
      <c r="A47" s="10">
        <v>37</v>
      </c>
      <c r="B47" s="2" t="s">
        <v>97</v>
      </c>
      <c r="C47" cm="1">
        <f t="array" ref="C47">SUM(IF(ISNUMBER(SEARCH($B47,Songs!C:C)),1,0))+E47</f>
        <v>1</v>
      </c>
      <c r="D47" cm="1">
        <f t="array" aca="1" ref="D47" ca="1">SUM(IF(ISNUMBER(SEARCH($B47,Songs!C:C)),Songs!G:G,0))-SUM(IF(ISNUMBER(SEARCH($B47,Songs!C:C)),Songs!F:F,0))+F47</f>
        <v>7</v>
      </c>
      <c r="E47">
        <f>COUNTIF(Songs!$B:$B,Artists!$B47)</f>
        <v>1</v>
      </c>
      <c r="F47">
        <f ca="1">SUMIF(Songs!$B:$B,Artists!$B47,Songs!$G:$G)-SUMIF(Songs!$B:$B,Artists!$B47,Songs!$F:$F)</f>
        <v>7</v>
      </c>
      <c r="G47" cm="1">
        <f t="array" ref="G47">SUM(IF(ISNUMBER(SEARCH($B47,Songs!D:D)),1,0))</f>
        <v>0</v>
      </c>
      <c r="H47" cm="1">
        <f t="array" aca="1" ref="H47" ca="1">SUM(IF(ISNUMBER(SEARCH($B47,Songs!D:D)),Songs!G:G,0)) - SUM(IF(ISNUMBER(SEARCH($B47,Songs!D:D)),Songs!F:F,0))</f>
        <v>0</v>
      </c>
      <c r="I47">
        <f>_xlfn.MINIFS(Songs!J:J,Songs!$B:$B,Artists!$B47)</f>
        <v>26</v>
      </c>
      <c r="J47">
        <v>0</v>
      </c>
    </row>
    <row r="48" spans="1:10" ht="15.75" customHeight="1" x14ac:dyDescent="0.25">
      <c r="A48" s="10">
        <v>39</v>
      </c>
      <c r="B48" s="2" t="s">
        <v>109</v>
      </c>
      <c r="C48" cm="1">
        <f t="array" ref="C48">SUM(IF(ISNUMBER(SEARCH($B48,Songs!C:C)),1,0))+E48</f>
        <v>1</v>
      </c>
      <c r="D48" cm="1">
        <f t="array" aca="1" ref="D48" ca="1">SUM(IF(ISNUMBER(SEARCH($B48,Songs!C:C)),Songs!G:G,0))-SUM(IF(ISNUMBER(SEARCH($B48,Songs!C:C)),Songs!F:F,0))+F48</f>
        <v>6</v>
      </c>
      <c r="E48">
        <f>COUNTIF(Songs!$B:$B,Artists!$B48)</f>
        <v>1</v>
      </c>
      <c r="F48">
        <f ca="1">SUMIF(Songs!$B:$B,Artists!$B48,Songs!$G:$G)-SUMIF(Songs!$B:$B,Artists!$B48,Songs!$F:$F)</f>
        <v>6</v>
      </c>
      <c r="G48" cm="1">
        <f t="array" ref="G48">SUM(IF(ISNUMBER(SEARCH($B48,Songs!D:D)),1,0))</f>
        <v>0</v>
      </c>
      <c r="H48" cm="1">
        <f t="array" aca="1" ref="H48" ca="1">SUM(IF(ISNUMBER(SEARCH($B48,Songs!D:D)),Songs!G:G,0)) - SUM(IF(ISNUMBER(SEARCH($B48,Songs!D:D)),Songs!F:F,0))</f>
        <v>0</v>
      </c>
      <c r="I48">
        <f>_xlfn.MINIFS(Songs!J:J,Songs!$B:$B,Artists!$B48)</f>
        <v>36</v>
      </c>
      <c r="J48">
        <v>0</v>
      </c>
    </row>
    <row r="49" spans="1:10" ht="15.75" customHeight="1" x14ac:dyDescent="0.25">
      <c r="B49" s="6" t="s">
        <v>182</v>
      </c>
      <c r="C49" cm="1">
        <f t="array" ref="C49">SUM(IF(ISNUMBER(SEARCH($B49,Songs!C:C)),1,0))+E49</f>
        <v>1</v>
      </c>
      <c r="D49" cm="1">
        <f t="array" aca="1" ref="D49" ca="1">SUM(IF(ISNUMBER(SEARCH($B49,Songs!C:C)),Songs!G:G,0))-SUM(IF(ISNUMBER(SEARCH($B49,Songs!C:C)),Songs!F:F,0))+F49</f>
        <v>6</v>
      </c>
      <c r="E49">
        <f>COUNTIF(Songs!$B:$B,Artists!$B49)</f>
        <v>1</v>
      </c>
      <c r="F49">
        <f ca="1">SUMIF(Songs!$B:$B,Artists!$B49,Songs!$G:$G)-SUMIF(Songs!$B:$B,Artists!$B49,Songs!$F:$F)</f>
        <v>6</v>
      </c>
      <c r="G49" cm="1">
        <f t="array" ref="G49">SUM(IF(ISNUMBER(SEARCH($B49,Songs!D:D)),1,0))</f>
        <v>0</v>
      </c>
      <c r="H49" cm="1">
        <f t="array" aca="1" ref="H49" ca="1">SUM(IF(ISNUMBER(SEARCH($B49,Songs!D:D)),Songs!G:G,0)) - SUM(IF(ISNUMBER(SEARCH($B49,Songs!D:D)),Songs!F:F,0))</f>
        <v>0</v>
      </c>
      <c r="I49">
        <f>_xlfn.MINIFS(Songs!J:J,Songs!$B:$B,Artists!$B49)</f>
        <v>30</v>
      </c>
      <c r="J49">
        <v>0</v>
      </c>
    </row>
    <row r="50" spans="1:10" ht="15.75" customHeight="1" x14ac:dyDescent="0.25">
      <c r="B50" s="6" t="s">
        <v>221</v>
      </c>
      <c r="C50" cm="1">
        <f t="array" ref="C50">SUM(IF(ISNUMBER(SEARCH($B50,Songs!C:C)),1,0))+E50</f>
        <v>1</v>
      </c>
      <c r="D50" cm="1">
        <f t="array" aca="1" ref="D50" ca="1">SUM(IF(ISNUMBER(SEARCH($B50,Songs!C:C)),Songs!G:G,0))-SUM(IF(ISNUMBER(SEARCH($B50,Songs!C:C)),Songs!F:F,0))+F50</f>
        <v>6</v>
      </c>
      <c r="E50">
        <f>COUNTIF(Songs!$B:$B,Artists!$B50)</f>
        <v>0</v>
      </c>
      <c r="F50">
        <f>SUMIF(Songs!$B:$B,Artists!$B50,Songs!$G:$G)-SUMIF(Songs!$B:$B,Artists!$B50,Songs!$F:$F)</f>
        <v>0</v>
      </c>
      <c r="G50" cm="1">
        <f t="array" ref="G50">SUM(IF(ISNUMBER(SEARCH($B50,Songs!D:D)),1,0))</f>
        <v>0</v>
      </c>
      <c r="H50" cm="1">
        <f t="array" aca="1" ref="H50" ca="1">SUM(IF(ISNUMBER(SEARCH($B50,Songs!D:D)),Songs!G:G,0)) - SUM(IF(ISNUMBER(SEARCH($B50,Songs!D:D)),Songs!F:F,0))</f>
        <v>0</v>
      </c>
      <c r="I50">
        <f>_xlfn.MINIFS(Songs!J:J,Songs!$B:$B,Artists!$B50)</f>
        <v>0</v>
      </c>
      <c r="J50">
        <v>1</v>
      </c>
    </row>
    <row r="51" spans="1:10" ht="15.75" customHeight="1" x14ac:dyDescent="0.25">
      <c r="B51" s="6" t="s">
        <v>228</v>
      </c>
      <c r="C51" cm="1">
        <f t="array" ref="C51">SUM(IF(ISNUMBER(SEARCH($B51,Songs!C:C)),1,0))+E51</f>
        <v>1</v>
      </c>
      <c r="D51" cm="1">
        <f t="array" aca="1" ref="D51" ca="1">SUM(IF(ISNUMBER(SEARCH($B51,Songs!C:C)),Songs!G:G,0))-SUM(IF(ISNUMBER(SEARCH($B51,Songs!C:C)),Songs!F:F,0))+F51</f>
        <v>5</v>
      </c>
      <c r="E51">
        <f>COUNTIF(Songs!$B:$B,Artists!$B51)</f>
        <v>0</v>
      </c>
      <c r="F51">
        <f>SUMIF(Songs!$B:$B,Artists!$B51,Songs!$G:$G)-SUMIF(Songs!$B:$B,Artists!$B51,Songs!$F:$F)</f>
        <v>0</v>
      </c>
      <c r="G51" cm="1">
        <f t="array" ref="G51">SUM(IF(ISNUMBER(SEARCH($B51,Songs!D:D)),1,0))</f>
        <v>0</v>
      </c>
      <c r="H51" cm="1">
        <f t="array" aca="1" ref="H51" ca="1">SUM(IF(ISNUMBER(SEARCH($B51,Songs!D:D)),Songs!G:G,0)) - SUM(IF(ISNUMBER(SEARCH($B51,Songs!D:D)),Songs!F:F,0))</f>
        <v>0</v>
      </c>
      <c r="I51">
        <f>_xlfn.MINIFS(Songs!J:J,Songs!$B:$B,Artists!$B51)</f>
        <v>0</v>
      </c>
      <c r="J51">
        <v>1</v>
      </c>
    </row>
    <row r="52" spans="1:10" ht="15.75" customHeight="1" x14ac:dyDescent="0.25">
      <c r="B52" s="6" t="s">
        <v>223</v>
      </c>
      <c r="C52" cm="1">
        <f t="array" ref="C52">SUM(IF(ISNUMBER(SEARCH($B52,Songs!C:C)),1,0))+E52</f>
        <v>1</v>
      </c>
      <c r="D52" cm="1">
        <f t="array" aca="1" ref="D52" ca="1">SUM(IF(ISNUMBER(SEARCH($B52,Songs!C:C)),Songs!G:G,0))-SUM(IF(ISNUMBER(SEARCH($B52,Songs!C:C)),Songs!F:F,0))+F52</f>
        <v>5</v>
      </c>
      <c r="E52">
        <f>COUNTIF(Songs!$B:$B,Artists!$B52)</f>
        <v>0</v>
      </c>
      <c r="F52">
        <f>SUMIF(Songs!$B:$B,Artists!$B52,Songs!$G:$G)-SUMIF(Songs!$B:$B,Artists!$B52,Songs!$F:$F)</f>
        <v>0</v>
      </c>
      <c r="G52" cm="1">
        <f t="array" ref="G52">SUM(IF(ISNUMBER(SEARCH($B52,Songs!D:D)),1,0))</f>
        <v>0</v>
      </c>
      <c r="H52" cm="1">
        <f t="array" aca="1" ref="H52" ca="1">SUM(IF(ISNUMBER(SEARCH($B52,Songs!D:D)),Songs!G:G,0)) - SUM(IF(ISNUMBER(SEARCH($B52,Songs!D:D)),Songs!F:F,0))</f>
        <v>0</v>
      </c>
      <c r="I52">
        <f>_xlfn.MINIFS(Songs!J:J,Songs!$B:$B,Artists!$B52)</f>
        <v>0</v>
      </c>
      <c r="J52">
        <v>1</v>
      </c>
    </row>
    <row r="53" spans="1:10" ht="15.75" customHeight="1" x14ac:dyDescent="0.25">
      <c r="B53" s="6" t="s">
        <v>224</v>
      </c>
      <c r="C53" cm="1">
        <f t="array" ref="C53">SUM(IF(ISNUMBER(SEARCH($B53,Songs!C:C)),1,0))+E53</f>
        <v>1</v>
      </c>
      <c r="D53" cm="1">
        <f t="array" aca="1" ref="D53" ca="1">SUM(IF(ISNUMBER(SEARCH($B53,Songs!C:C)),Songs!G:G,0))-SUM(IF(ISNUMBER(SEARCH($B53,Songs!C:C)),Songs!F:F,0))+F53</f>
        <v>5</v>
      </c>
      <c r="E53">
        <f>COUNTIF(Songs!$B:$B,Artists!$B53)</f>
        <v>0</v>
      </c>
      <c r="F53">
        <f>SUMIF(Songs!$B:$B,Artists!$B53,Songs!$G:$G)-SUMIF(Songs!$B:$B,Artists!$B53,Songs!$F:$F)</f>
        <v>0</v>
      </c>
      <c r="G53" cm="1">
        <f t="array" ref="G53">SUM(IF(ISNUMBER(SEARCH($B53,Songs!D:D)),1,0))</f>
        <v>0</v>
      </c>
      <c r="H53" cm="1">
        <f t="array" aca="1" ref="H53" ca="1">SUM(IF(ISNUMBER(SEARCH($B53,Songs!D:D)),Songs!G:G,0)) - SUM(IF(ISNUMBER(SEARCH($B53,Songs!D:D)),Songs!F:F,0))</f>
        <v>0</v>
      </c>
      <c r="I53">
        <f>_xlfn.MINIFS(Songs!J:J,Songs!$B:$B,Artists!$B53)</f>
        <v>0</v>
      </c>
      <c r="J53">
        <v>1</v>
      </c>
    </row>
    <row r="54" spans="1:10" ht="15.75" customHeight="1" x14ac:dyDescent="0.25">
      <c r="B54" s="6" t="s">
        <v>225</v>
      </c>
      <c r="C54" cm="1">
        <f t="array" ref="C54">SUM(IF(ISNUMBER(SEARCH($B54,Songs!C:C)),1,0))+E54</f>
        <v>1</v>
      </c>
      <c r="D54" cm="1">
        <f t="array" aca="1" ref="D54" ca="1">SUM(IF(ISNUMBER(SEARCH($B54,Songs!C:C)),Songs!G:G,0))-SUM(IF(ISNUMBER(SEARCH($B54,Songs!C:C)),Songs!F:F,0))+F54</f>
        <v>5</v>
      </c>
      <c r="E54">
        <f>COUNTIF(Songs!$B:$B,Artists!$B54)</f>
        <v>0</v>
      </c>
      <c r="F54">
        <f>SUMIF(Songs!$B:$B,Artists!$B54,Songs!$G:$G)-SUMIF(Songs!$B:$B,Artists!$B54,Songs!$F:$F)</f>
        <v>0</v>
      </c>
      <c r="G54" cm="1">
        <f t="array" ref="G54">SUM(IF(ISNUMBER(SEARCH($B54,Songs!D:D)),1,0))</f>
        <v>0</v>
      </c>
      <c r="H54" cm="1">
        <f t="array" aca="1" ref="H54" ca="1">SUM(IF(ISNUMBER(SEARCH($B54,Songs!D:D)),Songs!G:G,0)) - SUM(IF(ISNUMBER(SEARCH($B54,Songs!D:D)),Songs!F:F,0))</f>
        <v>0</v>
      </c>
      <c r="I54">
        <f>_xlfn.MINIFS(Songs!J:J,Songs!$B:$B,Artists!$B54)</f>
        <v>0</v>
      </c>
      <c r="J54">
        <v>1</v>
      </c>
    </row>
    <row r="55" spans="1:10" ht="15.75" customHeight="1" x14ac:dyDescent="0.25">
      <c r="B55" s="6" t="s">
        <v>226</v>
      </c>
      <c r="C55" cm="1">
        <f t="array" ref="C55">SUM(IF(ISNUMBER(SEARCH($B55,Songs!C:C)),1,0))+E55</f>
        <v>1</v>
      </c>
      <c r="D55" cm="1">
        <f t="array" aca="1" ref="D55" ca="1">SUM(IF(ISNUMBER(SEARCH($B55,Songs!C:C)),Songs!G:G,0))-SUM(IF(ISNUMBER(SEARCH($B55,Songs!C:C)),Songs!F:F,0))+F55</f>
        <v>5</v>
      </c>
      <c r="E55">
        <f>COUNTIF(Songs!$B:$B,Artists!$B55)</f>
        <v>0</v>
      </c>
      <c r="F55">
        <f>SUMIF(Songs!$B:$B,Artists!$B55,Songs!$G:$G)-SUMIF(Songs!$B:$B,Artists!$B55,Songs!$F:$F)</f>
        <v>0</v>
      </c>
      <c r="G55" cm="1">
        <f t="array" ref="G55">SUM(IF(ISNUMBER(SEARCH($B55,Songs!D:D)),1,0))</f>
        <v>0</v>
      </c>
      <c r="H55" cm="1">
        <f t="array" aca="1" ref="H55" ca="1">SUM(IF(ISNUMBER(SEARCH($B55,Songs!D:D)),Songs!G:G,0)) - SUM(IF(ISNUMBER(SEARCH($B55,Songs!D:D)),Songs!F:F,0))</f>
        <v>0</v>
      </c>
      <c r="I55">
        <f>_xlfn.MINIFS(Songs!J:J,Songs!$B:$B,Artists!$B55)</f>
        <v>0</v>
      </c>
      <c r="J55">
        <v>1</v>
      </c>
    </row>
    <row r="56" spans="1:10" ht="15.75" customHeight="1" x14ac:dyDescent="0.25">
      <c r="B56" s="2" t="s">
        <v>219</v>
      </c>
      <c r="C56" cm="1">
        <f t="array" ref="C56">SUM(IF(ISNUMBER(SEARCH($B56,Songs!C:C)),1,0))+E56</f>
        <v>1</v>
      </c>
      <c r="D56" cm="1">
        <f t="array" aca="1" ref="D56" ca="1">SUM(IF(ISNUMBER(SEARCH($B56,Songs!C:C)),Songs!G:G,0))-SUM(IF(ISNUMBER(SEARCH($B56,Songs!C:C)),Songs!F:F,0))+F56</f>
        <v>4</v>
      </c>
      <c r="E56">
        <f>COUNTIF(Songs!$B:$B,Artists!$B56)</f>
        <v>1</v>
      </c>
      <c r="F56">
        <f ca="1">SUMIF(Songs!$B:$B,Artists!$B56,Songs!$G:$G)-SUMIF(Songs!$B:$B,Artists!$B56,Songs!$F:$F)</f>
        <v>4</v>
      </c>
      <c r="G56" cm="1">
        <f t="array" ref="G56">SUM(IF(ISNUMBER(SEARCH($B56,Songs!D:D)),1,0))</f>
        <v>1</v>
      </c>
      <c r="H56" cm="1">
        <f t="array" aca="1" ref="H56" ca="1">SUM(IF(ISNUMBER(SEARCH($B56,Songs!D:D)),Songs!G:G,0)) - SUM(IF(ISNUMBER(SEARCH($B56,Songs!D:D)),Songs!F:F,0))</f>
        <v>5</v>
      </c>
      <c r="I56">
        <f>_xlfn.MINIFS(Songs!J:J,Songs!$B:$B,Artists!$B56)</f>
        <v>37</v>
      </c>
      <c r="J56">
        <v>0</v>
      </c>
    </row>
    <row r="57" spans="1:10" ht="15.75" customHeight="1" x14ac:dyDescent="0.25">
      <c r="B57" s="2" t="s">
        <v>234</v>
      </c>
      <c r="C57" cm="1">
        <f t="array" ref="C57">SUM(IF(ISNUMBER(SEARCH($B57,Songs!C:C)),1,0))+E57</f>
        <v>1</v>
      </c>
      <c r="D57" cm="1">
        <f t="array" aca="1" ref="D57" ca="1">SUM(IF(ISNUMBER(SEARCH($B57,Songs!C:C)),Songs!G:G,0))-SUM(IF(ISNUMBER(SEARCH($B57,Songs!C:C)),Songs!F:F,0))+F57</f>
        <v>4</v>
      </c>
      <c r="E57">
        <f>COUNTIF(Songs!$B:$B,Artists!$B57)</f>
        <v>1</v>
      </c>
      <c r="F57">
        <f ca="1">SUMIF(Songs!$B:$B,Artists!$B57,Songs!$G:$G)-SUMIF(Songs!$B:$B,Artists!$B57,Songs!$F:$F)</f>
        <v>4</v>
      </c>
      <c r="G57" cm="1">
        <f t="array" ref="G57">SUM(IF(ISNUMBER(SEARCH($B57,Songs!D:D)),1,0))</f>
        <v>0</v>
      </c>
      <c r="H57" cm="1">
        <f t="array" aca="1" ref="H57" ca="1">SUM(IF(ISNUMBER(SEARCH($B57,Songs!D:D)),Songs!G:G,0)) - SUM(IF(ISNUMBER(SEARCH($B57,Songs!D:D)),Songs!F:F,0))</f>
        <v>0</v>
      </c>
      <c r="I57">
        <f>_xlfn.MINIFS(Songs!J:J,Songs!$B:$B,Artists!$B57)</f>
        <v>1</v>
      </c>
      <c r="J57">
        <v>0</v>
      </c>
    </row>
    <row r="58" spans="1:10" ht="15.75" customHeight="1" x14ac:dyDescent="0.25">
      <c r="A58" s="10">
        <v>41</v>
      </c>
      <c r="B58" s="2" t="s">
        <v>99</v>
      </c>
      <c r="C58" cm="1">
        <f t="array" ref="C58">SUM(IF(ISNUMBER(SEARCH($B58,Songs!C:C)),1,0))+E58</f>
        <v>1</v>
      </c>
      <c r="D58" cm="1">
        <f t="array" aca="1" ref="D58" ca="1">SUM(IF(ISNUMBER(SEARCH($B58,Songs!C:C)),Songs!G:G,0))-SUM(IF(ISNUMBER(SEARCH($B58,Songs!C:C)),Songs!F:F,0))+F58</f>
        <v>4</v>
      </c>
      <c r="E58">
        <f>COUNTIF(Songs!$B:$B,Artists!$B58)</f>
        <v>1</v>
      </c>
      <c r="F58">
        <f ca="1">SUMIF(Songs!$B:$B,Artists!$B58,Songs!$G:$G)-SUMIF(Songs!$B:$B,Artists!$B58,Songs!$F:$F)</f>
        <v>4</v>
      </c>
      <c r="G58" cm="1">
        <f t="array" ref="G58">SUM(IF(ISNUMBER(SEARCH($B58,Songs!D:D)),1,0))</f>
        <v>0</v>
      </c>
      <c r="H58" cm="1">
        <f t="array" aca="1" ref="H58" ca="1">SUM(IF(ISNUMBER(SEARCH($B58,Songs!D:D)),Songs!G:G,0)) - SUM(IF(ISNUMBER(SEARCH($B58,Songs!D:D)),Songs!F:F,0))</f>
        <v>0</v>
      </c>
      <c r="I58">
        <f>_xlfn.MINIFS(Songs!J:J,Songs!$B:$B,Artists!$B58)</f>
        <v>26</v>
      </c>
      <c r="J58">
        <v>0</v>
      </c>
    </row>
    <row r="59" spans="1:10" ht="15.75" customHeight="1" x14ac:dyDescent="0.25">
      <c r="B59" s="2" t="s">
        <v>235</v>
      </c>
      <c r="C59" cm="1">
        <f t="array" ref="C59">SUM(IF(ISNUMBER(SEARCH($B59,Songs!C:C)),1,0))+E59</f>
        <v>1</v>
      </c>
      <c r="D59" cm="1">
        <f t="array" aca="1" ref="D59" ca="1">SUM(IF(ISNUMBER(SEARCH($B59,Songs!C:C)),Songs!G:G,0))-SUM(IF(ISNUMBER(SEARCH($B59,Songs!C:C)),Songs!F:F,0))+F59</f>
        <v>4</v>
      </c>
      <c r="E59">
        <f>COUNTIF(Songs!$B:$B,Artists!$B59)</f>
        <v>1</v>
      </c>
      <c r="F59">
        <f ca="1">SUMIF(Songs!$B:$B,Artists!$B59,Songs!$G:$G)-SUMIF(Songs!$B:$B,Artists!$B59,Songs!$F:$F)</f>
        <v>4</v>
      </c>
      <c r="G59" cm="1">
        <f t="array" ref="G59">SUM(IF(ISNUMBER(SEARCH($B59,Songs!D:D)),1,0))</f>
        <v>0</v>
      </c>
      <c r="H59" cm="1">
        <f t="array" aca="1" ref="H59" ca="1">SUM(IF(ISNUMBER(SEARCH($B59,Songs!D:D)),Songs!G:G,0)) - SUM(IF(ISNUMBER(SEARCH($B59,Songs!D:D)),Songs!F:F,0))</f>
        <v>0</v>
      </c>
      <c r="I59">
        <f>_xlfn.MINIFS(Songs!J:J,Songs!$B:$B,Artists!$B59)</f>
        <v>30</v>
      </c>
      <c r="J59">
        <v>0</v>
      </c>
    </row>
    <row r="60" spans="1:10" ht="15.75" customHeight="1" x14ac:dyDescent="0.25">
      <c r="B60" s="2" t="s">
        <v>220</v>
      </c>
      <c r="C60" cm="1">
        <f t="array" ref="C60">SUM(IF(ISNUMBER(SEARCH($B60,Songs!C:C)),1,0))+E60</f>
        <v>1</v>
      </c>
      <c r="D60" cm="1">
        <f t="array" aca="1" ref="D60" ca="1">SUM(IF(ISNUMBER(SEARCH($B60,Songs!C:C)),Songs!G:G,0))-SUM(IF(ISNUMBER(SEARCH($B60,Songs!C:C)),Songs!F:F,0))+F60</f>
        <v>4</v>
      </c>
      <c r="E60">
        <f>COUNTIF(Songs!$B:$B,Artists!$B60)</f>
        <v>1</v>
      </c>
      <c r="F60">
        <f ca="1">SUMIF(Songs!$B:$B,Artists!$B60,Songs!$G:$G)-SUMIF(Songs!$B:$B,Artists!$B60,Songs!$F:$F)</f>
        <v>4</v>
      </c>
      <c r="G60" cm="1">
        <f t="array" ref="G60">SUM(IF(ISNUMBER(SEARCH($B60,Songs!D:D)),1,0))</f>
        <v>0</v>
      </c>
      <c r="H60" cm="1">
        <f t="array" aca="1" ref="H60" ca="1">SUM(IF(ISNUMBER(SEARCH($B60,Songs!D:D)),Songs!G:G,0)) - SUM(IF(ISNUMBER(SEARCH($B60,Songs!D:D)),Songs!F:F,0))</f>
        <v>0</v>
      </c>
      <c r="I60">
        <f>_xlfn.MINIFS(Songs!J:J,Songs!$B:$B,Artists!$B60)</f>
        <v>40</v>
      </c>
      <c r="J60">
        <v>0</v>
      </c>
    </row>
    <row r="61" spans="1:10" ht="15.75" customHeight="1" x14ac:dyDescent="0.25">
      <c r="A61" s="10">
        <v>44</v>
      </c>
      <c r="B61" s="2" t="s">
        <v>119</v>
      </c>
      <c r="C61" cm="1">
        <f t="array" ref="C61">SUM(IF(ISNUMBER(SEARCH($B61,Songs!C:C)),1,0))+E61</f>
        <v>1</v>
      </c>
      <c r="D61" cm="1">
        <f t="array" aca="1" ref="D61" ca="1">SUM(IF(ISNUMBER(SEARCH($B61,Songs!C:C)),Songs!G:G,0))-SUM(IF(ISNUMBER(SEARCH($B61,Songs!C:C)),Songs!F:F,0))+F61</f>
        <v>3</v>
      </c>
      <c r="E61">
        <f>COUNTIF(Songs!$B:$B,Artists!$B61)</f>
        <v>1</v>
      </c>
      <c r="F61">
        <f ca="1">SUMIF(Songs!$B:$B,Artists!$B61,Songs!$G:$G)-SUMIF(Songs!$B:$B,Artists!$B61,Songs!$F:$F)</f>
        <v>3</v>
      </c>
      <c r="G61" cm="1">
        <f t="array" ref="G61">SUM(IF(ISNUMBER(SEARCH($B61,Songs!D:D)),1,0))</f>
        <v>0</v>
      </c>
      <c r="H61" cm="1">
        <f t="array" aca="1" ref="H61" ca="1">SUM(IF(ISNUMBER(SEARCH($B61,Songs!D:D)),Songs!G:G,0)) - SUM(IF(ISNUMBER(SEARCH($B61,Songs!D:D)),Songs!F:F,0))</f>
        <v>0</v>
      </c>
      <c r="I61">
        <f>_xlfn.MINIFS(Songs!J:J,Songs!$B:$B,Artists!$B61)</f>
        <v>49</v>
      </c>
      <c r="J61">
        <v>1</v>
      </c>
    </row>
    <row r="62" spans="1:10" ht="15.75" customHeight="1" x14ac:dyDescent="0.25">
      <c r="A62" s="10">
        <v>56</v>
      </c>
      <c r="B62" s="6" t="s">
        <v>156</v>
      </c>
      <c r="C62" cm="1">
        <f t="array" ref="C62">SUM(IF(ISNUMBER(SEARCH($B62,Songs!C:C)),1,0))+E62</f>
        <v>1</v>
      </c>
      <c r="D62" cm="1">
        <f t="array" aca="1" ref="D62" ca="1">SUM(IF(ISNUMBER(SEARCH($B62,Songs!C:C)),Songs!G:G,0))-SUM(IF(ISNUMBER(SEARCH($B62,Songs!C:C)),Songs!F:F,0))+F62</f>
        <v>3</v>
      </c>
      <c r="E62">
        <f>COUNTIF(Songs!$B:$B,Artists!$B62)</f>
        <v>1</v>
      </c>
      <c r="F62">
        <f ca="1">SUMIF(Songs!$B:$B,Artists!$B62,Songs!$G:$G)-SUMIF(Songs!$B:$B,Artists!$B62,Songs!$F:$F)</f>
        <v>3</v>
      </c>
      <c r="G62" cm="1">
        <f t="array" ref="G62">SUM(IF(ISNUMBER(SEARCH($B62,Songs!D:D)),1,0))</f>
        <v>0</v>
      </c>
      <c r="H62" cm="1">
        <f t="array" aca="1" ref="H62" ca="1">SUM(IF(ISNUMBER(SEARCH($B62,Songs!D:D)),Songs!G:G,0)) - SUM(IF(ISNUMBER(SEARCH($B62,Songs!D:D)),Songs!F:F,0))</f>
        <v>0</v>
      </c>
      <c r="I62">
        <f>_xlfn.MINIFS(Songs!J:J,Songs!$B:$B,Artists!$B62)</f>
        <v>29</v>
      </c>
      <c r="J62">
        <v>0</v>
      </c>
    </row>
    <row r="63" spans="1:10" ht="15.75" customHeight="1" x14ac:dyDescent="0.25">
      <c r="A63" s="10">
        <v>11</v>
      </c>
      <c r="B63" s="2" t="s">
        <v>116</v>
      </c>
      <c r="C63" cm="1">
        <f t="array" ref="C63">SUM(IF(ISNUMBER(SEARCH($B63,Songs!C:C)),1,0))+E63</f>
        <v>2</v>
      </c>
      <c r="D63" cm="1">
        <f t="array" aca="1" ref="D63" ca="1">SUM(IF(ISNUMBER(SEARCH($B63,Songs!C:C)),Songs!G:G,0))-SUM(IF(ISNUMBER(SEARCH($B63,Songs!C:C)),Songs!F:F,0))+F63</f>
        <v>2</v>
      </c>
      <c r="E63">
        <f>COUNTIF(Songs!$B:$B,Artists!$B63)</f>
        <v>2</v>
      </c>
      <c r="F63">
        <f ca="1">SUMIF(Songs!$B:$B,Artists!$B63,Songs!$G:$G)-SUMIF(Songs!$B:$B,Artists!$B63,Songs!$F:$F)</f>
        <v>2</v>
      </c>
      <c r="G63" cm="1">
        <f t="array" ref="G63">SUM(IF(ISNUMBER(SEARCH($B63,Songs!D:D)),1,0))</f>
        <v>0</v>
      </c>
      <c r="H63" cm="1">
        <f t="array" aca="1" ref="H63" ca="1">SUM(IF(ISNUMBER(SEARCH($B63,Songs!D:D)),Songs!G:G,0)) - SUM(IF(ISNUMBER(SEARCH($B63,Songs!D:D)),Songs!F:F,0))</f>
        <v>0</v>
      </c>
      <c r="I63">
        <f>_xlfn.MINIFS(Songs!J:J,Songs!$B:$B,Artists!$B63)</f>
        <v>37</v>
      </c>
      <c r="J63">
        <v>0</v>
      </c>
    </row>
    <row r="64" spans="1:10" ht="15.75" customHeight="1" x14ac:dyDescent="0.25">
      <c r="A64" s="10">
        <v>46</v>
      </c>
      <c r="B64" s="2" t="s">
        <v>90</v>
      </c>
      <c r="C64" cm="1">
        <f t="array" ref="C64">SUM(IF(ISNUMBER(SEARCH($B64,Songs!C:C)),1,0))+E64</f>
        <v>1</v>
      </c>
      <c r="D64" cm="1">
        <f t="array" aca="1" ref="D64" ca="1">SUM(IF(ISNUMBER(SEARCH($B64,Songs!C:C)),Songs!G:G,0))-SUM(IF(ISNUMBER(SEARCH($B64,Songs!C:C)),Songs!F:F,0))+F64</f>
        <v>2</v>
      </c>
      <c r="E64">
        <f>COUNTIF(Songs!$B:$B,Artists!$B64)</f>
        <v>1</v>
      </c>
      <c r="F64">
        <f ca="1">SUMIF(Songs!$B:$B,Artists!$B64,Songs!$G:$G)-SUMIF(Songs!$B:$B,Artists!$B64,Songs!$F:$F)</f>
        <v>2</v>
      </c>
      <c r="G64" cm="1">
        <f t="array" ref="G64">SUM(IF(ISNUMBER(SEARCH($B64,Songs!D:D)),1,0))</f>
        <v>0</v>
      </c>
      <c r="H64" cm="1">
        <f t="array" aca="1" ref="H64" ca="1">SUM(IF(ISNUMBER(SEARCH($B64,Songs!D:D)),Songs!G:G,0)) - SUM(IF(ISNUMBER(SEARCH($B64,Songs!D:D)),Songs!F:F,0))</f>
        <v>0</v>
      </c>
      <c r="I64">
        <f>_xlfn.MINIFS(Songs!J:J,Songs!$B:$B,Artists!$B64)</f>
        <v>19</v>
      </c>
      <c r="J64">
        <v>0</v>
      </c>
    </row>
    <row r="65" spans="1:10" ht="15.75" customHeight="1" x14ac:dyDescent="0.25">
      <c r="A65" s="10">
        <v>49</v>
      </c>
      <c r="B65" s="2" t="s">
        <v>94</v>
      </c>
      <c r="C65" cm="1">
        <f t="array" ref="C65">SUM(IF(ISNUMBER(SEARCH($B65,Songs!C:C)),1,0))+E65</f>
        <v>1</v>
      </c>
      <c r="D65" cm="1">
        <f t="array" aca="1" ref="D65" ca="1">SUM(IF(ISNUMBER(SEARCH($B65,Songs!C:C)),Songs!G:G,0))-SUM(IF(ISNUMBER(SEARCH($B65,Songs!C:C)),Songs!F:F,0))+F65</f>
        <v>2</v>
      </c>
      <c r="E65">
        <f>COUNTIF(Songs!$B:$B,Artists!$B65)</f>
        <v>1</v>
      </c>
      <c r="F65">
        <f ca="1">SUMIF(Songs!$B:$B,Artists!$B65,Songs!$G:$G)-SUMIF(Songs!$B:$B,Artists!$B65,Songs!$F:$F)</f>
        <v>2</v>
      </c>
      <c r="G65" cm="1">
        <f t="array" ref="G65">SUM(IF(ISNUMBER(SEARCH($B65,Songs!D:D)),1,0))</f>
        <v>0</v>
      </c>
      <c r="H65" cm="1">
        <f t="array" aca="1" ref="H65" ca="1">SUM(IF(ISNUMBER(SEARCH($B65,Songs!D:D)),Songs!G:G,0)) - SUM(IF(ISNUMBER(SEARCH($B65,Songs!D:D)),Songs!F:F,0))</f>
        <v>0</v>
      </c>
      <c r="I65">
        <f>_xlfn.MINIFS(Songs!J:J,Songs!$B:$B,Artists!$B65)</f>
        <v>23</v>
      </c>
      <c r="J65">
        <v>0</v>
      </c>
    </row>
    <row r="66" spans="1:10" ht="15.75" customHeight="1" x14ac:dyDescent="0.25">
      <c r="B66" s="6" t="s">
        <v>227</v>
      </c>
      <c r="C66" cm="1">
        <f t="array" ref="C66">SUM(IF(ISNUMBER(SEARCH($B66,Songs!C:C)),1,0))+E66</f>
        <v>1</v>
      </c>
      <c r="D66" cm="1">
        <f t="array" aca="1" ref="D66" ca="1">SUM(IF(ISNUMBER(SEARCH($B66,Songs!C:C)),Songs!G:G,0))-SUM(IF(ISNUMBER(SEARCH($B66,Songs!C:C)),Songs!F:F,0))+F66</f>
        <v>2</v>
      </c>
      <c r="E66">
        <f>COUNTIF(Songs!$B:$B,Artists!$B66)</f>
        <v>0</v>
      </c>
      <c r="F66">
        <f>SUMIF(Songs!$B:$B,Artists!$B66,Songs!$G:$G)-SUMIF(Songs!$B:$B,Artists!$B66,Songs!$F:$F)</f>
        <v>0</v>
      </c>
      <c r="G66" cm="1">
        <f t="array" ref="G66">SUM(IF(ISNUMBER(SEARCH($B66,Songs!D:D)),1,0))</f>
        <v>0</v>
      </c>
      <c r="H66" cm="1">
        <f t="array" aca="1" ref="H66" ca="1">SUM(IF(ISNUMBER(SEARCH($B66,Songs!D:D)),Songs!G:G,0)) - SUM(IF(ISNUMBER(SEARCH($B66,Songs!D:D)),Songs!F:F,0))</f>
        <v>0</v>
      </c>
      <c r="I66">
        <f>_xlfn.MINIFS(Songs!J:J,Songs!$B:$B,Artists!$B66)</f>
        <v>0</v>
      </c>
      <c r="J66">
        <v>1</v>
      </c>
    </row>
    <row r="67" spans="1:10" ht="15.75" customHeight="1" x14ac:dyDescent="0.25">
      <c r="B67" s="6" t="s">
        <v>229</v>
      </c>
      <c r="C67" cm="1">
        <f t="array" ref="C67">SUM(IF(ISNUMBER(SEARCH($B67,Songs!C:C)),1,0))+E67</f>
        <v>1</v>
      </c>
      <c r="D67" cm="1">
        <f t="array" aca="1" ref="D67" ca="1">SUM(IF(ISNUMBER(SEARCH($B67,Songs!C:C)),Songs!G:G,0))-SUM(IF(ISNUMBER(SEARCH($B67,Songs!C:C)),Songs!F:F,0))+F67</f>
        <v>2</v>
      </c>
      <c r="E67">
        <f>COUNTIF(Songs!$B:$B,Artists!$B67)</f>
        <v>0</v>
      </c>
      <c r="F67">
        <f>SUMIF(Songs!$B:$B,Artists!$B67,Songs!$G:$G)-SUMIF(Songs!$B:$B,Artists!$B67,Songs!$F:$F)</f>
        <v>0</v>
      </c>
      <c r="G67" cm="1">
        <f t="array" ref="G67">SUM(IF(ISNUMBER(SEARCH($B67,Songs!D:D)),1,0))</f>
        <v>0</v>
      </c>
      <c r="H67" cm="1">
        <f t="array" aca="1" ref="H67" ca="1">SUM(IF(ISNUMBER(SEARCH($B67,Songs!D:D)),Songs!G:G,0)) - SUM(IF(ISNUMBER(SEARCH($B67,Songs!D:D)),Songs!F:F,0))</f>
        <v>0</v>
      </c>
      <c r="I67">
        <f>_xlfn.MINIFS(Songs!J:J,Songs!$B:$B,Artists!$B67)</f>
        <v>0</v>
      </c>
      <c r="J67">
        <v>0</v>
      </c>
    </row>
    <row r="68" spans="1:10" ht="15.75" customHeight="1" x14ac:dyDescent="0.25">
      <c r="B68" s="2" t="s">
        <v>251</v>
      </c>
      <c r="C68" cm="1">
        <f t="array" ref="C68">SUM(IF(ISNUMBER(SEARCH($B68,Songs!C:C)),1,0))+E68</f>
        <v>1</v>
      </c>
      <c r="D68" cm="1">
        <f t="array" aca="1" ref="D68" ca="1">SUM(IF(ISNUMBER(SEARCH($B68,Songs!C:C)),Songs!G:G,0))-SUM(IF(ISNUMBER(SEARCH($B68,Songs!C:C)),Songs!F:F,0))+F68</f>
        <v>1</v>
      </c>
      <c r="E68">
        <f>COUNTIF(Songs!$B:$B,Artists!$B68)</f>
        <v>1</v>
      </c>
      <c r="F68">
        <f ca="1">SUMIF(Songs!$B:$B,Artists!$B68,Songs!$G:$G)-SUMIF(Songs!$B:$B,Artists!$B68,Songs!$F:$F)</f>
        <v>1</v>
      </c>
      <c r="G68" cm="1">
        <f t="array" ref="G68">SUM(IF(ISNUMBER(SEARCH($B68,Songs!D:D)),1,0))</f>
        <v>0</v>
      </c>
      <c r="H68" cm="1">
        <f t="array" aca="1" ref="H68" ca="1">SUM(IF(ISNUMBER(SEARCH($B68,Songs!D:D)),Songs!G:G,0)) - SUM(IF(ISNUMBER(SEARCH($B68,Songs!D:D)),Songs!F:F,0))</f>
        <v>0</v>
      </c>
      <c r="I68">
        <f>_xlfn.MINIFS(Songs!J:J,Songs!$B:$B,Artists!$B68)</f>
        <v>5</v>
      </c>
      <c r="J68">
        <v>0</v>
      </c>
    </row>
    <row r="69" spans="1:10" ht="15.75" customHeight="1" x14ac:dyDescent="0.25">
      <c r="B69" s="2" t="s">
        <v>253</v>
      </c>
      <c r="C69" cm="1">
        <f t="array" ref="C69">SUM(IF(ISNUMBER(SEARCH($B69,Songs!C:C)),1,0))+E69</f>
        <v>1</v>
      </c>
      <c r="D69" cm="1">
        <f t="array" aca="1" ref="D69" ca="1">SUM(IF(ISNUMBER(SEARCH($B69,Songs!C:C)),Songs!G:G,0))-SUM(IF(ISNUMBER(SEARCH($B69,Songs!C:C)),Songs!F:F,0))+F69</f>
        <v>1</v>
      </c>
      <c r="E69">
        <f>COUNTIF(Songs!$B:$B,Artists!$B69)</f>
        <v>1</v>
      </c>
      <c r="F69">
        <f ca="1">SUMIF(Songs!$B:$B,Artists!$B69,Songs!$G:$G)-SUMIF(Songs!$B:$B,Artists!$B69,Songs!$F:$F)</f>
        <v>1</v>
      </c>
      <c r="G69" cm="1">
        <f t="array" ref="G69">SUM(IF(ISNUMBER(SEARCH($B69,Songs!D:D)),1,0))</f>
        <v>0</v>
      </c>
      <c r="H69" cm="1">
        <f t="array" aca="1" ref="H69" ca="1">SUM(IF(ISNUMBER(SEARCH($B69,Songs!D:D)),Songs!G:G,0)) - SUM(IF(ISNUMBER(SEARCH($B69,Songs!D:D)),Songs!F:F,0))</f>
        <v>0</v>
      </c>
      <c r="I69">
        <f>_xlfn.MINIFS(Songs!J:J,Songs!$B:$B,Artists!$B69)</f>
        <v>31</v>
      </c>
      <c r="J69">
        <v>1</v>
      </c>
    </row>
    <row r="70" spans="1:10" ht="15.75" customHeight="1" x14ac:dyDescent="0.25">
      <c r="B70" s="2" t="s">
        <v>254</v>
      </c>
      <c r="C70" cm="1">
        <f t="array" ref="C70">SUM(IF(ISNUMBER(SEARCH($B70,Songs!C:C)),1,0))+E70</f>
        <v>1</v>
      </c>
      <c r="D70" cm="1">
        <f t="array" aca="1" ref="D70" ca="1">SUM(IF(ISNUMBER(SEARCH($B70,Songs!C:C)),Songs!G:G,0))-SUM(IF(ISNUMBER(SEARCH($B70,Songs!C:C)),Songs!F:F,0))+F70</f>
        <v>1</v>
      </c>
      <c r="E70">
        <f>COUNTIF(Songs!$B:$B,Artists!$B70)</f>
        <v>1</v>
      </c>
      <c r="F70">
        <f ca="1">SUMIF(Songs!$B:$B,Artists!$B70,Songs!$G:$G)-SUMIF(Songs!$B:$B,Artists!$B70,Songs!$F:$F)</f>
        <v>1</v>
      </c>
      <c r="G70" cm="1">
        <f t="array" ref="G70">SUM(IF(ISNUMBER(SEARCH($B70,Songs!D:D)),1,0))</f>
        <v>0</v>
      </c>
      <c r="H70" cm="1">
        <f t="array" aca="1" ref="H70" ca="1">SUM(IF(ISNUMBER(SEARCH($B70,Songs!D:D)),Songs!G:G,0)) - SUM(IF(ISNUMBER(SEARCH($B70,Songs!D:D)),Songs!F:F,0))</f>
        <v>0</v>
      </c>
      <c r="I70">
        <f>_xlfn.MINIFS(Songs!J:J,Songs!$B:$B,Artists!$B70)</f>
        <v>33</v>
      </c>
      <c r="J70">
        <v>0</v>
      </c>
    </row>
    <row r="71" spans="1:10" ht="15.75" customHeight="1" x14ac:dyDescent="0.25">
      <c r="A71" s="10">
        <v>52</v>
      </c>
      <c r="B71" s="2" t="s">
        <v>122</v>
      </c>
      <c r="C71" cm="1">
        <f t="array" ref="C71">SUM(IF(ISNUMBER(SEARCH($B71,Songs!C:C)),1,0))+E71</f>
        <v>1</v>
      </c>
      <c r="D71" cm="1">
        <f t="array" aca="1" ref="D71" ca="1">SUM(IF(ISNUMBER(SEARCH($B71,Songs!C:C)),Songs!G:G,0))-SUM(IF(ISNUMBER(SEARCH($B71,Songs!C:C)),Songs!F:F,0))+F71</f>
        <v>1</v>
      </c>
      <c r="E71">
        <f>COUNTIF(Songs!$B:$B,Artists!$B71)</f>
        <v>1</v>
      </c>
      <c r="F71">
        <f ca="1">SUMIF(Songs!$B:$B,Artists!$B71,Songs!$G:$G)-SUMIF(Songs!$B:$B,Artists!$B71,Songs!$F:$F)</f>
        <v>1</v>
      </c>
      <c r="G71" cm="1">
        <f t="array" ref="G71">SUM(IF(ISNUMBER(SEARCH($B71,Songs!D:D)),1,0))</f>
        <v>0</v>
      </c>
      <c r="H71" cm="1">
        <f t="array" aca="1" ref="H71" ca="1">SUM(IF(ISNUMBER(SEARCH($B71,Songs!D:D)),Songs!G:G,0)) - SUM(IF(ISNUMBER(SEARCH($B71,Songs!D:D)),Songs!F:F,0))</f>
        <v>0</v>
      </c>
      <c r="I71">
        <f>_xlfn.MINIFS(Songs!J:J,Songs!$B:$B,Artists!$B71)</f>
        <v>40</v>
      </c>
      <c r="J71">
        <v>1</v>
      </c>
    </row>
    <row r="72" spans="1:10" ht="15.75" customHeight="1" x14ac:dyDescent="0.25">
      <c r="A72" s="10">
        <v>55</v>
      </c>
      <c r="B72" s="6" t="s">
        <v>150</v>
      </c>
      <c r="C72" cm="1">
        <f t="array" ref="C72">SUM(IF(ISNUMBER(SEARCH($B72,Songs!C:C)),1,0))+E72</f>
        <v>1</v>
      </c>
      <c r="D72" cm="1">
        <f t="array" aca="1" ref="D72" ca="1">SUM(IF(ISNUMBER(SEARCH($B72,Songs!C:C)),Songs!G:G,0))-SUM(IF(ISNUMBER(SEARCH($B72,Songs!C:C)),Songs!F:F,0))+F72</f>
        <v>1</v>
      </c>
      <c r="E72">
        <f>COUNTIF(Songs!$B:$B,Artists!$B72)</f>
        <v>1</v>
      </c>
      <c r="F72">
        <f ca="1">SUMIF(Songs!$B:$B,Artists!$B72,Songs!$G:$G)-SUMIF(Songs!$B:$B,Artists!$B72,Songs!$F:$F)</f>
        <v>1</v>
      </c>
      <c r="G72" cm="1">
        <f t="array" ref="G72">SUM(IF(ISNUMBER(SEARCH($B72,Songs!D:D)),1,0))</f>
        <v>0</v>
      </c>
      <c r="H72" cm="1">
        <f t="array" aca="1" ref="H72" ca="1">SUM(IF(ISNUMBER(SEARCH($B72,Songs!D:D)),Songs!G:G,0)) - SUM(IF(ISNUMBER(SEARCH($B72,Songs!D:D)),Songs!F:F,0))</f>
        <v>0</v>
      </c>
      <c r="I72">
        <f>_xlfn.MINIFS(Songs!J:J,Songs!$B:$B,Artists!$B72)</f>
        <v>40</v>
      </c>
      <c r="J72">
        <v>0</v>
      </c>
    </row>
    <row r="73" spans="1:10" ht="15.75" customHeight="1" x14ac:dyDescent="0.25">
      <c r="A73" s="10">
        <v>53</v>
      </c>
      <c r="B73" s="2" t="s">
        <v>120</v>
      </c>
      <c r="C73" cm="1">
        <f t="array" ref="C73">SUM(IF(ISNUMBER(SEARCH($B73,Songs!C:C)),1,0))+E73</f>
        <v>1</v>
      </c>
      <c r="D73" cm="1">
        <f t="array" aca="1" ref="D73" ca="1">SUM(IF(ISNUMBER(SEARCH($B73,Songs!C:C)),Songs!G:G,0))-SUM(IF(ISNUMBER(SEARCH($B73,Songs!C:C)),Songs!F:F,0))+F73</f>
        <v>1</v>
      </c>
      <c r="E73">
        <f>COUNTIF(Songs!$B:$B,Artists!$B73)</f>
        <v>1</v>
      </c>
      <c r="F73">
        <f ca="1">SUMIF(Songs!$B:$B,Artists!$B73,Songs!$G:$G)-SUMIF(Songs!$B:$B,Artists!$B73,Songs!$F:$F)</f>
        <v>1</v>
      </c>
      <c r="G73" cm="1">
        <f t="array" ref="G73">SUM(IF(ISNUMBER(SEARCH($B73,Songs!D:D)),1,0))</f>
        <v>0</v>
      </c>
      <c r="H73" cm="1">
        <f t="array" aca="1" ref="H73" ca="1">SUM(IF(ISNUMBER(SEARCH($B73,Songs!D:D)),Songs!G:G,0)) - SUM(IF(ISNUMBER(SEARCH($B73,Songs!D:D)),Songs!F:F,0))</f>
        <v>0</v>
      </c>
      <c r="I73">
        <f>_xlfn.MINIFS(Songs!J:J,Songs!$B:$B,Artists!$B73)</f>
        <v>43</v>
      </c>
      <c r="J73">
        <v>0</v>
      </c>
    </row>
    <row r="74" spans="1:10" ht="15.75" customHeight="1" x14ac:dyDescent="0.25">
      <c r="B74" s="6" t="s">
        <v>183</v>
      </c>
      <c r="C74" cm="1">
        <f t="array" ref="C74">SUM(IF(ISNUMBER(SEARCH($B74,Songs!C:C)),1,0))+E74</f>
        <v>1</v>
      </c>
      <c r="D74" cm="1">
        <f t="array" aca="1" ref="D74" ca="1">SUM(IF(ISNUMBER(SEARCH($B74,Songs!C:C)),Songs!G:G,0))-SUM(IF(ISNUMBER(SEARCH($B74,Songs!C:C)),Songs!F:F,0))+F74</f>
        <v>1</v>
      </c>
      <c r="E74">
        <f>COUNTIF(Songs!$B:$B,Artists!$B74)</f>
        <v>1</v>
      </c>
      <c r="F74">
        <f ca="1">SUMIF(Songs!$B:$B,Artists!$B74,Songs!$G:$G)-SUMIF(Songs!$B:$B,Artists!$B74,Songs!$F:$F)</f>
        <v>1</v>
      </c>
      <c r="G74" cm="1">
        <f t="array" ref="G74">SUM(IF(ISNUMBER(SEARCH($B74,Songs!D:D)),1,0))</f>
        <v>0</v>
      </c>
      <c r="H74" cm="1">
        <f t="array" aca="1" ref="H74" ca="1">SUM(IF(ISNUMBER(SEARCH($B74,Songs!D:D)),Songs!G:G,0)) - SUM(IF(ISNUMBER(SEARCH($B74,Songs!D:D)),Songs!F:F,0))</f>
        <v>0</v>
      </c>
      <c r="I74">
        <f>_xlfn.MINIFS(Songs!J:J,Songs!$B:$B,Artists!$B74)</f>
        <v>43</v>
      </c>
      <c r="J74">
        <v>0.11</v>
      </c>
    </row>
    <row r="75" spans="1:10" ht="15.75" customHeight="1" x14ac:dyDescent="0.25">
      <c r="A75" s="10">
        <v>50</v>
      </c>
      <c r="B75" s="6" t="s">
        <v>151</v>
      </c>
      <c r="C75" cm="1">
        <f t="array" ref="C75">SUM(IF(ISNUMBER(SEARCH($B75,Songs!C:C)),1,0))+E75</f>
        <v>1</v>
      </c>
      <c r="D75" cm="1">
        <f t="array" aca="1" ref="D75" ca="1">SUM(IF(ISNUMBER(SEARCH($B75,Songs!C:C)),Songs!G:G,0))-SUM(IF(ISNUMBER(SEARCH($B75,Songs!C:C)),Songs!F:F,0))+F75</f>
        <v>1</v>
      </c>
      <c r="E75">
        <f>COUNTIF(Songs!$B:$B,Artists!$B75)</f>
        <v>1</v>
      </c>
      <c r="F75">
        <f ca="1">SUMIF(Songs!$B:$B,Artists!$B75,Songs!$G:$G)-SUMIF(Songs!$B:$B,Artists!$B75,Songs!$F:$F)</f>
        <v>1</v>
      </c>
      <c r="G75" cm="1">
        <f t="array" ref="G75">SUM(IF(ISNUMBER(SEARCH($B75,Songs!D:D)),1,0))</f>
        <v>0</v>
      </c>
      <c r="H75" cm="1">
        <f t="array" aca="1" ref="H75" ca="1">SUM(IF(ISNUMBER(SEARCH($B75,Songs!D:D)),Songs!G:G,0)) - SUM(IF(ISNUMBER(SEARCH($B75,Songs!D:D)),Songs!F:F,0))</f>
        <v>0</v>
      </c>
      <c r="I75">
        <f>_xlfn.MINIFS(Songs!J:J,Songs!$B:$B,Artists!$B75)</f>
        <v>48</v>
      </c>
      <c r="J75">
        <v>0</v>
      </c>
    </row>
    <row r="76" spans="1:10" ht="15.75" customHeight="1" x14ac:dyDescent="0.25">
      <c r="A76" s="10">
        <v>51</v>
      </c>
      <c r="B76" s="6" t="s">
        <v>144</v>
      </c>
      <c r="C76" cm="1">
        <f t="array" ref="C76">SUM(IF(ISNUMBER(SEARCH($B76,Songs!C:C)),1,0))+E76</f>
        <v>1</v>
      </c>
      <c r="D76" cm="1">
        <f t="array" aca="1" ref="D76" ca="1">SUM(IF(ISNUMBER(SEARCH($B76,Songs!C:C)),Songs!G:G,0))-SUM(IF(ISNUMBER(SEARCH($B76,Songs!C:C)),Songs!F:F,0))+F76</f>
        <v>1</v>
      </c>
      <c r="E76">
        <f>COUNTIF(Songs!$B:$B,Artists!$B76)</f>
        <v>1</v>
      </c>
      <c r="F76">
        <f ca="1">SUMIF(Songs!$B:$B,Artists!$B76,Songs!$G:$G)-SUMIF(Songs!$B:$B,Artists!$B76,Songs!$F:$F)</f>
        <v>1</v>
      </c>
      <c r="G76" cm="1">
        <f t="array" ref="G76">SUM(IF(ISNUMBER(SEARCH($B76,Songs!D:D)),1,0))</f>
        <v>0</v>
      </c>
      <c r="H76" cm="1">
        <f t="array" aca="1" ref="H76" ca="1">SUM(IF(ISNUMBER(SEARCH($B76,Songs!D:D)),Songs!G:G,0)) - SUM(IF(ISNUMBER(SEARCH($B76,Songs!D:D)),Songs!F:F,0))</f>
        <v>0</v>
      </c>
      <c r="I76">
        <f>_xlfn.MINIFS(Songs!J:J,Songs!$B:$B,Artists!$B76)</f>
        <v>49</v>
      </c>
      <c r="J76">
        <v>0</v>
      </c>
    </row>
    <row r="77" spans="1:10" ht="15.75" customHeight="1" x14ac:dyDescent="0.25">
      <c r="B77" s="2" t="s">
        <v>255</v>
      </c>
      <c r="C77" cm="1">
        <f t="array" ref="C77">SUM(IF(ISNUMBER(SEARCH($B77,Songs!C:C)),1,0))+E77</f>
        <v>1</v>
      </c>
      <c r="D77" cm="1">
        <f t="array" aca="1" ref="D77" ca="1">SUM(IF(ISNUMBER(SEARCH($B77,Songs!C:C)),Songs!G:G,0))-SUM(IF(ISNUMBER(SEARCH($B77,Songs!C:C)),Songs!F:F,0))+F77</f>
        <v>1</v>
      </c>
      <c r="E77">
        <f>COUNTIF(Songs!$B:$B,Artists!$B77)</f>
        <v>1</v>
      </c>
      <c r="F77">
        <f ca="1">SUMIF(Songs!$B:$B,Artists!$B77,Songs!$G:$G)-SUMIF(Songs!$B:$B,Artists!$B77,Songs!$F:$F)</f>
        <v>1</v>
      </c>
      <c r="G77" cm="1">
        <f t="array" ref="G77">SUM(IF(ISNUMBER(SEARCH($B77,Songs!D:D)),1,0))</f>
        <v>0</v>
      </c>
      <c r="H77" cm="1">
        <f t="array" aca="1" ref="H77" ca="1">SUM(IF(ISNUMBER(SEARCH($B77,Songs!D:D)),Songs!G:G,0)) - SUM(IF(ISNUMBER(SEARCH($B77,Songs!D:D)),Songs!F:F,0))</f>
        <v>0</v>
      </c>
      <c r="I77">
        <f>_xlfn.MINIFS(Songs!J:J,Songs!$B:$B,Artists!$B77)</f>
        <v>49</v>
      </c>
      <c r="J77">
        <v>0</v>
      </c>
    </row>
    <row r="78" spans="1:10" ht="15.75" customHeight="1" x14ac:dyDescent="0.25">
      <c r="B78" s="6" t="s">
        <v>167</v>
      </c>
      <c r="C78" cm="1">
        <f t="array" ref="C78">SUM(IF(ISNUMBER(SEARCH($B78,Songs!C:C)),1,0))+E78</f>
        <v>1</v>
      </c>
      <c r="D78" cm="1">
        <f t="array" aca="1" ref="D78" ca="1">SUM(IF(ISNUMBER(SEARCH($B78,Songs!C:C)),Songs!G:G,0))-SUM(IF(ISNUMBER(SEARCH($B78,Songs!C:C)),Songs!F:F,0))+F78</f>
        <v>1</v>
      </c>
      <c r="E78">
        <f>COUNTIF(Songs!$B:$B,Artists!$B78)</f>
        <v>0</v>
      </c>
      <c r="F78">
        <f>SUMIF(Songs!$B:$B,Artists!$B78,Songs!$G:$G)-SUMIF(Songs!$B:$B,Artists!$B78,Songs!$F:$F)</f>
        <v>0</v>
      </c>
      <c r="G78" cm="1">
        <f t="array" ref="G78">SUM(IF(ISNUMBER(SEARCH($B78,Songs!D:D)),1,0))</f>
        <v>0</v>
      </c>
      <c r="H78" cm="1">
        <f t="array" aca="1" ref="H78" ca="1">SUM(IF(ISNUMBER(SEARCH($B78,Songs!D:D)),Songs!G:G,0)) - SUM(IF(ISNUMBER(SEARCH($B78,Songs!D:D)),Songs!F:F,0))</f>
        <v>0</v>
      </c>
      <c r="I78">
        <f>_xlfn.MINIFS(Songs!J:J,Songs!$B:$B,Artists!$B78)</f>
        <v>0</v>
      </c>
      <c r="J78">
        <v>1</v>
      </c>
    </row>
    <row r="79" spans="1:10" ht="15.75" customHeight="1" x14ac:dyDescent="0.25">
      <c r="B79" s="6" t="s">
        <v>168</v>
      </c>
      <c r="C79" cm="1">
        <f t="array" ref="C79">SUM(IF(ISNUMBER(SEARCH($B79,Songs!C:C)),1,0))+E79</f>
        <v>1</v>
      </c>
      <c r="D79" cm="1">
        <f t="array" aca="1" ref="D79" ca="1">SUM(IF(ISNUMBER(SEARCH($B79,Songs!C:C)),Songs!G:G,0))-SUM(IF(ISNUMBER(SEARCH($B79,Songs!C:C)),Songs!F:F,0))+F79</f>
        <v>1</v>
      </c>
      <c r="E79">
        <f>COUNTIF(Songs!$B:$B,Artists!$B79)</f>
        <v>0</v>
      </c>
      <c r="F79">
        <f>SUMIF(Songs!$B:$B,Artists!$B79,Songs!$G:$G)-SUMIF(Songs!$B:$B,Artists!$B79,Songs!$F:$F)</f>
        <v>0</v>
      </c>
      <c r="G79" cm="1">
        <f t="array" ref="G79">SUM(IF(ISNUMBER(SEARCH($B79,Songs!D:D)),1,0))</f>
        <v>0</v>
      </c>
      <c r="H79" cm="1">
        <f t="array" aca="1" ref="H79" ca="1">SUM(IF(ISNUMBER(SEARCH($B79,Songs!D:D)),Songs!G:G,0)) - SUM(IF(ISNUMBER(SEARCH($B79,Songs!D:D)),Songs!F:F,0))</f>
        <v>0</v>
      </c>
      <c r="I79">
        <f>_xlfn.MINIFS(Songs!J:J,Songs!$B:$B,Artists!$B79)</f>
        <v>0</v>
      </c>
      <c r="J79">
        <v>0</v>
      </c>
    </row>
    <row r="80" spans="1:10" ht="15.75" customHeight="1" x14ac:dyDescent="0.25">
      <c r="A80" s="10">
        <v>58</v>
      </c>
      <c r="B80" s="2" t="s">
        <v>87</v>
      </c>
      <c r="C80" cm="1">
        <f t="array" ref="C80">SUM(IF(ISNUMBER(SEARCH($B80,Songs!C:C)),1,0))+E80</f>
        <v>0</v>
      </c>
      <c r="D80" cm="1">
        <f t="array" aca="1" ref="D80" ca="1">SUM(IF(ISNUMBER(SEARCH($B80,Songs!C:C)),Songs!G:G,0))-SUM(IF(ISNUMBER(SEARCH($B80,Songs!C:C)),Songs!F:F,0))+F80</f>
        <v>0</v>
      </c>
      <c r="E80">
        <f>COUNTIF(Songs!$B:$B,Artists!$B80)</f>
        <v>0</v>
      </c>
      <c r="F80">
        <f>SUMIF(Songs!$B:$B,Artists!$B80,Songs!$G:$G)-SUMIF(Songs!$B:$B,Artists!$B80,Songs!$F:$F)</f>
        <v>0</v>
      </c>
      <c r="G80" cm="1">
        <f t="array" ref="G80">SUM(IF(ISNUMBER(SEARCH($B80,Songs!D:D)),1,0))</f>
        <v>1</v>
      </c>
      <c r="H80" cm="1">
        <f t="array" aca="1" ref="H80" ca="1">SUM(IF(ISNUMBER(SEARCH($B80,Songs!D:D)),Songs!G:G,0)) - SUM(IF(ISNUMBER(SEARCH($B80,Songs!D:D)),Songs!F:F,0))</f>
        <v>14</v>
      </c>
      <c r="I80">
        <f>_xlfn.MINIFS(Songs!J:J,Songs!$B:$B,Artists!$B80)</f>
        <v>0</v>
      </c>
      <c r="J80">
        <v>0</v>
      </c>
    </row>
    <row r="81" spans="1:10" ht="15.75" customHeight="1" x14ac:dyDescent="0.25">
      <c r="A81" s="10">
        <v>59</v>
      </c>
      <c r="B81" s="2" t="s">
        <v>88</v>
      </c>
      <c r="C81" cm="1">
        <f t="array" ref="C81">SUM(IF(ISNUMBER(SEARCH($B81,Songs!C:C)),1,0))+E81</f>
        <v>0</v>
      </c>
      <c r="D81" cm="1">
        <f t="array" aca="1" ref="D81" ca="1">SUM(IF(ISNUMBER(SEARCH($B81,Songs!C:C)),Songs!G:G,0))-SUM(IF(ISNUMBER(SEARCH($B81,Songs!C:C)),Songs!F:F,0))+F81</f>
        <v>0</v>
      </c>
      <c r="E81">
        <f>COUNTIF(Songs!$B:$B,Artists!$B81)</f>
        <v>0</v>
      </c>
      <c r="F81">
        <f>SUMIF(Songs!$B:$B,Artists!$B81,Songs!$G:$G)-SUMIF(Songs!$B:$B,Artists!$B81,Songs!$F:$F)</f>
        <v>0</v>
      </c>
      <c r="G81" cm="1">
        <f t="array" ref="G81">SUM(IF(ISNUMBER(SEARCH($B81,Songs!D:D)),1,0))</f>
        <v>1</v>
      </c>
      <c r="H81" cm="1">
        <f t="array" aca="1" ref="H81" ca="1">SUM(IF(ISNUMBER(SEARCH($B81,Songs!D:D)),Songs!G:G,0)) - SUM(IF(ISNUMBER(SEARCH($B81,Songs!D:D)),Songs!F:F,0))</f>
        <v>7</v>
      </c>
      <c r="I81">
        <f>_xlfn.MINIFS(Songs!J:J,Songs!$B:$B,Artists!$B81)</f>
        <v>0</v>
      </c>
      <c r="J81">
        <v>0.5</v>
      </c>
    </row>
    <row r="82" spans="1:10" ht="15.75" customHeight="1" x14ac:dyDescent="0.25">
      <c r="A82" s="10">
        <v>60</v>
      </c>
      <c r="B82" s="2" t="s">
        <v>106</v>
      </c>
      <c r="C82" cm="1">
        <f t="array" ref="C82">SUM(IF(ISNUMBER(SEARCH($B82,Songs!C:C)),1,0))+E82</f>
        <v>0</v>
      </c>
      <c r="D82" cm="1">
        <f t="array" aca="1" ref="D82" ca="1">SUM(IF(ISNUMBER(SEARCH($B82,Songs!C:C)),Songs!G:G,0))-SUM(IF(ISNUMBER(SEARCH($B82,Songs!C:C)),Songs!F:F,0))+F82</f>
        <v>0</v>
      </c>
      <c r="E82">
        <f>COUNTIF(Songs!$B:$B,Artists!$B82)</f>
        <v>0</v>
      </c>
      <c r="F82">
        <f>SUMIF(Songs!$B:$B,Artists!$B82,Songs!$G:$G)-SUMIF(Songs!$B:$B,Artists!$B82,Songs!$F:$F)</f>
        <v>0</v>
      </c>
      <c r="G82" cm="1">
        <f t="array" ref="G82">SUM(IF(ISNUMBER(SEARCH($B82,Songs!D:D)),1,0))</f>
        <v>1</v>
      </c>
      <c r="H82" cm="1">
        <f t="array" aca="1" ref="H82" ca="1">SUM(IF(ISNUMBER(SEARCH($B82,Songs!D:D)),Songs!G:G,0)) - SUM(IF(ISNUMBER(SEARCH($B82,Songs!D:D)),Songs!F:F,0))</f>
        <v>4</v>
      </c>
      <c r="I82">
        <f>_xlfn.MINIFS(Songs!J:J,Songs!$B:$B,Artists!$B82)</f>
        <v>0</v>
      </c>
      <c r="J82">
        <v>0</v>
      </c>
    </row>
    <row r="83" spans="1:10" ht="15.75" customHeight="1" x14ac:dyDescent="0.25">
      <c r="B83" s="2" t="s">
        <v>256</v>
      </c>
      <c r="C83" cm="1">
        <f t="array" ref="C83">SUM(IF(ISNUMBER(SEARCH($B83,Songs!C:C)),1,0))+E83</f>
        <v>0</v>
      </c>
      <c r="D83" cm="1">
        <f t="array" aca="1" ref="D83" ca="1">SUM(IF(ISNUMBER(SEARCH($B83,Songs!C:C)),Songs!G:G,0))-SUM(IF(ISNUMBER(SEARCH($B83,Songs!C:C)),Songs!F:F,0))+F83</f>
        <v>0</v>
      </c>
      <c r="E83">
        <f>COUNTIF(Songs!$B:$B,Artists!$B83)</f>
        <v>0</v>
      </c>
      <c r="F83">
        <f>SUMIF(Songs!$B:$B,Artists!$B83,Songs!$G:$G)-SUMIF(Songs!$B:$B,Artists!$B83,Songs!$F:$F)</f>
        <v>0</v>
      </c>
      <c r="G83" cm="1">
        <f t="array" ref="G83">SUM(IF(ISNUMBER(SEARCH($B83,Songs!D:D)),1,0))</f>
        <v>1</v>
      </c>
      <c r="H83" cm="1">
        <f t="array" aca="1" ref="H83" ca="1">SUM(IF(ISNUMBER(SEARCH($B83,Songs!D:D)),Songs!G:G,0)) - SUM(IF(ISNUMBER(SEARCH($B83,Songs!D:D)),Songs!F:F,0))</f>
        <v>1</v>
      </c>
      <c r="I83">
        <f>_xlfn.MINIFS(Songs!J:J,Songs!$B:$B,Artists!$B83)</f>
        <v>0</v>
      </c>
      <c r="J83">
        <v>0</v>
      </c>
    </row>
  </sheetData>
  <sortState xmlns:xlrd2="http://schemas.microsoft.com/office/spreadsheetml/2017/richdata2" ref="A2:I82">
    <sortCondition descending="1" ref="D2:D82"/>
    <sortCondition descending="1" ref="C2:C82"/>
    <sortCondition descending="1" ref="F2:F82"/>
    <sortCondition descending="1" ref="E2:E82"/>
    <sortCondition descending="1" ref="H2:H82"/>
    <sortCondition descending="1" ref="G2:G82"/>
  </sortState>
  <conditionalFormatting sqref="C1:J1 C2:I1048576">
    <cfRule type="cellIs" dxfId="2" priority="8" operator="equal">
      <formula>0</formula>
    </cfRule>
  </conditionalFormatting>
  <conditionalFormatting sqref="F1:F1048576">
    <cfRule type="colorScale" priority="7">
      <colorScale>
        <cfvo type="num" val="1"/>
        <cfvo type="percentile" val="50"/>
        <cfvo type="max"/>
        <color rgb="FFF8696B"/>
        <color rgb="FFFCFCFF"/>
        <color rgb="FF63BE7B"/>
      </colorScale>
    </cfRule>
  </conditionalFormatting>
  <conditionalFormatting sqref="E1:E1048576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:C8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8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83">
    <cfRule type="cellIs" dxfId="1" priority="1" operator="equal">
      <formula>0</formula>
    </cfRule>
    <cfRule type="colorScale" priority="2">
      <colorScale>
        <cfvo type="min"/>
        <cfvo type="num" val="1"/>
        <cfvo type="max"/>
        <color rgb="FF0070C0"/>
        <color rgb="FF0070C0"/>
        <color theme="0"/>
      </colorScale>
    </cfRule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E6"/>
  <sheetViews>
    <sheetView workbookViewId="0">
      <selection activeCell="A2" sqref="A2"/>
    </sheetView>
  </sheetViews>
  <sheetFormatPr defaultColWidth="12.6640625" defaultRowHeight="15.75" customHeight="1" x14ac:dyDescent="0.25"/>
  <sheetData>
    <row r="1" spans="1:5" ht="13.2" x14ac:dyDescent="0.25">
      <c r="A1" s="2" t="s">
        <v>123</v>
      </c>
      <c r="B1" s="2" t="s">
        <v>124</v>
      </c>
      <c r="C1" s="2" t="s">
        <v>125</v>
      </c>
      <c r="E1" s="2" t="s">
        <v>126</v>
      </c>
    </row>
    <row r="2" spans="1:5" ht="13.2" x14ac:dyDescent="0.25">
      <c r="A2" s="2">
        <v>1</v>
      </c>
      <c r="B2" s="2">
        <v>3</v>
      </c>
      <c r="C2" s="2">
        <v>9999</v>
      </c>
      <c r="E2" s="2" t="s">
        <v>127</v>
      </c>
    </row>
    <row r="3" spans="1:5" ht="13.2" x14ac:dyDescent="0.25">
      <c r="A3" s="2">
        <v>4</v>
      </c>
      <c r="B3" s="2">
        <v>5</v>
      </c>
      <c r="C3" s="2">
        <v>78</v>
      </c>
      <c r="E3" t="s">
        <v>138</v>
      </c>
    </row>
    <row r="4" spans="1:5" ht="13.2" x14ac:dyDescent="0.25">
      <c r="A4" s="2">
        <v>6</v>
      </c>
      <c r="B4" s="2">
        <v>10</v>
      </c>
      <c r="C4" s="2">
        <v>52</v>
      </c>
      <c r="E4" t="s">
        <v>139</v>
      </c>
    </row>
    <row r="5" spans="1:5" ht="13.2" x14ac:dyDescent="0.25">
      <c r="A5" s="2">
        <v>11</v>
      </c>
      <c r="B5" s="2">
        <v>25</v>
      </c>
      <c r="C5" s="2">
        <v>26</v>
      </c>
      <c r="E5" t="s">
        <v>141</v>
      </c>
    </row>
    <row r="6" spans="1:5" ht="13.2" x14ac:dyDescent="0.25">
      <c r="A6" s="2">
        <v>26</v>
      </c>
      <c r="B6" s="2">
        <v>50</v>
      </c>
      <c r="C6" s="2">
        <v>20</v>
      </c>
      <c r="E6" t="s">
        <v>152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BE38C-EA0A-4BE9-A4B1-CC03963F5B0E}">
  <sheetPr codeName="Sheet5"/>
  <dimension ref="A1:D7"/>
  <sheetViews>
    <sheetView workbookViewId="0">
      <selection activeCell="D8" sqref="D8"/>
    </sheetView>
  </sheetViews>
  <sheetFormatPr defaultRowHeight="13.2" x14ac:dyDescent="0.25"/>
  <sheetData>
    <row r="1" spans="1:4" x14ac:dyDescent="0.25">
      <c r="A1" s="8" t="s">
        <v>132</v>
      </c>
    </row>
    <row r="2" spans="1:4" x14ac:dyDescent="0.25">
      <c r="A2" s="8" t="s">
        <v>133</v>
      </c>
    </row>
    <row r="3" spans="1:4" x14ac:dyDescent="0.25">
      <c r="A3" s="8" t="s">
        <v>134</v>
      </c>
    </row>
    <row r="4" spans="1:4" x14ac:dyDescent="0.25">
      <c r="A4" s="8" t="s">
        <v>135</v>
      </c>
    </row>
    <row r="5" spans="1:4" x14ac:dyDescent="0.25">
      <c r="A5" s="8" t="s">
        <v>218</v>
      </c>
    </row>
    <row r="6" spans="1:4" x14ac:dyDescent="0.25">
      <c r="A6" s="8" t="s">
        <v>237</v>
      </c>
    </row>
    <row r="7" spans="1:4" x14ac:dyDescent="0.25">
      <c r="A7" s="8" t="s">
        <v>257</v>
      </c>
      <c r="C7" s="13">
        <f ca="1">SUMPRODUCT(Artists!F:F,Artists!J:J)/SUM(Artists!F:F)</f>
        <v>0.24601176470588237</v>
      </c>
      <c r="D7" t="s">
        <v>259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4EFDB-940B-4FA0-BC89-75FB9E6EF8E1}">
  <dimension ref="A1:B4"/>
  <sheetViews>
    <sheetView workbookViewId="0">
      <selection activeCell="B4" sqref="B4"/>
    </sheetView>
  </sheetViews>
  <sheetFormatPr defaultRowHeight="13.2" x14ac:dyDescent="0.25"/>
  <sheetData>
    <row r="1" spans="1:2" x14ac:dyDescent="0.25">
      <c r="A1">
        <f ca="1">(SUM(Songs!G:G)-SUM(Songs!F:F))/A3/A4</f>
        <v>1</v>
      </c>
      <c r="B1" s="8" t="s">
        <v>176</v>
      </c>
    </row>
    <row r="2" spans="1:2" x14ac:dyDescent="0.25">
      <c r="A2">
        <f ca="1">SUM(Artists!F:F)/A3/A4</f>
        <v>1</v>
      </c>
      <c r="B2" s="8" t="s">
        <v>175</v>
      </c>
    </row>
    <row r="3" spans="1:2" x14ac:dyDescent="0.25">
      <c r="A3">
        <f>COUNTA(Data!1:1)</f>
        <v>17</v>
      </c>
      <c r="B3" s="8" t="s">
        <v>173</v>
      </c>
    </row>
    <row r="4" spans="1:2" x14ac:dyDescent="0.25">
      <c r="A4">
        <v>50</v>
      </c>
      <c r="B4" s="8" t="s">
        <v>174</v>
      </c>
    </row>
  </sheetData>
  <conditionalFormatting sqref="A1:A2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Current Chart</vt:lpstr>
      <vt:lpstr>Songs</vt:lpstr>
      <vt:lpstr>Artists</vt:lpstr>
      <vt:lpstr>Rules</vt:lpstr>
      <vt:lpstr>Ideas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 MO</cp:lastModifiedBy>
  <dcterms:created xsi:type="dcterms:W3CDTF">2024-03-23T23:47:24Z</dcterms:created>
  <dcterms:modified xsi:type="dcterms:W3CDTF">2024-05-16T03:38:27Z</dcterms:modified>
</cp:coreProperties>
</file>