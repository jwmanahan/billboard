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1B575476-C53B-47A9-8143-C3E155707608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Data" sheetId="1" r:id="rId1"/>
    <sheet name="Current Chart" sheetId="7" r:id="rId2"/>
    <sheet name="Songs" sheetId="2" r:id="rId3"/>
    <sheet name="Artists" sheetId="3" r:id="rId4"/>
    <sheet name="Rules" sheetId="4" r:id="rId5"/>
    <sheet name="Ideas" sheetId="5" r:id="rId6"/>
    <sheet name="Validation" sheetId="6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" l="1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A2" i="7"/>
  <c r="D2" i="7" s="1"/>
  <c r="P81" i="2"/>
  <c r="O81" i="2"/>
  <c r="N81" i="2"/>
  <c r="M81" i="2"/>
  <c r="L81" i="2"/>
  <c r="K81" i="2"/>
  <c r="J81" i="2"/>
  <c r="I81" i="2"/>
  <c r="H81" i="2"/>
  <c r="P80" i="2"/>
  <c r="O80" i="2"/>
  <c r="N80" i="2"/>
  <c r="M80" i="2"/>
  <c r="L80" i="2"/>
  <c r="K80" i="2"/>
  <c r="J80" i="2"/>
  <c r="I80" i="2"/>
  <c r="H80" i="2"/>
  <c r="P79" i="2"/>
  <c r="O79" i="2"/>
  <c r="N79" i="2"/>
  <c r="M79" i="2"/>
  <c r="L79" i="2"/>
  <c r="K79" i="2"/>
  <c r="J79" i="2"/>
  <c r="I79" i="2"/>
  <c r="H79" i="2"/>
  <c r="P78" i="2"/>
  <c r="O78" i="2"/>
  <c r="N78" i="2"/>
  <c r="M78" i="2"/>
  <c r="L78" i="2"/>
  <c r="K78" i="2"/>
  <c r="J78" i="2"/>
  <c r="I78" i="2"/>
  <c r="H78" i="2"/>
  <c r="P77" i="2"/>
  <c r="O77" i="2"/>
  <c r="N77" i="2"/>
  <c r="M77" i="2"/>
  <c r="L77" i="2"/>
  <c r="K77" i="2"/>
  <c r="J77" i="2"/>
  <c r="I77" i="2"/>
  <c r="H77" i="2"/>
  <c r="P76" i="2"/>
  <c r="O76" i="2"/>
  <c r="N76" i="2"/>
  <c r="M76" i="2"/>
  <c r="L76" i="2"/>
  <c r="K76" i="2"/>
  <c r="J76" i="2"/>
  <c r="I76" i="2"/>
  <c r="H76" i="2"/>
  <c r="P75" i="2"/>
  <c r="O75" i="2"/>
  <c r="N75" i="2"/>
  <c r="M75" i="2"/>
  <c r="L75" i="2"/>
  <c r="K75" i="2"/>
  <c r="J75" i="2"/>
  <c r="I75" i="2"/>
  <c r="H75" i="2"/>
  <c r="P74" i="2"/>
  <c r="O74" i="2"/>
  <c r="N74" i="2"/>
  <c r="M74" i="2"/>
  <c r="L74" i="2"/>
  <c r="K74" i="2"/>
  <c r="J74" i="2"/>
  <c r="I74" i="2"/>
  <c r="H74" i="2"/>
  <c r="P73" i="2"/>
  <c r="O73" i="2"/>
  <c r="N73" i="2"/>
  <c r="M73" i="2"/>
  <c r="L73" i="2"/>
  <c r="K73" i="2"/>
  <c r="J73" i="2"/>
  <c r="I73" i="2"/>
  <c r="H73" i="2"/>
  <c r="P72" i="2"/>
  <c r="O72" i="2"/>
  <c r="N72" i="2"/>
  <c r="M72" i="2"/>
  <c r="L72" i="2"/>
  <c r="K72" i="2"/>
  <c r="J72" i="2"/>
  <c r="I72" i="2"/>
  <c r="H72" i="2"/>
  <c r="P71" i="2"/>
  <c r="O71" i="2"/>
  <c r="N71" i="2"/>
  <c r="M71" i="2"/>
  <c r="L71" i="2"/>
  <c r="K71" i="2"/>
  <c r="J71" i="2"/>
  <c r="I71" i="2"/>
  <c r="H71" i="2"/>
  <c r="P70" i="2"/>
  <c r="O70" i="2"/>
  <c r="N70" i="2"/>
  <c r="M70" i="2"/>
  <c r="L70" i="2"/>
  <c r="K70" i="2"/>
  <c r="J70" i="2"/>
  <c r="I70" i="2"/>
  <c r="H70" i="2"/>
  <c r="P69" i="2"/>
  <c r="O69" i="2"/>
  <c r="N69" i="2"/>
  <c r="M69" i="2"/>
  <c r="L69" i="2"/>
  <c r="K69" i="2"/>
  <c r="J69" i="2"/>
  <c r="I69" i="2"/>
  <c r="H69" i="2"/>
  <c r="P68" i="2"/>
  <c r="O68" i="2"/>
  <c r="N68" i="2"/>
  <c r="M68" i="2"/>
  <c r="L68" i="2"/>
  <c r="K68" i="2"/>
  <c r="J68" i="2"/>
  <c r="I68" i="2"/>
  <c r="H68" i="2"/>
  <c r="P67" i="2"/>
  <c r="O67" i="2"/>
  <c r="N67" i="2"/>
  <c r="M67" i="2"/>
  <c r="L67" i="2"/>
  <c r="K67" i="2"/>
  <c r="J67" i="2"/>
  <c r="I67" i="2"/>
  <c r="H67" i="2"/>
  <c r="P66" i="2"/>
  <c r="O66" i="2"/>
  <c r="N66" i="2"/>
  <c r="M66" i="2"/>
  <c r="L66" i="2"/>
  <c r="K66" i="2"/>
  <c r="J66" i="2"/>
  <c r="I66" i="2"/>
  <c r="H66" i="2"/>
  <c r="P65" i="2"/>
  <c r="O65" i="2"/>
  <c r="N65" i="2"/>
  <c r="M65" i="2"/>
  <c r="L65" i="2"/>
  <c r="K65" i="2"/>
  <c r="J65" i="2"/>
  <c r="I65" i="2"/>
  <c r="H65" i="2"/>
  <c r="P64" i="2"/>
  <c r="O64" i="2"/>
  <c r="N64" i="2"/>
  <c r="M64" i="2"/>
  <c r="L64" i="2"/>
  <c r="K64" i="2"/>
  <c r="J64" i="2"/>
  <c r="I64" i="2"/>
  <c r="H64" i="2"/>
  <c r="P63" i="2"/>
  <c r="O63" i="2"/>
  <c r="N63" i="2"/>
  <c r="M63" i="2"/>
  <c r="L63" i="2"/>
  <c r="K63" i="2"/>
  <c r="J63" i="2"/>
  <c r="I63" i="2"/>
  <c r="H63" i="2"/>
  <c r="P62" i="2"/>
  <c r="O62" i="2"/>
  <c r="N62" i="2"/>
  <c r="M62" i="2"/>
  <c r="L62" i="2"/>
  <c r="K62" i="2"/>
  <c r="J62" i="2"/>
  <c r="I62" i="2"/>
  <c r="H62" i="2"/>
  <c r="P61" i="2"/>
  <c r="O61" i="2"/>
  <c r="N61" i="2"/>
  <c r="M61" i="2"/>
  <c r="L61" i="2"/>
  <c r="K61" i="2"/>
  <c r="J61" i="2"/>
  <c r="I61" i="2"/>
  <c r="H61" i="2"/>
  <c r="P60" i="2"/>
  <c r="O60" i="2"/>
  <c r="N60" i="2"/>
  <c r="M60" i="2"/>
  <c r="L60" i="2"/>
  <c r="K60" i="2"/>
  <c r="J60" i="2"/>
  <c r="I60" i="2"/>
  <c r="H60" i="2"/>
  <c r="P59" i="2"/>
  <c r="O59" i="2"/>
  <c r="N59" i="2"/>
  <c r="M59" i="2"/>
  <c r="L59" i="2"/>
  <c r="K59" i="2"/>
  <c r="J59" i="2"/>
  <c r="I59" i="2"/>
  <c r="H59" i="2"/>
  <c r="P58" i="2"/>
  <c r="O58" i="2"/>
  <c r="N58" i="2"/>
  <c r="M58" i="2"/>
  <c r="L58" i="2"/>
  <c r="K58" i="2"/>
  <c r="J58" i="2"/>
  <c r="I58" i="2"/>
  <c r="H58" i="2"/>
  <c r="P57" i="2"/>
  <c r="O57" i="2"/>
  <c r="N57" i="2"/>
  <c r="M57" i="2"/>
  <c r="L57" i="2"/>
  <c r="K57" i="2"/>
  <c r="J57" i="2"/>
  <c r="I57" i="2"/>
  <c r="H57" i="2"/>
  <c r="P56" i="2"/>
  <c r="O56" i="2"/>
  <c r="N56" i="2"/>
  <c r="M56" i="2"/>
  <c r="L56" i="2"/>
  <c r="K56" i="2"/>
  <c r="J56" i="2"/>
  <c r="I56" i="2"/>
  <c r="H56" i="2"/>
  <c r="P55" i="2"/>
  <c r="O55" i="2"/>
  <c r="N55" i="2"/>
  <c r="M55" i="2"/>
  <c r="L55" i="2"/>
  <c r="K55" i="2"/>
  <c r="J55" i="2"/>
  <c r="I55" i="2"/>
  <c r="H55" i="2"/>
  <c r="P54" i="2"/>
  <c r="O54" i="2"/>
  <c r="N54" i="2"/>
  <c r="M54" i="2"/>
  <c r="L54" i="2"/>
  <c r="K54" i="2"/>
  <c r="J54" i="2"/>
  <c r="I54" i="2"/>
  <c r="H54" i="2"/>
  <c r="P53" i="2"/>
  <c r="O53" i="2"/>
  <c r="N53" i="2"/>
  <c r="M53" i="2"/>
  <c r="L53" i="2"/>
  <c r="K53" i="2"/>
  <c r="J53" i="2"/>
  <c r="I53" i="2"/>
  <c r="H53" i="2"/>
  <c r="P52" i="2"/>
  <c r="O52" i="2"/>
  <c r="N52" i="2"/>
  <c r="M52" i="2"/>
  <c r="L52" i="2"/>
  <c r="K52" i="2"/>
  <c r="J52" i="2"/>
  <c r="I52" i="2"/>
  <c r="H52" i="2"/>
  <c r="P51" i="2"/>
  <c r="O51" i="2"/>
  <c r="N51" i="2"/>
  <c r="M51" i="2"/>
  <c r="L51" i="2"/>
  <c r="K51" i="2"/>
  <c r="J51" i="2"/>
  <c r="I51" i="2"/>
  <c r="H51" i="2"/>
  <c r="P50" i="2"/>
  <c r="O50" i="2"/>
  <c r="N50" i="2"/>
  <c r="M50" i="2"/>
  <c r="L50" i="2"/>
  <c r="K50" i="2"/>
  <c r="J50" i="2"/>
  <c r="I50" i="2"/>
  <c r="H50" i="2"/>
  <c r="P49" i="2"/>
  <c r="O49" i="2"/>
  <c r="N49" i="2"/>
  <c r="M49" i="2"/>
  <c r="L49" i="2"/>
  <c r="K49" i="2"/>
  <c r="J49" i="2"/>
  <c r="I49" i="2"/>
  <c r="H49" i="2"/>
  <c r="P48" i="2"/>
  <c r="O48" i="2"/>
  <c r="N48" i="2"/>
  <c r="M48" i="2"/>
  <c r="L48" i="2"/>
  <c r="K48" i="2"/>
  <c r="J48" i="2"/>
  <c r="I48" i="2"/>
  <c r="H48" i="2"/>
  <c r="P47" i="2"/>
  <c r="O47" i="2"/>
  <c r="N47" i="2"/>
  <c r="M47" i="2"/>
  <c r="L47" i="2"/>
  <c r="K47" i="2"/>
  <c r="J47" i="2"/>
  <c r="I47" i="2"/>
  <c r="H47" i="2"/>
  <c r="P46" i="2"/>
  <c r="O46" i="2"/>
  <c r="N46" i="2"/>
  <c r="M46" i="2"/>
  <c r="L46" i="2"/>
  <c r="K46" i="2"/>
  <c r="J46" i="2"/>
  <c r="I46" i="2"/>
  <c r="H46" i="2"/>
  <c r="P45" i="2"/>
  <c r="O45" i="2"/>
  <c r="N45" i="2"/>
  <c r="M45" i="2"/>
  <c r="L45" i="2"/>
  <c r="K45" i="2"/>
  <c r="J45" i="2"/>
  <c r="I45" i="2"/>
  <c r="H45" i="2"/>
  <c r="P44" i="2"/>
  <c r="O44" i="2"/>
  <c r="N44" i="2"/>
  <c r="M44" i="2"/>
  <c r="L44" i="2"/>
  <c r="K44" i="2"/>
  <c r="J44" i="2"/>
  <c r="I44" i="2"/>
  <c r="H44" i="2"/>
  <c r="P43" i="2"/>
  <c r="O43" i="2"/>
  <c r="N43" i="2"/>
  <c r="M43" i="2"/>
  <c r="L43" i="2"/>
  <c r="K43" i="2"/>
  <c r="J43" i="2"/>
  <c r="I43" i="2"/>
  <c r="H43" i="2"/>
  <c r="P42" i="2"/>
  <c r="O42" i="2"/>
  <c r="N42" i="2"/>
  <c r="M42" i="2"/>
  <c r="L42" i="2"/>
  <c r="K42" i="2"/>
  <c r="J42" i="2"/>
  <c r="I42" i="2"/>
  <c r="H42" i="2"/>
  <c r="P41" i="2"/>
  <c r="O41" i="2"/>
  <c r="N41" i="2"/>
  <c r="M41" i="2"/>
  <c r="L41" i="2"/>
  <c r="K41" i="2"/>
  <c r="J41" i="2"/>
  <c r="I41" i="2"/>
  <c r="H41" i="2"/>
  <c r="P40" i="2"/>
  <c r="O40" i="2"/>
  <c r="N40" i="2"/>
  <c r="M40" i="2"/>
  <c r="L40" i="2"/>
  <c r="K40" i="2"/>
  <c r="J40" i="2"/>
  <c r="I40" i="2"/>
  <c r="H40" i="2"/>
  <c r="P39" i="2"/>
  <c r="O39" i="2"/>
  <c r="N39" i="2"/>
  <c r="M39" i="2"/>
  <c r="L39" i="2"/>
  <c r="K39" i="2"/>
  <c r="J39" i="2"/>
  <c r="I39" i="2"/>
  <c r="H39" i="2"/>
  <c r="P38" i="2"/>
  <c r="O38" i="2"/>
  <c r="N38" i="2"/>
  <c r="M38" i="2"/>
  <c r="L38" i="2"/>
  <c r="K38" i="2"/>
  <c r="J38" i="2"/>
  <c r="I38" i="2"/>
  <c r="H38" i="2"/>
  <c r="P37" i="2"/>
  <c r="O37" i="2"/>
  <c r="N37" i="2"/>
  <c r="M37" i="2"/>
  <c r="L37" i="2"/>
  <c r="K37" i="2"/>
  <c r="J37" i="2"/>
  <c r="I37" i="2"/>
  <c r="H37" i="2"/>
  <c r="P36" i="2"/>
  <c r="O36" i="2"/>
  <c r="N36" i="2"/>
  <c r="M36" i="2"/>
  <c r="L36" i="2"/>
  <c r="K36" i="2"/>
  <c r="J36" i="2"/>
  <c r="I36" i="2"/>
  <c r="H36" i="2"/>
  <c r="P35" i="2"/>
  <c r="O35" i="2"/>
  <c r="N35" i="2"/>
  <c r="M35" i="2"/>
  <c r="L35" i="2"/>
  <c r="K35" i="2"/>
  <c r="J35" i="2"/>
  <c r="I35" i="2"/>
  <c r="H35" i="2"/>
  <c r="P34" i="2"/>
  <c r="O34" i="2"/>
  <c r="N34" i="2"/>
  <c r="M34" i="2"/>
  <c r="L34" i="2"/>
  <c r="K34" i="2"/>
  <c r="J34" i="2"/>
  <c r="I34" i="2"/>
  <c r="H34" i="2"/>
  <c r="P33" i="2"/>
  <c r="O33" i="2"/>
  <c r="N33" i="2"/>
  <c r="M33" i="2"/>
  <c r="L33" i="2"/>
  <c r="K33" i="2"/>
  <c r="J33" i="2"/>
  <c r="I33" i="2"/>
  <c r="H33" i="2"/>
  <c r="P32" i="2"/>
  <c r="O32" i="2"/>
  <c r="N32" i="2"/>
  <c r="M32" i="2"/>
  <c r="L32" i="2"/>
  <c r="K32" i="2"/>
  <c r="J32" i="2"/>
  <c r="I32" i="2"/>
  <c r="H32" i="2"/>
  <c r="P31" i="2"/>
  <c r="O31" i="2"/>
  <c r="N31" i="2"/>
  <c r="M31" i="2"/>
  <c r="L31" i="2"/>
  <c r="K31" i="2"/>
  <c r="J31" i="2"/>
  <c r="I31" i="2"/>
  <c r="H31" i="2"/>
  <c r="P30" i="2"/>
  <c r="O30" i="2"/>
  <c r="N30" i="2"/>
  <c r="M30" i="2"/>
  <c r="L30" i="2"/>
  <c r="K30" i="2"/>
  <c r="J30" i="2"/>
  <c r="I30" i="2"/>
  <c r="H30" i="2"/>
  <c r="P29" i="2"/>
  <c r="O29" i="2"/>
  <c r="N29" i="2"/>
  <c r="M29" i="2"/>
  <c r="L29" i="2"/>
  <c r="K29" i="2"/>
  <c r="J29" i="2"/>
  <c r="I29" i="2"/>
  <c r="H29" i="2"/>
  <c r="P28" i="2"/>
  <c r="O28" i="2"/>
  <c r="N28" i="2"/>
  <c r="M28" i="2"/>
  <c r="L28" i="2"/>
  <c r="K28" i="2"/>
  <c r="J28" i="2"/>
  <c r="I28" i="2"/>
  <c r="H28" i="2"/>
  <c r="P27" i="2"/>
  <c r="O27" i="2"/>
  <c r="N27" i="2"/>
  <c r="M27" i="2"/>
  <c r="L27" i="2"/>
  <c r="K27" i="2"/>
  <c r="J27" i="2"/>
  <c r="I27" i="2"/>
  <c r="H27" i="2"/>
  <c r="P26" i="2"/>
  <c r="O26" i="2"/>
  <c r="N26" i="2"/>
  <c r="M26" i="2"/>
  <c r="L26" i="2"/>
  <c r="K26" i="2"/>
  <c r="J26" i="2"/>
  <c r="I26" i="2"/>
  <c r="H26" i="2"/>
  <c r="P25" i="2"/>
  <c r="O25" i="2"/>
  <c r="N25" i="2"/>
  <c r="M25" i="2"/>
  <c r="L25" i="2"/>
  <c r="K25" i="2"/>
  <c r="J25" i="2"/>
  <c r="I25" i="2"/>
  <c r="H25" i="2"/>
  <c r="P24" i="2"/>
  <c r="O24" i="2"/>
  <c r="N24" i="2"/>
  <c r="M24" i="2"/>
  <c r="L24" i="2"/>
  <c r="K24" i="2"/>
  <c r="J24" i="2"/>
  <c r="I24" i="2"/>
  <c r="H24" i="2"/>
  <c r="P23" i="2"/>
  <c r="O23" i="2"/>
  <c r="N23" i="2"/>
  <c r="M23" i="2"/>
  <c r="L23" i="2"/>
  <c r="K23" i="2"/>
  <c r="J23" i="2"/>
  <c r="I23" i="2"/>
  <c r="H23" i="2"/>
  <c r="P22" i="2"/>
  <c r="O22" i="2"/>
  <c r="N22" i="2"/>
  <c r="M22" i="2"/>
  <c r="L22" i="2"/>
  <c r="K22" i="2"/>
  <c r="J22" i="2"/>
  <c r="I22" i="2"/>
  <c r="H22" i="2"/>
  <c r="P21" i="2"/>
  <c r="O21" i="2"/>
  <c r="N21" i="2"/>
  <c r="M21" i="2"/>
  <c r="L21" i="2"/>
  <c r="K21" i="2"/>
  <c r="J21" i="2"/>
  <c r="I21" i="2"/>
  <c r="H21" i="2"/>
  <c r="P20" i="2"/>
  <c r="O20" i="2"/>
  <c r="N20" i="2"/>
  <c r="M20" i="2"/>
  <c r="L20" i="2"/>
  <c r="K20" i="2"/>
  <c r="J20" i="2"/>
  <c r="I20" i="2"/>
  <c r="H20" i="2"/>
  <c r="P19" i="2"/>
  <c r="O19" i="2"/>
  <c r="N19" i="2"/>
  <c r="M19" i="2"/>
  <c r="L19" i="2"/>
  <c r="K19" i="2"/>
  <c r="J19" i="2"/>
  <c r="I19" i="2"/>
  <c r="H19" i="2"/>
  <c r="P18" i="2"/>
  <c r="O18" i="2"/>
  <c r="N18" i="2"/>
  <c r="M18" i="2"/>
  <c r="L18" i="2"/>
  <c r="K18" i="2"/>
  <c r="J18" i="2"/>
  <c r="I18" i="2"/>
  <c r="H18" i="2"/>
  <c r="P17" i="2"/>
  <c r="O17" i="2"/>
  <c r="N17" i="2"/>
  <c r="M17" i="2"/>
  <c r="L17" i="2"/>
  <c r="K17" i="2"/>
  <c r="J17" i="2"/>
  <c r="I17" i="2"/>
  <c r="H17" i="2"/>
  <c r="P16" i="2"/>
  <c r="O16" i="2"/>
  <c r="N16" i="2"/>
  <c r="M16" i="2"/>
  <c r="L16" i="2"/>
  <c r="K16" i="2"/>
  <c r="J16" i="2"/>
  <c r="I16" i="2"/>
  <c r="H16" i="2"/>
  <c r="P15" i="2"/>
  <c r="O15" i="2"/>
  <c r="N15" i="2"/>
  <c r="M15" i="2"/>
  <c r="L15" i="2"/>
  <c r="K15" i="2"/>
  <c r="J15" i="2"/>
  <c r="I15" i="2"/>
  <c r="H15" i="2"/>
  <c r="P14" i="2"/>
  <c r="O14" i="2"/>
  <c r="N14" i="2"/>
  <c r="M14" i="2"/>
  <c r="L14" i="2"/>
  <c r="K14" i="2"/>
  <c r="J14" i="2"/>
  <c r="I14" i="2"/>
  <c r="H14" i="2"/>
  <c r="P13" i="2"/>
  <c r="O13" i="2"/>
  <c r="N13" i="2"/>
  <c r="M13" i="2"/>
  <c r="L13" i="2"/>
  <c r="K13" i="2"/>
  <c r="J13" i="2"/>
  <c r="I13" i="2"/>
  <c r="H13" i="2"/>
  <c r="P12" i="2"/>
  <c r="O12" i="2"/>
  <c r="N12" i="2"/>
  <c r="M12" i="2"/>
  <c r="L12" i="2"/>
  <c r="K12" i="2"/>
  <c r="J12" i="2"/>
  <c r="I12" i="2"/>
  <c r="H12" i="2"/>
  <c r="P11" i="2"/>
  <c r="O11" i="2"/>
  <c r="N11" i="2"/>
  <c r="M11" i="2"/>
  <c r="L11" i="2"/>
  <c r="K11" i="2"/>
  <c r="J11" i="2"/>
  <c r="I11" i="2"/>
  <c r="H11" i="2"/>
  <c r="P10" i="2"/>
  <c r="O10" i="2"/>
  <c r="N10" i="2"/>
  <c r="M10" i="2"/>
  <c r="L10" i="2"/>
  <c r="K10" i="2"/>
  <c r="J10" i="2"/>
  <c r="I10" i="2"/>
  <c r="H10" i="2"/>
  <c r="P9" i="2"/>
  <c r="O9" i="2"/>
  <c r="N9" i="2"/>
  <c r="M9" i="2"/>
  <c r="L9" i="2"/>
  <c r="K9" i="2"/>
  <c r="J9" i="2"/>
  <c r="I9" i="2"/>
  <c r="H9" i="2"/>
  <c r="P8" i="2"/>
  <c r="O8" i="2"/>
  <c r="N8" i="2"/>
  <c r="M8" i="2"/>
  <c r="L8" i="2"/>
  <c r="K8" i="2"/>
  <c r="J8" i="2"/>
  <c r="I8" i="2"/>
  <c r="H8" i="2"/>
  <c r="P7" i="2"/>
  <c r="O7" i="2"/>
  <c r="N7" i="2"/>
  <c r="M7" i="2"/>
  <c r="L7" i="2"/>
  <c r="K7" i="2"/>
  <c r="J7" i="2"/>
  <c r="I7" i="2"/>
  <c r="H7" i="2"/>
  <c r="P6" i="2"/>
  <c r="O6" i="2"/>
  <c r="N6" i="2"/>
  <c r="M6" i="2"/>
  <c r="L6" i="2"/>
  <c r="K6" i="2"/>
  <c r="J6" i="2"/>
  <c r="I6" i="2"/>
  <c r="H6" i="2"/>
  <c r="P5" i="2"/>
  <c r="O5" i="2"/>
  <c r="N5" i="2"/>
  <c r="M5" i="2"/>
  <c r="L5" i="2"/>
  <c r="K5" i="2"/>
  <c r="J5" i="2"/>
  <c r="I5" i="2"/>
  <c r="H5" i="2"/>
  <c r="P4" i="2"/>
  <c r="O4" i="2"/>
  <c r="N4" i="2"/>
  <c r="M4" i="2"/>
  <c r="L4" i="2"/>
  <c r="K4" i="2"/>
  <c r="J4" i="2"/>
  <c r="I4" i="2"/>
  <c r="H4" i="2"/>
  <c r="P3" i="2"/>
  <c r="O3" i="2"/>
  <c r="N3" i="2"/>
  <c r="M3" i="2"/>
  <c r="L3" i="2"/>
  <c r="K3" i="2"/>
  <c r="J3" i="2"/>
  <c r="I3" i="2"/>
  <c r="H3" i="2"/>
  <c r="P2" i="2"/>
  <c r="O2" i="2"/>
  <c r="N2" i="2"/>
  <c r="M2" i="2"/>
  <c r="L2" i="2"/>
  <c r="K2" i="2"/>
  <c r="J2" i="2"/>
  <c r="I2" i="2"/>
  <c r="H2" i="2"/>
  <c r="P1" i="2"/>
  <c r="O1" i="2"/>
  <c r="N1" i="2"/>
  <c r="M1" i="2"/>
  <c r="L1" i="2"/>
  <c r="K1" i="2"/>
  <c r="J1" i="2"/>
  <c r="I1" i="2"/>
  <c r="I64" i="3"/>
  <c r="H64" i="3"/>
  <c r="D64" i="3"/>
  <c r="C64" i="3"/>
  <c r="I63" i="3"/>
  <c r="H63" i="3"/>
  <c r="D63" i="3"/>
  <c r="C63" i="3"/>
  <c r="I3" i="3"/>
  <c r="H3" i="3"/>
  <c r="C3" i="3"/>
  <c r="F81" i="2"/>
  <c r="F73" i="2"/>
  <c r="F65" i="2"/>
  <c r="F57" i="2"/>
  <c r="F49" i="2"/>
  <c r="F41" i="2"/>
  <c r="F33" i="2"/>
  <c r="F25" i="2"/>
  <c r="F17" i="2"/>
  <c r="F9" i="2"/>
  <c r="F15" i="2"/>
  <c r="F74" i="2"/>
  <c r="F34" i="2"/>
  <c r="F10" i="2"/>
  <c r="F80" i="2"/>
  <c r="F72" i="2"/>
  <c r="F64" i="2"/>
  <c r="F56" i="2"/>
  <c r="F48" i="2"/>
  <c r="F40" i="2"/>
  <c r="F32" i="2"/>
  <c r="F24" i="2"/>
  <c r="F16" i="2"/>
  <c r="F8" i="2"/>
  <c r="F79" i="2"/>
  <c r="F71" i="2"/>
  <c r="F63" i="2"/>
  <c r="F55" i="2"/>
  <c r="F47" i="2"/>
  <c r="F39" i="2"/>
  <c r="F31" i="2"/>
  <c r="F23" i="2"/>
  <c r="F7" i="2"/>
  <c r="F35" i="2"/>
  <c r="F11" i="2"/>
  <c r="F66" i="2"/>
  <c r="F42" i="2"/>
  <c r="F18" i="2"/>
  <c r="F78" i="2"/>
  <c r="F70" i="2"/>
  <c r="F62" i="2"/>
  <c r="F54" i="2"/>
  <c r="F46" i="2"/>
  <c r="F38" i="2"/>
  <c r="F30" i="2"/>
  <c r="F22" i="2"/>
  <c r="F14" i="2"/>
  <c r="F6" i="2"/>
  <c r="F77" i="2"/>
  <c r="F69" i="2"/>
  <c r="F61" i="2"/>
  <c r="F53" i="2"/>
  <c r="F45" i="2"/>
  <c r="F37" i="2"/>
  <c r="F29" i="2"/>
  <c r="F21" i="2"/>
  <c r="F13" i="2"/>
  <c r="F5" i="2"/>
  <c r="F67" i="2"/>
  <c r="F59" i="2"/>
  <c r="F51" i="2"/>
  <c r="F43" i="2"/>
  <c r="F27" i="2"/>
  <c r="F19" i="2"/>
  <c r="F3" i="2"/>
  <c r="F58" i="2"/>
  <c r="F50" i="2"/>
  <c r="F26" i="2"/>
  <c r="F76" i="2"/>
  <c r="F68" i="2"/>
  <c r="F60" i="2"/>
  <c r="F52" i="2"/>
  <c r="F44" i="2"/>
  <c r="F36" i="2"/>
  <c r="F28" i="2"/>
  <c r="F20" i="2"/>
  <c r="F12" i="2"/>
  <c r="F4" i="2"/>
  <c r="F75" i="2"/>
  <c r="F2" i="2"/>
  <c r="A1" i="6" l="1"/>
  <c r="C3" i="7"/>
  <c r="C18" i="7"/>
  <c r="C6" i="7"/>
  <c r="C7" i="7"/>
  <c r="C16" i="7"/>
  <c r="C31" i="7"/>
  <c r="C29" i="7"/>
  <c r="C36" i="7"/>
  <c r="C21" i="7"/>
  <c r="C4" i="7"/>
  <c r="C15" i="7"/>
  <c r="C34" i="7"/>
  <c r="C48" i="7"/>
  <c r="C38" i="7"/>
  <c r="C5" i="7"/>
  <c r="C10" i="7"/>
  <c r="C13" i="7"/>
  <c r="C41" i="7"/>
  <c r="C51" i="7"/>
  <c r="C11" i="7"/>
  <c r="C28" i="7"/>
  <c r="C42" i="7"/>
  <c r="C24" i="7"/>
  <c r="C46" i="7"/>
  <c r="C37" i="7"/>
  <c r="C43" i="7"/>
  <c r="C9" i="7"/>
  <c r="C44" i="7"/>
  <c r="C26" i="7"/>
  <c r="C25" i="7"/>
  <c r="C47" i="7"/>
  <c r="C19" i="7"/>
  <c r="C49" i="7"/>
  <c r="C30" i="7"/>
  <c r="C27" i="7"/>
  <c r="C45" i="7"/>
  <c r="C35" i="7"/>
  <c r="C20" i="7"/>
  <c r="C39" i="7"/>
  <c r="C40" i="7"/>
  <c r="C14" i="7"/>
  <c r="C8" i="7"/>
  <c r="D8" i="7" s="1"/>
  <c r="C12" i="7"/>
  <c r="C17" i="7"/>
  <c r="C22" i="7"/>
  <c r="C23" i="7"/>
  <c r="C33" i="7"/>
  <c r="C32" i="7"/>
  <c r="C50" i="7"/>
  <c r="C2" i="7"/>
  <c r="H4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10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2" i="3"/>
  <c r="I11" i="3"/>
  <c r="I8" i="3"/>
  <c r="I7" i="3"/>
  <c r="I2" i="3"/>
  <c r="H2" i="3"/>
  <c r="H6" i="3"/>
  <c r="H7" i="3"/>
  <c r="H5" i="3"/>
  <c r="H8" i="3"/>
  <c r="H9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10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D62" i="3"/>
  <c r="D61" i="3"/>
  <c r="D60" i="3"/>
  <c r="C62" i="3"/>
  <c r="C61" i="3"/>
  <c r="C60" i="3"/>
  <c r="C4" i="3"/>
  <c r="C6" i="3"/>
  <c r="C7" i="3"/>
  <c r="C5" i="3"/>
  <c r="C8" i="3"/>
  <c r="C9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10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2" i="3"/>
  <c r="H1" i="2"/>
  <c r="A3" i="1"/>
  <c r="A4" i="1" l="1"/>
  <c r="A3" i="7"/>
  <c r="D3" i="7" s="1"/>
  <c r="I6" i="3"/>
  <c r="D48" i="3"/>
  <c r="D51" i="3"/>
  <c r="I62" i="3"/>
  <c r="D53" i="3"/>
  <c r="D52" i="3"/>
  <c r="D38" i="3"/>
  <c r="I61" i="3"/>
  <c r="I9" i="3"/>
  <c r="D46" i="3"/>
  <c r="D55" i="3"/>
  <c r="D57" i="3"/>
  <c r="D43" i="3"/>
  <c r="D39" i="3"/>
  <c r="D41" i="3"/>
  <c r="D54" i="3"/>
  <c r="D56" i="3"/>
  <c r="A5" i="1" l="1"/>
  <c r="A4" i="7"/>
  <c r="D4" i="7" s="1"/>
  <c r="D50" i="3"/>
  <c r="D3" i="3"/>
  <c r="D42" i="3"/>
  <c r="D32" i="3"/>
  <c r="D40" i="3"/>
  <c r="D30" i="3"/>
  <c r="D45" i="3"/>
  <c r="I4" i="3"/>
  <c r="D37" i="3"/>
  <c r="D8" i="3"/>
  <c r="I5" i="3"/>
  <c r="D35" i="3"/>
  <c r="D18" i="3"/>
  <c r="D31" i="3"/>
  <c r="D6" i="3"/>
  <c r="D19" i="3"/>
  <c r="D29" i="3"/>
  <c r="D47" i="3"/>
  <c r="D17" i="3"/>
  <c r="D9" i="3"/>
  <c r="D21" i="3"/>
  <c r="D44" i="3"/>
  <c r="D28" i="3"/>
  <c r="D13" i="3"/>
  <c r="D20" i="3"/>
  <c r="D34" i="3"/>
  <c r="D22" i="3"/>
  <c r="D26" i="3"/>
  <c r="D12" i="3"/>
  <c r="D10" i="3"/>
  <c r="D25" i="3"/>
  <c r="D14" i="3"/>
  <c r="D36" i="3"/>
  <c r="D24" i="3"/>
  <c r="D23" i="3"/>
  <c r="D58" i="3"/>
  <c r="D5" i="3"/>
  <c r="D49" i="3"/>
  <c r="D11" i="3"/>
  <c r="D7" i="3"/>
  <c r="D16" i="3"/>
  <c r="D27" i="3"/>
  <c r="D33" i="3"/>
  <c r="D59" i="3"/>
  <c r="I60" i="3"/>
  <c r="D15" i="3"/>
  <c r="D2" i="3"/>
  <c r="I13" i="3"/>
  <c r="D4" i="3"/>
  <c r="A2" i="6" l="1"/>
  <c r="A6" i="1"/>
  <c r="A5" i="7"/>
  <c r="D5" i="7" s="1"/>
  <c r="A7" i="1" l="1"/>
  <c r="A6" i="7"/>
  <c r="D6" i="7" s="1"/>
  <c r="A8" i="1" l="1"/>
  <c r="A7" i="7"/>
  <c r="D7" i="7" s="1"/>
  <c r="A9" i="1" l="1"/>
  <c r="A8" i="7"/>
  <c r="A10" i="1" l="1"/>
  <c r="A9" i="7"/>
  <c r="D9" i="7" s="1"/>
  <c r="A11" i="1" l="1"/>
  <c r="A10" i="7"/>
  <c r="D10" i="7" s="1"/>
  <c r="A12" i="1" l="1"/>
  <c r="A11" i="7"/>
  <c r="D11" i="7" s="1"/>
  <c r="A13" i="1" l="1"/>
  <c r="A12" i="7"/>
  <c r="D12" i="7" s="1"/>
  <c r="A14" i="1" l="1"/>
  <c r="A13" i="7"/>
  <c r="D13" i="7" s="1"/>
  <c r="A15" i="1" l="1"/>
  <c r="A14" i="7"/>
  <c r="D14" i="7" s="1"/>
  <c r="A16" i="1" l="1"/>
  <c r="A15" i="7"/>
  <c r="D15" i="7" s="1"/>
  <c r="A17" i="1" l="1"/>
  <c r="A16" i="7"/>
  <c r="D16" i="7" s="1"/>
  <c r="A18" i="1" l="1"/>
  <c r="A17" i="7"/>
  <c r="D17" i="7" s="1"/>
  <c r="A19" i="1" l="1"/>
  <c r="A18" i="7"/>
  <c r="D18" i="7" s="1"/>
  <c r="A20" i="1" l="1"/>
  <c r="A19" i="7"/>
  <c r="D19" i="7" s="1"/>
  <c r="A21" i="1" l="1"/>
  <c r="A20" i="7"/>
  <c r="D20" i="7" s="1"/>
  <c r="A22" i="1" l="1"/>
  <c r="A21" i="7"/>
  <c r="D21" i="7" s="1"/>
  <c r="A23" i="1" l="1"/>
  <c r="A22" i="7"/>
  <c r="D22" i="7" s="1"/>
  <c r="A24" i="1" l="1"/>
  <c r="A23" i="7"/>
  <c r="D23" i="7" s="1"/>
  <c r="A25" i="1" l="1"/>
  <c r="A24" i="7"/>
  <c r="D24" i="7" s="1"/>
  <c r="A26" i="1" l="1"/>
  <c r="A25" i="7"/>
  <c r="D25" i="7" s="1"/>
  <c r="A27" i="1" l="1"/>
  <c r="A26" i="7"/>
  <c r="D26" i="7" s="1"/>
  <c r="A28" i="1" l="1"/>
  <c r="A27" i="7"/>
  <c r="D27" i="7" s="1"/>
  <c r="A29" i="1" l="1"/>
  <c r="A28" i="7"/>
  <c r="D28" i="7" s="1"/>
  <c r="A30" i="1" l="1"/>
  <c r="A29" i="7"/>
  <c r="D29" i="7" s="1"/>
  <c r="A31" i="1" l="1"/>
  <c r="A30" i="7"/>
  <c r="D30" i="7" s="1"/>
  <c r="A32" i="1" l="1"/>
  <c r="A31" i="7"/>
  <c r="D31" i="7" s="1"/>
  <c r="A33" i="1" l="1"/>
  <c r="A32" i="7"/>
  <c r="D32" i="7" s="1"/>
  <c r="A34" i="1" l="1"/>
  <c r="A33" i="7"/>
  <c r="D33" i="7" s="1"/>
  <c r="A35" i="1" l="1"/>
  <c r="A34" i="7"/>
  <c r="D34" i="7" s="1"/>
  <c r="A36" i="1" l="1"/>
  <c r="A35" i="7"/>
  <c r="D35" i="7" s="1"/>
  <c r="A37" i="1" l="1"/>
  <c r="A36" i="7"/>
  <c r="D36" i="7" s="1"/>
  <c r="A38" i="1" l="1"/>
  <c r="A37" i="7"/>
  <c r="D37" i="7" s="1"/>
  <c r="A39" i="1" l="1"/>
  <c r="A38" i="7"/>
  <c r="D38" i="7" s="1"/>
  <c r="A40" i="1" l="1"/>
  <c r="A39" i="7"/>
  <c r="D39" i="7" s="1"/>
  <c r="A41" i="1" l="1"/>
  <c r="A40" i="7"/>
  <c r="D40" i="7" s="1"/>
  <c r="A42" i="1" l="1"/>
  <c r="A41" i="7"/>
  <c r="D41" i="7" s="1"/>
  <c r="A43" i="1" l="1"/>
  <c r="A42" i="7"/>
  <c r="D42" i="7" s="1"/>
  <c r="A44" i="1" l="1"/>
  <c r="A43" i="7"/>
  <c r="D43" i="7" s="1"/>
  <c r="A45" i="1" l="1"/>
  <c r="A44" i="7"/>
  <c r="D44" i="7" s="1"/>
  <c r="A46" i="1" l="1"/>
  <c r="A45" i="7"/>
  <c r="D45" i="7" s="1"/>
  <c r="A47" i="1" l="1"/>
  <c r="A46" i="7"/>
  <c r="D46" i="7" s="1"/>
  <c r="A48" i="1" l="1"/>
  <c r="A47" i="7"/>
  <c r="D47" i="7" s="1"/>
  <c r="A49" i="1" l="1"/>
  <c r="A48" i="7"/>
  <c r="D48" i="7" s="1"/>
  <c r="A50" i="1" l="1"/>
  <c r="A49" i="7"/>
  <c r="D49" i="7" s="1"/>
  <c r="A51" i="1" l="1"/>
  <c r="A51" i="7" s="1"/>
  <c r="D51" i="7" s="1"/>
  <c r="A50" i="7"/>
  <c r="D5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tc={B5B21C98-5BCD-4725-A3A9-259A8102E35A}</author>
  </authors>
  <commentList>
    <comment ref="A1" authorId="0" shapeId="0" xr:uid="{B5B21C98-5BCD-4725-A3A9-259A8102E35A}">
      <text>
        <t>[Threaded comment]
Your version of Excel allows you to read this threaded comment; however, any edits to it will get removed if the file is opened in a newer version of Excel. Learn more: https://go.microsoft.com/fwlink/?linkid=870924
Comment:
    A song is defined by name for now, should be name plus artists eventually assuming all versions of a song named exactly the same with exactly the same artists count as the same for the Billboard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tc={C5AFF4B1-CA15-43E7-8E21-82D997A5DC10}</author>
    <author>tc={22BABF1F-8FCB-4152-B25B-D8807486F95E}</author>
  </authors>
  <commentList>
    <comment ref="A1" authorId="0" shapeId="0" xr:uid="{C5AFF4B1-CA15-43E7-8E21-82D997A5DC10}">
      <text>
        <t>[Threaded comment]
Your version of Excel allows you to read this threaded comment; however, any edits to it will get removed if the file is opened in a newer version of Excel. Learn more: https://go.microsoft.com/fwlink/?linkid=870924
Comment:
    Artist name is working for now to define an artist, but if there is ever a duplicate, will need to switch to Artist ID or dates active or something</t>
      </text>
    </comment>
    <comment ref="H1" authorId="1" shapeId="0" xr:uid="{22BABF1F-8FCB-4152-B25B-D8807486F95E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switch to list parsing once there is a song featuring multiple artists</t>
      </text>
    </comment>
  </commentList>
</comments>
</file>

<file path=xl/sharedStrings.xml><?xml version="1.0" encoding="utf-8"?>
<sst xmlns="http://schemas.openxmlformats.org/spreadsheetml/2006/main" count="727" uniqueCount="189">
  <si>
    <t>I Remember Everything</t>
  </si>
  <si>
    <t>Texas Hold 'Em</t>
  </si>
  <si>
    <t>Last Night</t>
  </si>
  <si>
    <t>Fast Car</t>
  </si>
  <si>
    <t>Thinkin' Bout Me</t>
  </si>
  <si>
    <t>White Horse</t>
  </si>
  <si>
    <t>Spin You Around (1/24)</t>
  </si>
  <si>
    <t>Pretty Little Poison</t>
  </si>
  <si>
    <t>World On Fire</t>
  </si>
  <si>
    <t>Where The Wild Things Are</t>
  </si>
  <si>
    <t>Need A Favor</t>
  </si>
  <si>
    <t>The Painter</t>
  </si>
  <si>
    <t>Save Me</t>
  </si>
  <si>
    <t>Wild Ones</t>
  </si>
  <si>
    <t>16 Carriages</t>
  </si>
  <si>
    <t>WIld Ones</t>
  </si>
  <si>
    <t>Truck Bed</t>
  </si>
  <si>
    <t>Should've Been A Cowboy</t>
  </si>
  <si>
    <t>No Caller ID</t>
  </si>
  <si>
    <t>Burn It Down</t>
  </si>
  <si>
    <t>Man Made A Bar</t>
  </si>
  <si>
    <t>Different 'Round Here</t>
  </si>
  <si>
    <t>Courtesy Of The Red, White And Blue</t>
  </si>
  <si>
    <t>Hey Driver</t>
  </si>
  <si>
    <t>I Can Feel It</t>
  </si>
  <si>
    <t>23</t>
  </si>
  <si>
    <t>Save Me The Trouble</t>
  </si>
  <si>
    <t>We Don't Fight Anymore</t>
  </si>
  <si>
    <t>As Good As I Once Was</t>
  </si>
  <si>
    <t>Mamaw's House</t>
  </si>
  <si>
    <t>Wondering Why</t>
  </si>
  <si>
    <t>Coal</t>
  </si>
  <si>
    <t>Don't Let The Old Man In</t>
  </si>
  <si>
    <t>Rich Men North Of Richmond</t>
  </si>
  <si>
    <t>Creek Will Rise</t>
  </si>
  <si>
    <t>How Do You Like Me Now?!</t>
  </si>
  <si>
    <t>Wildflowers And Wild Horses</t>
  </si>
  <si>
    <t>Mind On You</t>
  </si>
  <si>
    <t>All I Need Is You</t>
  </si>
  <si>
    <t>Deeper Well</t>
  </si>
  <si>
    <t>In Your Love</t>
  </si>
  <si>
    <t>We Ride</t>
  </si>
  <si>
    <t>Back Then Right Now</t>
  </si>
  <si>
    <t>Bulletproof</t>
  </si>
  <si>
    <t>Tucson Too Late</t>
  </si>
  <si>
    <t>Dirt Cheap</t>
  </si>
  <si>
    <t>I'm Not Pretty</t>
  </si>
  <si>
    <t>Sarah's Place</t>
  </si>
  <si>
    <t>Fearless (The Echo)</t>
  </si>
  <si>
    <t>Glory Days</t>
  </si>
  <si>
    <t>Halfway To Hell</t>
  </si>
  <si>
    <t>Please Don't Go</t>
  </si>
  <si>
    <t>Outskirts</t>
  </si>
  <si>
    <t>I Think I'm In Love With You</t>
  </si>
  <si>
    <t>This Heart</t>
  </si>
  <si>
    <t>Your Place</t>
  </si>
  <si>
    <t>Three Little Birds</t>
  </si>
  <si>
    <t>Boys Back Home</t>
  </si>
  <si>
    <t>This Town's Been Too Good To Us</t>
  </si>
  <si>
    <t>Purple Irises</t>
  </si>
  <si>
    <t>El Dorado</t>
  </si>
  <si>
    <t>Heartbreaker</t>
  </si>
  <si>
    <t>Cab In A Solo</t>
  </si>
  <si>
    <t>Love You Again</t>
  </si>
  <si>
    <t>Strangers</t>
  </si>
  <si>
    <t>Can't Break Up Now</t>
  </si>
  <si>
    <t>Let Your Boys Be Country</t>
  </si>
  <si>
    <t>Something's Gonna Kill Me</t>
  </si>
  <si>
    <t>Out Of That Truck</t>
  </si>
  <si>
    <t>Song name</t>
  </si>
  <si>
    <t>Weeks on chart 1/27/24</t>
  </si>
  <si>
    <t>Lead Main Artist</t>
  </si>
  <si>
    <t>Other Main Artists</t>
  </si>
  <si>
    <t>Featured Artists</t>
  </si>
  <si>
    <t>Zach Bryan</t>
  </si>
  <si>
    <t>Kacey Musgraves</t>
  </si>
  <si>
    <t>Morgan Wallen</t>
  </si>
  <si>
    <t>Luke Combs</t>
  </si>
  <si>
    <t>Chris Stapleton</t>
  </si>
  <si>
    <t>Nate Smith</t>
  </si>
  <si>
    <t>Jelly Roll</t>
  </si>
  <si>
    <t>Warren Zeiders</t>
  </si>
  <si>
    <t>{With : Lainey Wilson}</t>
  </si>
  <si>
    <t>Jessie Murph</t>
  </si>
  <si>
    <t>{&amp; : Jelly Roll}</t>
  </si>
  <si>
    <t>HARDY</t>
  </si>
  <si>
    <t>Cody Johnson</t>
  </si>
  <si>
    <t>Parker McCollum</t>
  </si>
  <si>
    <t>Riley Green</t>
  </si>
  <si>
    <t>Eric Church</t>
  </si>
  <si>
    <t>The War And The Treaty</t>
  </si>
  <si>
    <t>Kane Brown</t>
  </si>
  <si>
    <t>Dan + Shay</t>
  </si>
  <si>
    <t>Chayce Beckham</t>
  </si>
  <si>
    <t>Carly Pearce</t>
  </si>
  <si>
    <t>The Red Clay Strays</t>
  </si>
  <si>
    <t>Oliver Anthony Music</t>
  </si>
  <si>
    <t>Thomas Rhett</t>
  </si>
  <si>
    <t>Dylan Gossett</t>
  </si>
  <si>
    <t>George Birge</t>
  </si>
  <si>
    <t>Lainey Wilson</t>
  </si>
  <si>
    <t>Chris Janson</t>
  </si>
  <si>
    <t>Tyler Childers</t>
  </si>
  <si>
    <t>Bryan Martin</t>
  </si>
  <si>
    <t>Conner Smith</t>
  </si>
  <si>
    <t>Jordan Davis</t>
  </si>
  <si>
    <t>Megan Moroney</t>
  </si>
  <si>
    <t>Jackson Dean</t>
  </si>
  <si>
    <t>Noah Kahan</t>
  </si>
  <si>
    <t>Gabby Barrett</t>
  </si>
  <si>
    <t>Sam Hunt</t>
  </si>
  <si>
    <t>Wyatt Flores</t>
  </si>
  <si>
    <t>Dylan Marlowe</t>
  </si>
  <si>
    <t>{&amp; : Dylan Scott}</t>
  </si>
  <si>
    <t>Tyler Hubbard</t>
  </si>
  <si>
    <t>Ashley Cooke</t>
  </si>
  <si>
    <t>Dylan Scott</t>
  </si>
  <si>
    <t>Chase Matthew</t>
  </si>
  <si>
    <t>Scotty McCreery</t>
  </si>
  <si>
    <t>Corey Kent</t>
  </si>
  <si>
    <t>Jason Aldean</t>
  </si>
  <si>
    <t>Old Dominion</t>
  </si>
  <si>
    <t>{&amp; : Megan Moroney}</t>
  </si>
  <si>
    <t>Carrie Underwood</t>
  </si>
  <si>
    <t>Kameron Marlowe</t>
  </si>
  <si>
    <t>{&amp; : Ella Langley}</t>
  </si>
  <si>
    <t>Beyonce</t>
  </si>
  <si>
    <t>Gwen Stefani</t>
  </si>
  <si>
    <t>{&amp; : Blake Shelton}</t>
  </si>
  <si>
    <t>Rank start</t>
  </si>
  <si>
    <t>Rank end</t>
  </si>
  <si>
    <t>Weeks on chart</t>
  </si>
  <si>
    <t>"Descending songs are removed from Hot Country Songs after..."</t>
  </si>
  <si>
    <t>Weeks on chart is the final eligible week</t>
  </si>
  <si>
    <t>Take Her Home</t>
  </si>
  <si>
    <t>Chevrolet</t>
  </si>
  <si>
    <t>Kenny Chesney</t>
  </si>
  <si>
    <t>Dustin Lynch</t>
  </si>
  <si>
    <t>Sparklines for each song, even better with variable length</t>
  </si>
  <si>
    <t>Song eligibility category (ex. Rising only below rank 20)</t>
  </si>
  <si>
    <t>Artist peak position</t>
  </si>
  <si>
    <t>Artist median charted song weeks on chart (consider not punishing for new songs)</t>
  </si>
  <si>
    <t>Holy Smokes</t>
  </si>
  <si>
    <t>Wine Into Whiskey</t>
  </si>
  <si>
    <t>Ranks can be lost without being considered removed as "descending".  This is true with or without an star icon for "awards"</t>
  </si>
  <si>
    <t>Maybe descending is whether rank or airtime was lost in the previous week (or previous number of weeks)?</t>
  </si>
  <si>
    <t>American Girl</t>
  </si>
  <si>
    <t>See World On Fire and maybe others: descending in rank is insufficient and perhaps not considered</t>
  </si>
  <si>
    <t>Bailey Zimmerman</t>
  </si>
  <si>
    <t>Tucker Wetmore</t>
  </si>
  <si>
    <t>Dierks Bentley</t>
  </si>
  <si>
    <t>Austin</t>
  </si>
  <si>
    <t>Messed Up As Me</t>
  </si>
  <si>
    <t>Too Good To Be True</t>
  </si>
  <si>
    <t>The One (Pero No Como Yo)</t>
  </si>
  <si>
    <t>Dasha</t>
  </si>
  <si>
    <t>Keith Urban</t>
  </si>
  <si>
    <t>Kasey Musgraves</t>
  </si>
  <si>
    <t>Carin Leon</t>
  </si>
  <si>
    <t>{+ : Kane Brown}</t>
  </si>
  <si>
    <t>See Hey Driver for example of exceeding weeks on chart (twice) while rising in rankings</t>
  </si>
  <si>
    <t>Damn Near Normal</t>
  </si>
  <si>
    <t>Smoke &amp; A Light</t>
  </si>
  <si>
    <t>Nine Ball</t>
  </si>
  <si>
    <t>Koe Wetzel</t>
  </si>
  <si>
    <t>Ole 60</t>
  </si>
  <si>
    <t>Weeks on Chart</t>
  </si>
  <si>
    <t>Artist ID</t>
  </si>
  <si>
    <t>Artist Name</t>
  </si>
  <si>
    <t># Main Artist</t>
  </si>
  <si>
    <t># Lead Artist</t>
  </si>
  <si>
    <t># Featured Artist</t>
  </si>
  <si>
    <t>Total weeks as featured artist</t>
  </si>
  <si>
    <t>//TODO</t>
  </si>
  <si>
    <t>Toby Keith</t>
  </si>
  <si>
    <t>Peak Position as a Main Artist</t>
  </si>
  <si>
    <t>Total weeks as Lead Artist</t>
  </si>
  <si>
    <t>Total Weeks as a Main Artist</t>
  </si>
  <si>
    <t>Ella Langley</t>
  </si>
  <si>
    <t>Blake Shelton</t>
  </si>
  <si>
    <t>&lt;-- get this dynamically with MATCH</t>
  </si>
  <si>
    <t>Rank</t>
  </si>
  <si>
    <t>Song</t>
  </si>
  <si>
    <t>Weeks remaining at this rank (if not "rising")</t>
  </si>
  <si>
    <t>Trend</t>
  </si>
  <si>
    <t>Weeks of data</t>
  </si>
  <si>
    <t>Number of ranks</t>
  </si>
  <si>
    <t>Green if all lead artists in data sheet are covered in artists sheet</t>
  </si>
  <si>
    <t>Green if all songs in the data sheet are covered in the songs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</si>
</sst>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0" tint="-0.1499984740745262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0" fontId="1" fillId="0" borderId="0" xfId="0" quotePrefix="1" applyFont="1"/>
    <xf numFmtId="14" fontId="0" fillId="0" borderId="0" xfId="0" applyNumberFormat="1"/>
    <xf numFmtId="0" fontId="3" fillId="0" borderId="0" xfId="0" applyFont="1"/>
    <xf numFmtId="0" fontId="3" fillId="0" borderId="0" xfId="0" quotePrefix="1" applyFont="1"/>
    <xf numFmtId="0" fontId="4" fillId="0" borderId="0" xfId="0" applyFont="1"/>
    <xf numFmtId="14" fontId="2" fillId="0" borderId="0" xfId="0" applyNumberFormat="1" applyFont="1"/>
    <xf numFmtId="0" fontId="5" fillId="0" borderId="0" xfId="0" applyFont="1"/>
    <xf numFmtId="0" fontId="6" fillId="0" borderId="0" xfId="0" applyFont="1"/>
    <xf numFmtId="0" fontId="4" fillId="0" borderId="0" xfId="0" quotePrefix="1" applyFont="1"/>
    <xf numFmtId="14" fontId="6" fillId="0" borderId="0" xfId="0" applyNumberFormat="1" applyFont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b/>
        <i val="0"/>
      </font>
    </dxf>
    <dxf>
      <font>
        <b val="0"/>
        <i/>
        <color rgb="FFFF0000"/>
      </font>
      <fill>
        <patternFill patternType="none"/>
      </fill>
      <border>
        <left/>
        <right/>
        <top/>
        <bottom/>
      </border>
    </dxf>
    <dxf>
      <font>
        <b/>
        <i val="0"/>
      </font>
    </dxf>
    <dxf>
      <font>
        <b val="0"/>
        <i/>
        <color rgb="FFFF0000"/>
      </font>
      <fill>
        <patternFill patternType="none"/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 MO" id="{9C2BE807-745A-4FB9-BC41-6FB4BD8152CD}" userId="ed933e75b407492c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03-23T23:56:56.62" personId="{9C2BE807-745A-4FB9-BC41-6FB4BD8152CD}" id="{B5B21C98-5BCD-4725-A3A9-259A8102E35A}">
    <text>A song is defined by name for now, should be name plus artists eventually assuming all versions of a song named exactly the same with exactly the same artists count as the same for the Billboard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4-03-23T23:58:02.18" personId="{9C2BE807-745A-4FB9-BC41-6FB4BD8152CD}" id="{C5AFF4B1-CA15-43E7-8E21-82D997A5DC10}">
    <text>Artist name is working for now to define an artist, but if there is ever a duplicate, will need to switch to Artist ID or dates active or something</text>
  </threadedComment>
  <threadedComment ref="H1" dT="2024-03-23T23:38:20.24" personId="{9C2BE807-745A-4FB9-BC41-6FB4BD8152CD}" id="{22BABF1F-8FCB-4152-B25B-D8807486F95E}">
    <text>Needs to switch to list parsing once there is a song featuring multiple artists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N51"/>
  <sheetViews>
    <sheetView workbookViewId="0">
      <pane xSplit="1" ySplit="1" topLeftCell="F26" activePane="bottomRight" state="frozen"/>
      <selection pane="topRight" activeCell="B1" sqref="B1"/>
      <selection pane="bottomLeft" activeCell="A2" sqref="A2"/>
      <selection pane="bottomRight" activeCell="J37" sqref="J37"/>
    </sheetView>
  </sheetViews>
  <sheetFormatPr defaultColWidth="12.6640625" defaultRowHeight="15.75" customHeight="1" x14ac:dyDescent="0.25"/>
  <cols>
    <col min="2" max="3" width="25.77734375" customWidth="1"/>
    <col min="4" max="4" width="25.44140625" customWidth="1"/>
    <col min="5" max="5" width="28.6640625" customWidth="1"/>
    <col min="6" max="6" width="32.44140625" bestFit="1" customWidth="1"/>
    <col min="7" max="10" width="29.21875" bestFit="1" customWidth="1"/>
    <col min="11" max="11" width="29.21875" customWidth="1"/>
    <col min="13" max="13" width="17.77734375" customWidth="1"/>
  </cols>
  <sheetData>
    <row r="1" spans="1:14" x14ac:dyDescent="0.25">
      <c r="B1" s="1">
        <v>45318</v>
      </c>
      <c r="C1" s="1">
        <v>45325</v>
      </c>
      <c r="D1" s="1">
        <v>45332</v>
      </c>
      <c r="E1" s="1">
        <v>45339</v>
      </c>
      <c r="F1" s="1">
        <v>45343</v>
      </c>
      <c r="G1" s="5">
        <v>45349</v>
      </c>
      <c r="H1" s="5">
        <v>45356</v>
      </c>
      <c r="I1" s="5">
        <v>45364</v>
      </c>
      <c r="J1" s="5">
        <v>45370</v>
      </c>
      <c r="K1" s="5"/>
    </row>
    <row r="2" spans="1:14" x14ac:dyDescent="0.25">
      <c r="A2" s="2">
        <v>1</v>
      </c>
      <c r="B2" s="2" t="s">
        <v>0</v>
      </c>
      <c r="C2" s="2" t="s">
        <v>0</v>
      </c>
      <c r="D2" s="2" t="s">
        <v>0</v>
      </c>
      <c r="E2" s="2" t="s">
        <v>0</v>
      </c>
      <c r="F2" s="2" t="s">
        <v>1</v>
      </c>
      <c r="G2" s="6" t="s">
        <v>1</v>
      </c>
      <c r="H2" s="2" t="s">
        <v>1</v>
      </c>
      <c r="I2" s="2" t="s">
        <v>1</v>
      </c>
      <c r="J2" s="2" t="s">
        <v>1</v>
      </c>
      <c r="K2" s="2"/>
      <c r="M2" s="2"/>
      <c r="N2" s="2"/>
    </row>
    <row r="3" spans="1:14" x14ac:dyDescent="0.25">
      <c r="A3" s="2">
        <f t="shared" ref="A3:A51" si="0">A2+1</f>
        <v>2</v>
      </c>
      <c r="B3" s="2" t="s">
        <v>2</v>
      </c>
      <c r="C3" s="2" t="s">
        <v>2</v>
      </c>
      <c r="D3" s="2" t="s">
        <v>2</v>
      </c>
      <c r="E3" s="2" t="s">
        <v>3</v>
      </c>
      <c r="F3" s="2" t="s">
        <v>0</v>
      </c>
      <c r="G3" s="6" t="s">
        <v>0</v>
      </c>
      <c r="H3" s="2" t="s">
        <v>0</v>
      </c>
      <c r="I3" s="2" t="s">
        <v>0</v>
      </c>
      <c r="J3" s="2" t="s">
        <v>0</v>
      </c>
      <c r="K3" s="2"/>
      <c r="M3" s="2"/>
      <c r="N3" s="2"/>
    </row>
    <row r="4" spans="1:14" x14ac:dyDescent="0.25">
      <c r="A4" s="2">
        <f t="shared" si="0"/>
        <v>3</v>
      </c>
      <c r="B4" s="2" t="s">
        <v>4</v>
      </c>
      <c r="C4" s="2" t="s">
        <v>4</v>
      </c>
      <c r="D4" s="2" t="s">
        <v>4</v>
      </c>
      <c r="E4" s="2" t="s">
        <v>2</v>
      </c>
      <c r="F4" s="2" t="s">
        <v>3</v>
      </c>
      <c r="G4" s="6" t="s">
        <v>3</v>
      </c>
      <c r="H4" s="2" t="s">
        <v>3</v>
      </c>
      <c r="I4" s="2" t="s">
        <v>3</v>
      </c>
      <c r="J4" s="2" t="s">
        <v>2</v>
      </c>
      <c r="K4" s="2"/>
      <c r="M4" s="2"/>
      <c r="N4" s="2"/>
    </row>
    <row r="5" spans="1:14" x14ac:dyDescent="0.25">
      <c r="A5" s="2">
        <f t="shared" si="0"/>
        <v>4</v>
      </c>
      <c r="B5" s="2" t="s">
        <v>3</v>
      </c>
      <c r="C5" s="2" t="s">
        <v>3</v>
      </c>
      <c r="D5" s="2" t="s">
        <v>3</v>
      </c>
      <c r="E5" s="2" t="s">
        <v>4</v>
      </c>
      <c r="F5" s="2" t="s">
        <v>2</v>
      </c>
      <c r="G5" s="6" t="s">
        <v>2</v>
      </c>
      <c r="H5" s="2" t="s">
        <v>2</v>
      </c>
      <c r="I5" s="2" t="s">
        <v>2</v>
      </c>
      <c r="J5" s="2" t="s">
        <v>3</v>
      </c>
      <c r="K5" s="2"/>
      <c r="M5" s="2"/>
      <c r="N5" s="2"/>
    </row>
    <row r="6" spans="1:14" x14ac:dyDescent="0.25">
      <c r="A6" s="2">
        <f t="shared" si="0"/>
        <v>5</v>
      </c>
      <c r="B6" s="2" t="s">
        <v>5</v>
      </c>
      <c r="C6" s="2" t="s">
        <v>5</v>
      </c>
      <c r="D6" s="2" t="s">
        <v>6</v>
      </c>
      <c r="E6" s="2" t="s">
        <v>7</v>
      </c>
      <c r="F6" s="2" t="s">
        <v>4</v>
      </c>
      <c r="G6" s="6" t="s">
        <v>4</v>
      </c>
      <c r="H6" s="2" t="s">
        <v>4</v>
      </c>
      <c r="I6" s="2" t="s">
        <v>4</v>
      </c>
      <c r="J6" s="2" t="s">
        <v>4</v>
      </c>
      <c r="K6" s="2"/>
      <c r="M6" s="2"/>
      <c r="N6" s="2"/>
    </row>
    <row r="7" spans="1:14" x14ac:dyDescent="0.25">
      <c r="A7" s="2">
        <f t="shared" si="0"/>
        <v>6</v>
      </c>
      <c r="B7" s="2" t="s">
        <v>8</v>
      </c>
      <c r="C7" s="2" t="s">
        <v>7</v>
      </c>
      <c r="D7" s="2" t="s">
        <v>5</v>
      </c>
      <c r="E7" s="2" t="s">
        <v>9</v>
      </c>
      <c r="F7" s="2" t="s">
        <v>7</v>
      </c>
      <c r="G7" s="6" t="s">
        <v>7</v>
      </c>
      <c r="H7" s="2" t="s">
        <v>7</v>
      </c>
      <c r="I7" s="2" t="s">
        <v>7</v>
      </c>
      <c r="J7" s="2" t="s">
        <v>16</v>
      </c>
      <c r="K7" s="2"/>
      <c r="M7" s="2"/>
      <c r="N7" s="2"/>
    </row>
    <row r="8" spans="1:14" x14ac:dyDescent="0.25">
      <c r="A8" s="2">
        <f t="shared" si="0"/>
        <v>7</v>
      </c>
      <c r="B8" s="2" t="s">
        <v>10</v>
      </c>
      <c r="C8" s="2" t="s">
        <v>9</v>
      </c>
      <c r="D8" s="2" t="s">
        <v>7</v>
      </c>
      <c r="E8" s="2" t="s">
        <v>11</v>
      </c>
      <c r="F8" s="2" t="s">
        <v>9</v>
      </c>
      <c r="G8" s="6" t="s">
        <v>9</v>
      </c>
      <c r="H8" s="2" t="s">
        <v>11</v>
      </c>
      <c r="I8" s="2" t="s">
        <v>9</v>
      </c>
      <c r="J8" s="2" t="s">
        <v>7</v>
      </c>
      <c r="K8" s="2"/>
      <c r="M8" s="2"/>
    </row>
    <row r="9" spans="1:14" x14ac:dyDescent="0.25">
      <c r="A9" s="2">
        <f t="shared" si="0"/>
        <v>8</v>
      </c>
      <c r="B9" s="2" t="s">
        <v>7</v>
      </c>
      <c r="C9" s="2" t="s">
        <v>10</v>
      </c>
      <c r="D9" s="2" t="s">
        <v>9</v>
      </c>
      <c r="E9" s="2" t="s">
        <v>5</v>
      </c>
      <c r="F9" s="2" t="s">
        <v>11</v>
      </c>
      <c r="G9" s="6" t="s">
        <v>11</v>
      </c>
      <c r="H9" s="2" t="s">
        <v>9</v>
      </c>
      <c r="I9" s="2" t="s">
        <v>16</v>
      </c>
      <c r="J9" s="2" t="s">
        <v>13</v>
      </c>
      <c r="K9" s="2"/>
      <c r="M9" s="2"/>
      <c r="N9" s="2"/>
    </row>
    <row r="10" spans="1:14" x14ac:dyDescent="0.25">
      <c r="A10" s="2">
        <f t="shared" si="0"/>
        <v>9</v>
      </c>
      <c r="B10" s="2" t="s">
        <v>12</v>
      </c>
      <c r="C10" s="2" t="s">
        <v>13</v>
      </c>
      <c r="D10" s="2" t="s">
        <v>13</v>
      </c>
      <c r="E10" s="2" t="s">
        <v>13</v>
      </c>
      <c r="F10" s="2" t="s">
        <v>14</v>
      </c>
      <c r="G10" s="6" t="s">
        <v>16</v>
      </c>
      <c r="H10" s="2" t="s">
        <v>16</v>
      </c>
      <c r="I10" s="2" t="s">
        <v>11</v>
      </c>
      <c r="J10" s="2" t="s">
        <v>9</v>
      </c>
      <c r="K10" s="2"/>
      <c r="M10" s="2"/>
      <c r="N10" s="2"/>
    </row>
    <row r="11" spans="1:14" x14ac:dyDescent="0.25">
      <c r="A11" s="2">
        <f t="shared" si="0"/>
        <v>10</v>
      </c>
      <c r="B11" s="2" t="s">
        <v>15</v>
      </c>
      <c r="C11" s="2" t="s">
        <v>8</v>
      </c>
      <c r="D11" s="2" t="s">
        <v>11</v>
      </c>
      <c r="E11" s="2" t="s">
        <v>8</v>
      </c>
      <c r="F11" s="2" t="s">
        <v>13</v>
      </c>
      <c r="G11" s="6" t="s">
        <v>13</v>
      </c>
      <c r="H11" s="2" t="s">
        <v>13</v>
      </c>
      <c r="I11" s="2" t="s">
        <v>13</v>
      </c>
      <c r="J11" s="2" t="s">
        <v>11</v>
      </c>
      <c r="K11" s="2"/>
      <c r="M11" s="2"/>
      <c r="N11" s="2"/>
    </row>
    <row r="12" spans="1:14" x14ac:dyDescent="0.25">
      <c r="A12" s="2">
        <f t="shared" si="0"/>
        <v>11</v>
      </c>
      <c r="B12" s="2" t="s">
        <v>16</v>
      </c>
      <c r="C12" s="2" t="s">
        <v>16</v>
      </c>
      <c r="D12" s="2" t="s">
        <v>8</v>
      </c>
      <c r="E12" s="2" t="s">
        <v>16</v>
      </c>
      <c r="F12" s="2" t="s">
        <v>16</v>
      </c>
      <c r="G12" s="6" t="s">
        <v>19</v>
      </c>
      <c r="H12" s="2" t="s">
        <v>20</v>
      </c>
      <c r="I12" s="2" t="s">
        <v>19</v>
      </c>
      <c r="J12" s="2" t="s">
        <v>20</v>
      </c>
      <c r="K12" s="2"/>
      <c r="M12" s="2"/>
      <c r="N12" s="2"/>
    </row>
    <row r="13" spans="1:14" x14ac:dyDescent="0.25">
      <c r="A13" s="2">
        <f t="shared" si="0"/>
        <v>12</v>
      </c>
      <c r="B13" s="2" t="s">
        <v>9</v>
      </c>
      <c r="C13" s="2" t="s">
        <v>11</v>
      </c>
      <c r="D13" s="2" t="s">
        <v>16</v>
      </c>
      <c r="E13" s="2" t="s">
        <v>17</v>
      </c>
      <c r="F13" s="2" t="s">
        <v>8</v>
      </c>
      <c r="G13" s="6" t="s">
        <v>20</v>
      </c>
      <c r="H13" s="2" t="s">
        <v>19</v>
      </c>
      <c r="I13" s="2" t="s">
        <v>20</v>
      </c>
      <c r="J13" s="4" t="s">
        <v>25</v>
      </c>
      <c r="K13" s="4"/>
      <c r="M13" s="2"/>
      <c r="N13" s="2"/>
    </row>
    <row r="14" spans="1:14" x14ac:dyDescent="0.25">
      <c r="A14" s="2">
        <f t="shared" si="0"/>
        <v>13</v>
      </c>
      <c r="B14" s="2" t="s">
        <v>11</v>
      </c>
      <c r="C14" s="3" t="s">
        <v>18</v>
      </c>
      <c r="D14" s="2" t="s">
        <v>19</v>
      </c>
      <c r="E14" s="2" t="s">
        <v>6</v>
      </c>
      <c r="F14" s="2" t="s">
        <v>19</v>
      </c>
      <c r="G14" s="6" t="s">
        <v>14</v>
      </c>
      <c r="H14" s="2" t="s">
        <v>142</v>
      </c>
      <c r="I14" s="2" t="s">
        <v>24</v>
      </c>
      <c r="J14" s="2" t="s">
        <v>19</v>
      </c>
      <c r="K14" s="2"/>
      <c r="M14" s="2"/>
      <c r="N14" s="2"/>
    </row>
    <row r="15" spans="1:14" x14ac:dyDescent="0.25">
      <c r="A15" s="2">
        <f t="shared" si="0"/>
        <v>14</v>
      </c>
      <c r="B15" s="2" t="s">
        <v>19</v>
      </c>
      <c r="C15" s="2" t="s">
        <v>19</v>
      </c>
      <c r="D15" s="2" t="s">
        <v>20</v>
      </c>
      <c r="E15" s="2" t="s">
        <v>19</v>
      </c>
      <c r="F15" s="2" t="s">
        <v>20</v>
      </c>
      <c r="G15" s="7" t="s">
        <v>25</v>
      </c>
      <c r="H15" s="2" t="s">
        <v>24</v>
      </c>
      <c r="I15" s="4" t="s">
        <v>25</v>
      </c>
      <c r="J15" s="2" t="s">
        <v>24</v>
      </c>
      <c r="K15" s="2"/>
      <c r="M15" s="2"/>
      <c r="N15" s="2"/>
    </row>
    <row r="16" spans="1:14" x14ac:dyDescent="0.25">
      <c r="A16" s="2">
        <f t="shared" si="0"/>
        <v>15</v>
      </c>
      <c r="B16" s="2" t="s">
        <v>21</v>
      </c>
      <c r="C16" s="2" t="s">
        <v>20</v>
      </c>
      <c r="D16" s="2" t="s">
        <v>21</v>
      </c>
      <c r="E16" s="2" t="s">
        <v>22</v>
      </c>
      <c r="F16" s="2" t="s">
        <v>17</v>
      </c>
      <c r="G16" s="6" t="s">
        <v>24</v>
      </c>
      <c r="H16" s="4" t="s">
        <v>25</v>
      </c>
      <c r="I16" s="2" t="s">
        <v>29</v>
      </c>
      <c r="J16" s="2" t="s">
        <v>36</v>
      </c>
      <c r="K16" s="2"/>
      <c r="M16" s="2"/>
      <c r="N16" s="2"/>
    </row>
    <row r="17" spans="1:14" x14ac:dyDescent="0.25">
      <c r="A17" s="2">
        <f t="shared" si="0"/>
        <v>16</v>
      </c>
      <c r="B17" s="2" t="s">
        <v>20</v>
      </c>
      <c r="C17" s="2" t="s">
        <v>21</v>
      </c>
      <c r="D17" s="2" t="s">
        <v>23</v>
      </c>
      <c r="E17" s="2" t="s">
        <v>20</v>
      </c>
      <c r="F17" s="2" t="s">
        <v>6</v>
      </c>
      <c r="G17" s="6" t="s">
        <v>6</v>
      </c>
      <c r="H17" s="2" t="s">
        <v>23</v>
      </c>
      <c r="I17" s="2" t="s">
        <v>36</v>
      </c>
      <c r="J17" s="2" t="s">
        <v>29</v>
      </c>
      <c r="K17" s="2"/>
      <c r="M17" s="2"/>
      <c r="N17" s="2"/>
    </row>
    <row r="18" spans="1:14" x14ac:dyDescent="0.25">
      <c r="A18" s="2">
        <f t="shared" si="0"/>
        <v>17</v>
      </c>
      <c r="B18" s="2" t="s">
        <v>23</v>
      </c>
      <c r="C18" s="2" t="s">
        <v>23</v>
      </c>
      <c r="D18" s="2" t="s">
        <v>24</v>
      </c>
      <c r="E18" s="2" t="s">
        <v>21</v>
      </c>
      <c r="F18" s="4" t="s">
        <v>25</v>
      </c>
      <c r="G18" s="6" t="s">
        <v>29</v>
      </c>
      <c r="H18" s="2" t="s">
        <v>29</v>
      </c>
      <c r="I18" s="2" t="s">
        <v>6</v>
      </c>
      <c r="J18" s="2" t="s">
        <v>151</v>
      </c>
      <c r="K18" s="2"/>
      <c r="M18" s="2"/>
      <c r="N18" s="2"/>
    </row>
    <row r="19" spans="1:14" x14ac:dyDescent="0.25">
      <c r="A19" s="2">
        <f t="shared" si="0"/>
        <v>18</v>
      </c>
      <c r="B19" s="2" t="s">
        <v>24</v>
      </c>
      <c r="C19" s="2" t="s">
        <v>24</v>
      </c>
      <c r="D19" s="4" t="s">
        <v>25</v>
      </c>
      <c r="E19" s="2" t="s">
        <v>23</v>
      </c>
      <c r="F19" s="2" t="s">
        <v>24</v>
      </c>
      <c r="G19" s="6" t="s">
        <v>23</v>
      </c>
      <c r="H19" s="2" t="s">
        <v>36</v>
      </c>
      <c r="I19" s="2" t="s">
        <v>142</v>
      </c>
      <c r="J19" s="2" t="s">
        <v>6</v>
      </c>
      <c r="K19" s="2"/>
      <c r="M19" s="2"/>
      <c r="N19" s="2"/>
    </row>
    <row r="20" spans="1:14" x14ac:dyDescent="0.25">
      <c r="A20" s="2">
        <f t="shared" si="0"/>
        <v>19</v>
      </c>
      <c r="B20" s="2" t="s">
        <v>26</v>
      </c>
      <c r="C20" s="4" t="s">
        <v>25</v>
      </c>
      <c r="D20" s="2" t="s">
        <v>27</v>
      </c>
      <c r="E20" s="2" t="s">
        <v>28</v>
      </c>
      <c r="F20" s="2" t="s">
        <v>29</v>
      </c>
      <c r="G20" s="6" t="s">
        <v>36</v>
      </c>
      <c r="H20" s="2" t="s">
        <v>6</v>
      </c>
      <c r="I20" s="2" t="s">
        <v>31</v>
      </c>
      <c r="J20" s="2" t="s">
        <v>142</v>
      </c>
      <c r="K20" s="2"/>
      <c r="M20" s="2"/>
      <c r="N20" s="2"/>
    </row>
    <row r="21" spans="1:14" x14ac:dyDescent="0.25">
      <c r="A21" s="2">
        <f t="shared" si="0"/>
        <v>20</v>
      </c>
      <c r="B21" s="4" t="s">
        <v>25</v>
      </c>
      <c r="C21" s="2" t="s">
        <v>27</v>
      </c>
      <c r="D21" s="2" t="s">
        <v>29</v>
      </c>
      <c r="E21" s="2" t="s">
        <v>24</v>
      </c>
      <c r="F21" s="2" t="s">
        <v>23</v>
      </c>
      <c r="G21" s="6" t="s">
        <v>31</v>
      </c>
      <c r="H21" s="2" t="s">
        <v>31</v>
      </c>
      <c r="I21" s="2" t="s">
        <v>44</v>
      </c>
      <c r="J21" s="2" t="s">
        <v>31</v>
      </c>
      <c r="K21" s="2"/>
      <c r="M21" s="2"/>
      <c r="N21" s="2"/>
    </row>
    <row r="22" spans="1:14" x14ac:dyDescent="0.25">
      <c r="A22" s="2">
        <f t="shared" si="0"/>
        <v>21</v>
      </c>
      <c r="B22" s="2" t="s">
        <v>27</v>
      </c>
      <c r="C22" s="2" t="s">
        <v>30</v>
      </c>
      <c r="D22" s="2" t="s">
        <v>31</v>
      </c>
      <c r="E22" s="4" t="s">
        <v>25</v>
      </c>
      <c r="F22" s="2" t="s">
        <v>21</v>
      </c>
      <c r="G22" s="6" t="s">
        <v>30</v>
      </c>
      <c r="H22" s="2" t="s">
        <v>14</v>
      </c>
      <c r="I22" s="2" t="s">
        <v>27</v>
      </c>
      <c r="J22" s="2" t="s">
        <v>44</v>
      </c>
      <c r="K22" s="2"/>
      <c r="M22" s="2"/>
      <c r="N22" s="2"/>
    </row>
    <row r="23" spans="1:14" x14ac:dyDescent="0.25">
      <c r="A23" s="2">
        <f t="shared" si="0"/>
        <v>22</v>
      </c>
      <c r="B23" s="2" t="s">
        <v>30</v>
      </c>
      <c r="C23" s="2" t="s">
        <v>31</v>
      </c>
      <c r="D23" s="2" t="s">
        <v>18</v>
      </c>
      <c r="E23" s="2" t="s">
        <v>32</v>
      </c>
      <c r="F23" s="2" t="s">
        <v>27</v>
      </c>
      <c r="G23" s="6" t="s">
        <v>17</v>
      </c>
      <c r="H23" s="2" t="s">
        <v>143</v>
      </c>
      <c r="I23" s="2" t="s">
        <v>34</v>
      </c>
      <c r="J23" s="2" t="s">
        <v>42</v>
      </c>
      <c r="K23" s="2"/>
      <c r="M23" s="2"/>
      <c r="N23" s="2"/>
    </row>
    <row r="24" spans="1:14" x14ac:dyDescent="0.25">
      <c r="A24" s="2">
        <f t="shared" si="0"/>
        <v>23</v>
      </c>
      <c r="B24" s="2" t="s">
        <v>33</v>
      </c>
      <c r="C24" s="2" t="s">
        <v>29</v>
      </c>
      <c r="D24" s="2" t="s">
        <v>34</v>
      </c>
      <c r="E24" s="2" t="s">
        <v>35</v>
      </c>
      <c r="F24" s="2" t="s">
        <v>31</v>
      </c>
      <c r="G24" s="6" t="s">
        <v>18</v>
      </c>
      <c r="H24" s="2" t="s">
        <v>30</v>
      </c>
      <c r="I24" s="2" t="s">
        <v>14</v>
      </c>
      <c r="J24" s="2" t="s">
        <v>52</v>
      </c>
      <c r="K24" s="2"/>
      <c r="M24" s="2"/>
      <c r="N24" s="2"/>
    </row>
    <row r="25" spans="1:14" x14ac:dyDescent="0.25">
      <c r="A25" s="2">
        <f t="shared" si="0"/>
        <v>24</v>
      </c>
      <c r="B25" s="2" t="s">
        <v>29</v>
      </c>
      <c r="C25" s="2" t="s">
        <v>33</v>
      </c>
      <c r="D25" s="2" t="s">
        <v>30</v>
      </c>
      <c r="E25" s="2" t="s">
        <v>29</v>
      </c>
      <c r="F25" s="2" t="s">
        <v>22</v>
      </c>
      <c r="G25" s="6" t="s">
        <v>34</v>
      </c>
      <c r="H25" s="2" t="s">
        <v>34</v>
      </c>
      <c r="I25" s="2" t="s">
        <v>30</v>
      </c>
      <c r="J25" s="2" t="s">
        <v>41</v>
      </c>
      <c r="K25" s="2"/>
      <c r="M25" s="2"/>
      <c r="N25" s="2"/>
    </row>
    <row r="26" spans="1:14" x14ac:dyDescent="0.25">
      <c r="A26" s="2">
        <f t="shared" si="0"/>
        <v>25</v>
      </c>
      <c r="B26" s="2" t="s">
        <v>31</v>
      </c>
      <c r="C26" s="2" t="s">
        <v>26</v>
      </c>
      <c r="D26" s="2" t="s">
        <v>36</v>
      </c>
      <c r="E26" s="2" t="s">
        <v>27</v>
      </c>
      <c r="F26" s="2" t="s">
        <v>36</v>
      </c>
      <c r="G26" s="6" t="s">
        <v>42</v>
      </c>
      <c r="H26" s="2" t="s">
        <v>42</v>
      </c>
      <c r="I26" s="2" t="s">
        <v>143</v>
      </c>
      <c r="J26" s="2" t="s">
        <v>30</v>
      </c>
      <c r="K26" s="2"/>
      <c r="M26" s="2"/>
      <c r="N26" s="2"/>
    </row>
    <row r="27" spans="1:14" x14ac:dyDescent="0.25">
      <c r="A27" s="2">
        <f t="shared" si="0"/>
        <v>26</v>
      </c>
      <c r="B27" s="2" t="s">
        <v>37</v>
      </c>
      <c r="C27" s="2" t="s">
        <v>37</v>
      </c>
      <c r="D27" s="2" t="s">
        <v>38</v>
      </c>
      <c r="E27" s="2" t="s">
        <v>31</v>
      </c>
      <c r="F27" s="2" t="s">
        <v>39</v>
      </c>
      <c r="G27" s="6" t="s">
        <v>27</v>
      </c>
      <c r="H27" s="2" t="s">
        <v>44</v>
      </c>
      <c r="I27" s="2" t="s">
        <v>42</v>
      </c>
      <c r="J27" s="2" t="s">
        <v>34</v>
      </c>
      <c r="K27" s="2"/>
      <c r="M27" s="2"/>
      <c r="N27" s="2"/>
    </row>
    <row r="28" spans="1:14" x14ac:dyDescent="0.25">
      <c r="A28" s="2">
        <f t="shared" si="0"/>
        <v>27</v>
      </c>
      <c r="B28" s="2" t="s">
        <v>36</v>
      </c>
      <c r="C28" s="2" t="s">
        <v>38</v>
      </c>
      <c r="D28" s="2" t="s">
        <v>40</v>
      </c>
      <c r="E28" s="2" t="s">
        <v>30</v>
      </c>
      <c r="F28" s="2" t="s">
        <v>30</v>
      </c>
      <c r="G28" s="6" t="s">
        <v>44</v>
      </c>
      <c r="H28" s="2" t="s">
        <v>43</v>
      </c>
      <c r="I28" s="2" t="s">
        <v>41</v>
      </c>
      <c r="J28" s="2" t="s">
        <v>27</v>
      </c>
      <c r="K28" s="2"/>
      <c r="M28" s="2"/>
      <c r="N28" s="2"/>
    </row>
    <row r="29" spans="1:14" x14ac:dyDescent="0.25">
      <c r="A29" s="2">
        <f t="shared" si="0"/>
        <v>28</v>
      </c>
      <c r="B29" s="2" t="s">
        <v>38</v>
      </c>
      <c r="C29" s="2" t="s">
        <v>36</v>
      </c>
      <c r="D29" s="2" t="s">
        <v>41</v>
      </c>
      <c r="E29" s="2" t="s">
        <v>36</v>
      </c>
      <c r="F29" s="2" t="s">
        <v>34</v>
      </c>
      <c r="G29" s="6" t="s">
        <v>41</v>
      </c>
      <c r="H29" s="2" t="s">
        <v>27</v>
      </c>
      <c r="I29" s="2" t="s">
        <v>18</v>
      </c>
      <c r="J29" s="2" t="s">
        <v>18</v>
      </c>
      <c r="K29" s="2"/>
      <c r="M29" s="2"/>
      <c r="N29" s="2"/>
    </row>
    <row r="30" spans="1:14" x14ac:dyDescent="0.25">
      <c r="A30" s="2">
        <f t="shared" si="0"/>
        <v>29</v>
      </c>
      <c r="B30" s="2" t="s">
        <v>40</v>
      </c>
      <c r="C30" s="2" t="s">
        <v>41</v>
      </c>
      <c r="D30" s="2" t="s">
        <v>37</v>
      </c>
      <c r="E30" s="2" t="s">
        <v>18</v>
      </c>
      <c r="F30" s="2" t="s">
        <v>18</v>
      </c>
      <c r="G30" s="6" t="s">
        <v>43</v>
      </c>
      <c r="H30" s="2" t="s">
        <v>18</v>
      </c>
      <c r="I30" s="2" t="s">
        <v>43</v>
      </c>
      <c r="J30" s="2" t="s">
        <v>161</v>
      </c>
      <c r="K30" s="2"/>
      <c r="M30" s="2"/>
      <c r="N30" s="2"/>
    </row>
    <row r="31" spans="1:14" x14ac:dyDescent="0.25">
      <c r="A31" s="2">
        <f t="shared" si="0"/>
        <v>30</v>
      </c>
      <c r="B31" s="2" t="s">
        <v>41</v>
      </c>
      <c r="C31" s="2" t="s">
        <v>40</v>
      </c>
      <c r="D31" s="2" t="s">
        <v>42</v>
      </c>
      <c r="E31" s="2" t="s">
        <v>34</v>
      </c>
      <c r="F31" s="2" t="s">
        <v>43</v>
      </c>
      <c r="G31" s="6" t="s">
        <v>40</v>
      </c>
      <c r="H31" s="2" t="s">
        <v>41</v>
      </c>
      <c r="I31" s="2" t="s">
        <v>52</v>
      </c>
      <c r="J31" s="2" t="s">
        <v>45</v>
      </c>
      <c r="K31" s="2"/>
      <c r="M31" s="2"/>
      <c r="N31" s="2"/>
    </row>
    <row r="32" spans="1:14" x14ac:dyDescent="0.25">
      <c r="A32" s="2">
        <f t="shared" si="0"/>
        <v>31</v>
      </c>
      <c r="B32" s="2" t="s">
        <v>34</v>
      </c>
      <c r="C32" s="2" t="s">
        <v>34</v>
      </c>
      <c r="D32" s="2" t="s">
        <v>44</v>
      </c>
      <c r="E32" s="2" t="s">
        <v>40</v>
      </c>
      <c r="F32" s="2" t="s">
        <v>44</v>
      </c>
      <c r="G32" s="6" t="s">
        <v>39</v>
      </c>
      <c r="H32" s="2" t="s">
        <v>39</v>
      </c>
      <c r="I32" s="2" t="s">
        <v>151</v>
      </c>
      <c r="J32" s="2" t="s">
        <v>143</v>
      </c>
      <c r="K32" s="2"/>
      <c r="M32" s="2"/>
      <c r="N32" s="2"/>
    </row>
    <row r="33" spans="1:14" x14ac:dyDescent="0.25">
      <c r="A33" s="2">
        <f t="shared" si="0"/>
        <v>32</v>
      </c>
      <c r="B33" s="2" t="s">
        <v>44</v>
      </c>
      <c r="C33" s="2" t="s">
        <v>44</v>
      </c>
      <c r="D33" s="2" t="s">
        <v>45</v>
      </c>
      <c r="E33" s="2" t="s">
        <v>41</v>
      </c>
      <c r="F33" s="2" t="s">
        <v>42</v>
      </c>
      <c r="G33" s="6" t="s">
        <v>50</v>
      </c>
      <c r="H33" s="2" t="s">
        <v>52</v>
      </c>
      <c r="I33" s="2" t="s">
        <v>39</v>
      </c>
      <c r="J33" s="2" t="s">
        <v>62</v>
      </c>
      <c r="K33" s="2"/>
      <c r="M33" s="2"/>
      <c r="N33" s="2"/>
    </row>
    <row r="34" spans="1:14" x14ac:dyDescent="0.25">
      <c r="A34" s="2">
        <f t="shared" si="0"/>
        <v>33</v>
      </c>
      <c r="B34" s="2" t="s">
        <v>46</v>
      </c>
      <c r="C34" s="2" t="s">
        <v>47</v>
      </c>
      <c r="D34" s="2" t="s">
        <v>47</v>
      </c>
      <c r="E34" s="2" t="s">
        <v>44</v>
      </c>
      <c r="F34" s="2" t="s">
        <v>41</v>
      </c>
      <c r="G34" s="6" t="s">
        <v>46</v>
      </c>
      <c r="H34" s="2" t="s">
        <v>50</v>
      </c>
      <c r="I34" s="2" t="s">
        <v>45</v>
      </c>
      <c r="J34" s="2" t="s">
        <v>50</v>
      </c>
      <c r="K34" s="2"/>
      <c r="M34" s="2"/>
      <c r="N34" s="2"/>
    </row>
    <row r="35" spans="1:14" x14ac:dyDescent="0.25">
      <c r="A35" s="2">
        <f t="shared" si="0"/>
        <v>34</v>
      </c>
      <c r="B35" s="2" t="s">
        <v>48</v>
      </c>
      <c r="C35" s="2" t="s">
        <v>45</v>
      </c>
      <c r="D35" s="2" t="s">
        <v>46</v>
      </c>
      <c r="E35" s="2" t="s">
        <v>37</v>
      </c>
      <c r="F35" s="2" t="s">
        <v>40</v>
      </c>
      <c r="G35" s="6" t="s">
        <v>52</v>
      </c>
      <c r="H35" s="2" t="s">
        <v>134</v>
      </c>
      <c r="I35" s="2" t="s">
        <v>40</v>
      </c>
      <c r="J35" s="2" t="s">
        <v>53</v>
      </c>
      <c r="K35" s="2"/>
      <c r="M35" s="2"/>
      <c r="N35" s="2"/>
    </row>
    <row r="36" spans="1:14" x14ac:dyDescent="0.25">
      <c r="A36" s="2">
        <f t="shared" si="0"/>
        <v>35</v>
      </c>
      <c r="B36" s="2" t="s">
        <v>47</v>
      </c>
      <c r="C36" s="2" t="s">
        <v>46</v>
      </c>
      <c r="D36" s="2" t="s">
        <v>49</v>
      </c>
      <c r="E36" s="2" t="s">
        <v>42</v>
      </c>
      <c r="F36" s="2" t="s">
        <v>50</v>
      </c>
      <c r="G36" s="6" t="s">
        <v>55</v>
      </c>
      <c r="H36" s="2" t="s">
        <v>45</v>
      </c>
      <c r="I36" s="2" t="s">
        <v>55</v>
      </c>
      <c r="J36" s="2" t="s">
        <v>43</v>
      </c>
      <c r="K36" s="2"/>
      <c r="M36" s="2"/>
      <c r="N36" s="2"/>
    </row>
    <row r="37" spans="1:14" x14ac:dyDescent="0.25">
      <c r="A37" s="2">
        <f t="shared" si="0"/>
        <v>36</v>
      </c>
      <c r="B37" s="2" t="s">
        <v>49</v>
      </c>
      <c r="C37" s="2" t="s">
        <v>49</v>
      </c>
      <c r="D37" s="2" t="s">
        <v>51</v>
      </c>
      <c r="E37" s="2" t="s">
        <v>46</v>
      </c>
      <c r="F37" s="2" t="s">
        <v>37</v>
      </c>
      <c r="G37" s="6" t="s">
        <v>57</v>
      </c>
      <c r="H37" s="2" t="s">
        <v>62</v>
      </c>
      <c r="I37" s="2" t="s">
        <v>50</v>
      </c>
      <c r="J37" s="2" t="s">
        <v>134</v>
      </c>
      <c r="K37" s="2"/>
      <c r="M37" s="2"/>
      <c r="N37" s="2"/>
    </row>
    <row r="38" spans="1:14" x14ac:dyDescent="0.25">
      <c r="A38" s="2">
        <f t="shared" si="0"/>
        <v>37</v>
      </c>
      <c r="B38" s="2" t="s">
        <v>52</v>
      </c>
      <c r="C38" s="2" t="s">
        <v>53</v>
      </c>
      <c r="D38" s="2" t="s">
        <v>54</v>
      </c>
      <c r="E38" s="2" t="s">
        <v>47</v>
      </c>
      <c r="F38" s="2" t="s">
        <v>46</v>
      </c>
      <c r="G38" s="6" t="s">
        <v>62</v>
      </c>
      <c r="H38" s="2" t="s">
        <v>40</v>
      </c>
      <c r="I38" s="2" t="s">
        <v>62</v>
      </c>
      <c r="J38" s="2" t="s">
        <v>39</v>
      </c>
      <c r="K38" s="2"/>
      <c r="M38" s="2"/>
      <c r="N38" s="2"/>
    </row>
    <row r="39" spans="1:14" x14ac:dyDescent="0.25">
      <c r="A39" s="2">
        <f t="shared" si="0"/>
        <v>38</v>
      </c>
      <c r="B39" s="2" t="s">
        <v>51</v>
      </c>
      <c r="C39" s="2" t="s">
        <v>55</v>
      </c>
      <c r="D39" s="2" t="s">
        <v>56</v>
      </c>
      <c r="E39" s="2" t="s">
        <v>38</v>
      </c>
      <c r="F39" s="2" t="s">
        <v>55</v>
      </c>
      <c r="G39" s="6" t="s">
        <v>37</v>
      </c>
      <c r="H39" s="2" t="s">
        <v>55</v>
      </c>
      <c r="I39" s="2" t="s">
        <v>46</v>
      </c>
      <c r="J39" s="2" t="s">
        <v>162</v>
      </c>
      <c r="K39" s="2"/>
      <c r="M39" s="2"/>
      <c r="N39" s="2"/>
    </row>
    <row r="40" spans="1:14" x14ac:dyDescent="0.25">
      <c r="A40" s="2">
        <f t="shared" si="0"/>
        <v>39</v>
      </c>
      <c r="B40" s="2" t="s">
        <v>57</v>
      </c>
      <c r="C40" s="2" t="s">
        <v>42</v>
      </c>
      <c r="D40" s="2" t="s">
        <v>55</v>
      </c>
      <c r="E40" s="2" t="s">
        <v>45</v>
      </c>
      <c r="F40" s="2" t="s">
        <v>45</v>
      </c>
      <c r="G40" s="6" t="s">
        <v>53</v>
      </c>
      <c r="H40" s="2" t="s">
        <v>53</v>
      </c>
      <c r="I40" s="2" t="s">
        <v>134</v>
      </c>
      <c r="J40" s="2" t="s">
        <v>46</v>
      </c>
      <c r="K40" s="2"/>
      <c r="M40" s="2"/>
      <c r="N40" s="2"/>
    </row>
    <row r="41" spans="1:14" x14ac:dyDescent="0.25">
      <c r="A41" s="2">
        <f t="shared" si="0"/>
        <v>40</v>
      </c>
      <c r="B41" s="2" t="s">
        <v>42</v>
      </c>
      <c r="C41" s="2" t="s">
        <v>51</v>
      </c>
      <c r="D41" s="2" t="s">
        <v>58</v>
      </c>
      <c r="E41" s="2" t="s">
        <v>49</v>
      </c>
      <c r="F41" s="2" t="s">
        <v>59</v>
      </c>
      <c r="G41" s="6" t="s">
        <v>48</v>
      </c>
      <c r="H41" s="2" t="s">
        <v>46</v>
      </c>
      <c r="I41" s="2" t="s">
        <v>152</v>
      </c>
      <c r="J41" s="2" t="s">
        <v>55</v>
      </c>
      <c r="K41" s="2"/>
      <c r="M41" s="2"/>
      <c r="N41" s="2"/>
    </row>
    <row r="42" spans="1:14" x14ac:dyDescent="0.25">
      <c r="A42" s="2">
        <f t="shared" si="0"/>
        <v>41</v>
      </c>
      <c r="B42" s="2" t="s">
        <v>60</v>
      </c>
      <c r="C42" s="2" t="s">
        <v>48</v>
      </c>
      <c r="D42" s="2" t="s">
        <v>50</v>
      </c>
      <c r="E42" s="2" t="s">
        <v>61</v>
      </c>
      <c r="F42" s="2" t="s">
        <v>62</v>
      </c>
      <c r="G42" s="6" t="s">
        <v>45</v>
      </c>
      <c r="H42" s="2" t="s">
        <v>58</v>
      </c>
      <c r="I42" s="2" t="s">
        <v>153</v>
      </c>
      <c r="J42" s="2" t="s">
        <v>40</v>
      </c>
      <c r="K42" s="2"/>
      <c r="M42" s="2"/>
      <c r="N42" s="2"/>
    </row>
    <row r="43" spans="1:14" x14ac:dyDescent="0.25">
      <c r="A43" s="2">
        <f t="shared" si="0"/>
        <v>42</v>
      </c>
      <c r="B43" s="2" t="s">
        <v>50</v>
      </c>
      <c r="C43" s="2" t="s">
        <v>63</v>
      </c>
      <c r="D43" s="2" t="s">
        <v>48</v>
      </c>
      <c r="E43" s="2" t="s">
        <v>50</v>
      </c>
      <c r="F43" s="2" t="s">
        <v>49</v>
      </c>
      <c r="G43" s="6" t="s">
        <v>134</v>
      </c>
      <c r="H43" s="2" t="s">
        <v>37</v>
      </c>
      <c r="I43" s="2" t="s">
        <v>53</v>
      </c>
      <c r="J43" s="2" t="s">
        <v>14</v>
      </c>
      <c r="K43" s="2"/>
      <c r="M43" s="2"/>
      <c r="N43" s="2"/>
    </row>
    <row r="44" spans="1:14" x14ac:dyDescent="0.25">
      <c r="A44" s="2">
        <f t="shared" si="0"/>
        <v>43</v>
      </c>
      <c r="B44" s="2" t="s">
        <v>45</v>
      </c>
      <c r="C44" s="2" t="s">
        <v>58</v>
      </c>
      <c r="D44" s="2" t="s">
        <v>64</v>
      </c>
      <c r="E44" s="2" t="s">
        <v>55</v>
      </c>
      <c r="F44" s="2" t="s">
        <v>48</v>
      </c>
      <c r="G44" s="6" t="s">
        <v>63</v>
      </c>
      <c r="H44" s="2" t="s">
        <v>57</v>
      </c>
      <c r="I44" s="2" t="s">
        <v>48</v>
      </c>
      <c r="J44" s="2" t="s">
        <v>48</v>
      </c>
      <c r="K44" s="2"/>
      <c r="M44" s="2"/>
      <c r="N44" s="2"/>
    </row>
    <row r="45" spans="1:14" x14ac:dyDescent="0.25">
      <c r="A45" s="2">
        <f t="shared" si="0"/>
        <v>44</v>
      </c>
      <c r="B45" s="2" t="s">
        <v>55</v>
      </c>
      <c r="C45" s="3" t="s">
        <v>65</v>
      </c>
      <c r="D45" s="2" t="s">
        <v>62</v>
      </c>
      <c r="E45" s="2" t="s">
        <v>51</v>
      </c>
      <c r="F45" s="2" t="s">
        <v>53</v>
      </c>
      <c r="G45" s="6" t="s">
        <v>66</v>
      </c>
      <c r="H45" s="2" t="s">
        <v>48</v>
      </c>
      <c r="I45" s="2" t="s">
        <v>57</v>
      </c>
      <c r="J45" s="2" t="s">
        <v>57</v>
      </c>
      <c r="K45" s="2"/>
      <c r="M45" s="2"/>
      <c r="N45" s="2"/>
    </row>
    <row r="46" spans="1:14" x14ac:dyDescent="0.25">
      <c r="A46" s="2">
        <f t="shared" si="0"/>
        <v>45</v>
      </c>
      <c r="B46" s="2" t="s">
        <v>58</v>
      </c>
      <c r="C46" s="2" t="s">
        <v>57</v>
      </c>
      <c r="D46" s="2" t="s">
        <v>66</v>
      </c>
      <c r="E46" s="2" t="s">
        <v>58</v>
      </c>
      <c r="F46" s="2" t="s">
        <v>58</v>
      </c>
      <c r="G46" s="6" t="s">
        <v>58</v>
      </c>
      <c r="H46" s="2" t="s">
        <v>63</v>
      </c>
      <c r="I46" s="2" t="s">
        <v>63</v>
      </c>
      <c r="J46" s="2" t="s">
        <v>58</v>
      </c>
      <c r="K46" s="2"/>
      <c r="M46" s="2"/>
      <c r="N46" s="2"/>
    </row>
    <row r="47" spans="1:14" x14ac:dyDescent="0.25">
      <c r="A47" s="2">
        <f t="shared" si="0"/>
        <v>46</v>
      </c>
      <c r="B47" s="2" t="s">
        <v>63</v>
      </c>
      <c r="C47" s="2" t="s">
        <v>62</v>
      </c>
      <c r="D47" s="2" t="s">
        <v>57</v>
      </c>
      <c r="E47" s="2" t="s">
        <v>57</v>
      </c>
      <c r="F47" s="2" t="s">
        <v>61</v>
      </c>
      <c r="G47" s="6" t="s">
        <v>65</v>
      </c>
      <c r="H47" s="2" t="s">
        <v>65</v>
      </c>
      <c r="I47" s="2" t="s">
        <v>58</v>
      </c>
      <c r="J47" s="2" t="s">
        <v>63</v>
      </c>
      <c r="K47" s="2"/>
      <c r="M47" s="2"/>
      <c r="N47" s="2"/>
    </row>
    <row r="48" spans="1:14" x14ac:dyDescent="0.25">
      <c r="A48" s="2">
        <f t="shared" si="0"/>
        <v>47</v>
      </c>
      <c r="B48" s="2" t="s">
        <v>53</v>
      </c>
      <c r="C48" s="2" t="s">
        <v>52</v>
      </c>
      <c r="D48" s="2" t="s">
        <v>53</v>
      </c>
      <c r="E48" s="2" t="s">
        <v>62</v>
      </c>
      <c r="F48" s="2" t="s">
        <v>52</v>
      </c>
      <c r="G48" s="6" t="s">
        <v>49</v>
      </c>
      <c r="H48" s="2" t="s">
        <v>51</v>
      </c>
      <c r="I48" s="2" t="s">
        <v>65</v>
      </c>
      <c r="J48" s="2" t="s">
        <v>66</v>
      </c>
      <c r="K48" s="2"/>
      <c r="M48" s="2"/>
      <c r="N48" s="2"/>
    </row>
    <row r="49" spans="1:14" x14ac:dyDescent="0.25">
      <c r="A49" s="2">
        <f t="shared" si="0"/>
        <v>48</v>
      </c>
      <c r="B49" s="2" t="s">
        <v>62</v>
      </c>
      <c r="C49" s="2" t="s">
        <v>50</v>
      </c>
      <c r="D49" s="2" t="s">
        <v>63</v>
      </c>
      <c r="E49" s="2" t="s">
        <v>63</v>
      </c>
      <c r="F49" s="2" t="s">
        <v>57</v>
      </c>
      <c r="G49" s="6" t="s">
        <v>51</v>
      </c>
      <c r="H49" s="2" t="s">
        <v>66</v>
      </c>
      <c r="I49" s="2" t="s">
        <v>154</v>
      </c>
      <c r="J49" s="2" t="s">
        <v>135</v>
      </c>
      <c r="K49" s="2"/>
      <c r="M49" s="2"/>
      <c r="N49" s="2"/>
    </row>
    <row r="50" spans="1:14" x14ac:dyDescent="0.25">
      <c r="A50" s="2">
        <f t="shared" si="0"/>
        <v>49</v>
      </c>
      <c r="B50" s="2" t="s">
        <v>67</v>
      </c>
      <c r="C50" s="2" t="s">
        <v>66</v>
      </c>
      <c r="D50" s="2" t="s">
        <v>52</v>
      </c>
      <c r="E50" s="2" t="s">
        <v>48</v>
      </c>
      <c r="F50" s="2" t="s">
        <v>63</v>
      </c>
      <c r="G50" s="6" t="s">
        <v>68</v>
      </c>
      <c r="H50" s="2" t="s">
        <v>146</v>
      </c>
      <c r="I50" s="2" t="s">
        <v>66</v>
      </c>
      <c r="J50" s="2" t="s">
        <v>163</v>
      </c>
      <c r="K50" s="2"/>
      <c r="M50" s="2"/>
      <c r="N50" s="2"/>
    </row>
    <row r="51" spans="1:14" x14ac:dyDescent="0.25">
      <c r="A51" s="2">
        <f t="shared" si="0"/>
        <v>50</v>
      </c>
      <c r="B51" s="2" t="s">
        <v>66</v>
      </c>
      <c r="C51" s="3" t="s">
        <v>68</v>
      </c>
      <c r="D51" s="2" t="s">
        <v>65</v>
      </c>
      <c r="E51" s="2" t="s">
        <v>66</v>
      </c>
      <c r="F51" s="2" t="s">
        <v>66</v>
      </c>
      <c r="G51" s="6" t="s">
        <v>135</v>
      </c>
      <c r="H51" s="2" t="s">
        <v>49</v>
      </c>
      <c r="I51" s="2" t="s">
        <v>68</v>
      </c>
      <c r="J51" s="2" t="s">
        <v>65</v>
      </c>
      <c r="K51" s="2"/>
      <c r="M51" s="2"/>
      <c r="N51" s="2"/>
    </row>
  </sheetData>
  <conditionalFormatting sqref="B2:I51">
    <cfRule type="expression" dxfId="3" priority="4">
      <formula>ISNA(VLOOKUP(B2,C$2:C$51,1,0))</formula>
    </cfRule>
  </conditionalFormatting>
  <conditionalFormatting sqref="C2:K51">
    <cfRule type="expression" dxfId="2" priority="3">
      <formula>ISNA(VLOOKUP(C2,B$2:B$51,1,0))</formula>
    </cfRule>
  </conditionalFormatting>
  <conditionalFormatting sqref="M2:M5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41FD-D5C1-4D29-84DA-F91EA87E4D30}">
  <dimension ref="A1:F51"/>
  <sheetViews>
    <sheetView workbookViewId="0">
      <selection activeCell="F4" sqref="F4"/>
    </sheetView>
  </sheetViews>
  <sheetFormatPr defaultRowHeight="13.2" x14ac:dyDescent="0.25"/>
  <cols>
    <col min="2" max="2" width="29.21875" bestFit="1" customWidth="1"/>
    <col min="3" max="3" width="17.77734375" bestFit="1" customWidth="1"/>
    <col min="4" max="4" width="26.88671875" bestFit="1" customWidth="1"/>
    <col min="5" max="5" width="15.44140625" customWidth="1"/>
  </cols>
  <sheetData>
    <row r="1" spans="1:6" s="11" customFormat="1" x14ac:dyDescent="0.25">
      <c r="A1" s="11" t="s">
        <v>181</v>
      </c>
      <c r="B1" s="13" t="s">
        <v>182</v>
      </c>
      <c r="C1" s="11" t="s">
        <v>131</v>
      </c>
      <c r="D1" s="11" t="s">
        <v>183</v>
      </c>
      <c r="E1" s="11" t="s">
        <v>184</v>
      </c>
    </row>
    <row r="2" spans="1:6" x14ac:dyDescent="0.25">
      <c r="A2">
        <f>Data!A2</f>
        <v>1</v>
      </c>
      <c r="B2" s="5" t="str">
        <f>Data!J2</f>
        <v>Texas Hold 'Em</v>
      </c>
      <c r="C2" s="2">
        <f ca="1">VLOOKUP(B2,Songs!$A:$F,6,0)</f>
        <v>5</v>
      </c>
      <c r="D2">
        <f>VLOOKUP(A2,Rules!$A:$C,3,1)</f>
        <v>9999</v>
      </c>
    </row>
    <row r="3" spans="1:6" x14ac:dyDescent="0.25">
      <c r="A3">
        <f>Data!A3</f>
        <v>2</v>
      </c>
      <c r="B3" s="5" t="str">
        <f>Data!J3</f>
        <v>I Remember Everything</v>
      </c>
      <c r="C3" s="2">
        <f ca="1">VLOOKUP(B3,Songs!$A:$F,6,0)</f>
        <v>30</v>
      </c>
      <c r="D3">
        <f>VLOOKUP(A3,Rules!$A:$C,3,1)</f>
        <v>9999</v>
      </c>
    </row>
    <row r="4" spans="1:6" x14ac:dyDescent="0.25">
      <c r="A4">
        <f>Data!A4</f>
        <v>3</v>
      </c>
      <c r="B4" s="5" t="str">
        <f>Data!J4</f>
        <v>Last Night</v>
      </c>
      <c r="C4" s="2">
        <f ca="1">VLOOKUP(B4,Songs!$A:$F,6,0)</f>
        <v>60</v>
      </c>
      <c r="D4">
        <f>VLOOKUP(A4,Rules!$A:$C,3,1)</f>
        <v>9999</v>
      </c>
    </row>
    <row r="5" spans="1:6" x14ac:dyDescent="0.25">
      <c r="A5">
        <f>Data!A5</f>
        <v>4</v>
      </c>
      <c r="B5" s="5" t="str">
        <f>Data!J5</f>
        <v>Fast Car</v>
      </c>
      <c r="C5" s="2">
        <f ca="1">VLOOKUP(B5,Songs!$A:$F,6,0)</f>
        <v>52</v>
      </c>
      <c r="D5">
        <f ca="1">VLOOKUP(A5,Rules!$A:$C,3,1)-C5</f>
        <v>26</v>
      </c>
    </row>
    <row r="6" spans="1:6" x14ac:dyDescent="0.25">
      <c r="A6">
        <f>Data!A6</f>
        <v>5</v>
      </c>
      <c r="B6" s="5" t="str">
        <f>Data!J6</f>
        <v>Thinkin' Bout Me</v>
      </c>
      <c r="C6" s="2">
        <f ca="1">VLOOKUP(B6,Songs!$A:$F,6,0)</f>
        <v>55</v>
      </c>
      <c r="D6">
        <f ca="1">VLOOKUP(A6,Rules!$A:$C,3,1)-C6</f>
        <v>23</v>
      </c>
    </row>
    <row r="7" spans="1:6" x14ac:dyDescent="0.25">
      <c r="A7">
        <f>Data!A7</f>
        <v>6</v>
      </c>
      <c r="B7" s="5" t="str">
        <f>Data!J7</f>
        <v>Truck Bed</v>
      </c>
      <c r="C7" s="2">
        <f ca="1">VLOOKUP(B7,Songs!$A:$F,6,0)</f>
        <v>51</v>
      </c>
      <c r="D7">
        <f ca="1">VLOOKUP(A7,Rules!$A:$C,3,1)-C7</f>
        <v>1</v>
      </c>
    </row>
    <row r="8" spans="1:6" x14ac:dyDescent="0.25">
      <c r="A8">
        <f>Data!A8</f>
        <v>7</v>
      </c>
      <c r="B8" s="5" t="str">
        <f>Data!J8</f>
        <v>Pretty Little Poison</v>
      </c>
      <c r="C8" s="2">
        <f ca="1">VLOOKUP(B8,Songs!$A:$F,6,0)</f>
        <v>41</v>
      </c>
      <c r="D8">
        <f ca="1">VLOOKUP(A8,Rules!$A:$C,3,1)-C8</f>
        <v>11</v>
      </c>
      <c r="E8" s="2"/>
      <c r="F8" s="8" t="s">
        <v>180</v>
      </c>
    </row>
    <row r="9" spans="1:6" x14ac:dyDescent="0.25">
      <c r="A9">
        <f>Data!A9</f>
        <v>8</v>
      </c>
      <c r="B9" s="5" t="str">
        <f>Data!J9</f>
        <v>Wild Ones</v>
      </c>
      <c r="C9" s="2">
        <f ca="1">VLOOKUP(B9,Songs!$A:$F,6,0)</f>
        <v>24</v>
      </c>
      <c r="D9">
        <f ca="1">VLOOKUP(A9,Rules!$A:$C,3,1)-C9</f>
        <v>28</v>
      </c>
    </row>
    <row r="10" spans="1:6" x14ac:dyDescent="0.25">
      <c r="A10">
        <f>Data!A10</f>
        <v>9</v>
      </c>
      <c r="B10" s="5" t="str">
        <f>Data!J10</f>
        <v>Where The Wild Things Are</v>
      </c>
      <c r="C10" s="2">
        <f ca="1">VLOOKUP(B10,Songs!$A:$F,6,0)</f>
        <v>22</v>
      </c>
      <c r="D10">
        <f ca="1">VLOOKUP(A10,Rules!$A:$C,3,1)-C10</f>
        <v>30</v>
      </c>
    </row>
    <row r="11" spans="1:6" x14ac:dyDescent="0.25">
      <c r="A11">
        <f>Data!A11</f>
        <v>10</v>
      </c>
      <c r="B11" s="5" t="str">
        <f>Data!J11</f>
        <v>The Painter</v>
      </c>
      <c r="C11" s="2">
        <f ca="1">VLOOKUP(B11,Songs!$A:$F,6,0)</f>
        <v>32</v>
      </c>
      <c r="D11">
        <f ca="1">VLOOKUP(A11,Rules!$A:$C,3,1)-C11</f>
        <v>20</v>
      </c>
    </row>
    <row r="12" spans="1:6" x14ac:dyDescent="0.25">
      <c r="A12">
        <f>Data!A12</f>
        <v>11</v>
      </c>
      <c r="B12" s="5" t="str">
        <f>Data!J12</f>
        <v>Man Made A Bar</v>
      </c>
      <c r="C12" s="2">
        <f ca="1">VLOOKUP(B12,Songs!$A:$F,6,0)</f>
        <v>31</v>
      </c>
      <c r="D12">
        <f ca="1">VLOOKUP(A12,Rules!$A:$C,3,1)-C12</f>
        <v>-5</v>
      </c>
    </row>
    <row r="13" spans="1:6" x14ac:dyDescent="0.25">
      <c r="A13">
        <f>Data!A13</f>
        <v>12</v>
      </c>
      <c r="B13" s="5" t="str">
        <f>Data!J13</f>
        <v>23</v>
      </c>
      <c r="C13" s="2">
        <f ca="1">VLOOKUP(B13,Songs!$A:$F,6,0)</f>
        <v>44</v>
      </c>
      <c r="D13">
        <f ca="1">VLOOKUP(A13,Rules!$A:$C,3,1)-C13</f>
        <v>-18</v>
      </c>
    </row>
    <row r="14" spans="1:6" x14ac:dyDescent="0.25">
      <c r="A14">
        <f>Data!A14</f>
        <v>13</v>
      </c>
      <c r="B14" s="5" t="str">
        <f>Data!J14</f>
        <v>Burn It Down</v>
      </c>
      <c r="C14" s="2">
        <f ca="1">VLOOKUP(B14,Songs!$A:$F,6,0)</f>
        <v>39</v>
      </c>
      <c r="D14">
        <f ca="1">VLOOKUP(A14,Rules!$A:$C,3,1)-C14</f>
        <v>-13</v>
      </c>
    </row>
    <row r="15" spans="1:6" x14ac:dyDescent="0.25">
      <c r="A15">
        <f>Data!A15</f>
        <v>14</v>
      </c>
      <c r="B15" s="5" t="str">
        <f>Data!J15</f>
        <v>I Can Feel It</v>
      </c>
      <c r="C15" s="2">
        <f ca="1">VLOOKUP(B15,Songs!$A:$F,6,0)</f>
        <v>26</v>
      </c>
      <c r="D15">
        <f ca="1">VLOOKUP(A15,Rules!$A:$C,3,1)-C15</f>
        <v>0</v>
      </c>
    </row>
    <row r="16" spans="1:6" x14ac:dyDescent="0.25">
      <c r="A16">
        <f>Data!A16</f>
        <v>15</v>
      </c>
      <c r="B16" s="5" t="str">
        <f>Data!J16</f>
        <v>Wildflowers And Wild Horses</v>
      </c>
      <c r="C16" s="2">
        <f ca="1">VLOOKUP(B16,Songs!$A:$F,6,0)</f>
        <v>18</v>
      </c>
      <c r="D16">
        <f ca="1">VLOOKUP(A16,Rules!$A:$C,3,1)-C16</f>
        <v>8</v>
      </c>
    </row>
    <row r="17" spans="1:4" x14ac:dyDescent="0.25">
      <c r="A17">
        <f>Data!A17</f>
        <v>16</v>
      </c>
      <c r="B17" s="5" t="str">
        <f>Data!J17</f>
        <v>Mamaw's House</v>
      </c>
      <c r="C17" s="2">
        <f ca="1">VLOOKUP(B17,Songs!$A:$F,6,0)</f>
        <v>25</v>
      </c>
      <c r="D17">
        <f ca="1">VLOOKUP(A17,Rules!$A:$C,3,1)-C17</f>
        <v>1</v>
      </c>
    </row>
    <row r="18" spans="1:4" x14ac:dyDescent="0.25">
      <c r="A18">
        <f>Data!A18</f>
        <v>17</v>
      </c>
      <c r="B18" s="5" t="str">
        <f>Data!J18</f>
        <v>Austin</v>
      </c>
      <c r="C18" s="2">
        <f ca="1">VLOOKUP(B18,Songs!$A:$F,6,0)</f>
        <v>2</v>
      </c>
      <c r="D18">
        <f ca="1">VLOOKUP(A18,Rules!$A:$C,3,1)-C18</f>
        <v>24</v>
      </c>
    </row>
    <row r="19" spans="1:4" x14ac:dyDescent="0.25">
      <c r="A19">
        <f>Data!A19</f>
        <v>18</v>
      </c>
      <c r="B19" s="5" t="str">
        <f>Data!J19</f>
        <v>Spin You Around (1/24)</v>
      </c>
      <c r="C19" s="2">
        <f ca="1">VLOOKUP(B19,Songs!$A:$F,6,0)</f>
        <v>7</v>
      </c>
      <c r="D19">
        <f ca="1">VLOOKUP(A19,Rules!$A:$C,3,1)-C19</f>
        <v>19</v>
      </c>
    </row>
    <row r="20" spans="1:4" x14ac:dyDescent="0.25">
      <c r="A20">
        <f>Data!A20</f>
        <v>19</v>
      </c>
      <c r="B20" s="5" t="str">
        <f>Data!J20</f>
        <v>Holy Smokes</v>
      </c>
      <c r="C20" s="2">
        <f ca="1">VLOOKUP(B20,Songs!$A:$F,6,0)</f>
        <v>3</v>
      </c>
      <c r="D20">
        <f ca="1">VLOOKUP(A20,Rules!$A:$C,3,1)-C20</f>
        <v>23</v>
      </c>
    </row>
    <row r="21" spans="1:4" x14ac:dyDescent="0.25">
      <c r="A21">
        <f>Data!A21</f>
        <v>20</v>
      </c>
      <c r="B21" s="5" t="str">
        <f>Data!J21</f>
        <v>Coal</v>
      </c>
      <c r="C21" s="2">
        <f ca="1">VLOOKUP(B21,Songs!$A:$F,6,0)</f>
        <v>24</v>
      </c>
      <c r="D21">
        <f ca="1">VLOOKUP(A21,Rules!$A:$C,3,1)-C21</f>
        <v>2</v>
      </c>
    </row>
    <row r="22" spans="1:4" x14ac:dyDescent="0.25">
      <c r="A22">
        <f>Data!A22</f>
        <v>21</v>
      </c>
      <c r="B22" s="5" t="str">
        <f>Data!J22</f>
        <v>Tucson Too Late</v>
      </c>
      <c r="C22" s="2">
        <f ca="1">VLOOKUP(B22,Songs!$A:$F,6,0)</f>
        <v>17</v>
      </c>
      <c r="D22">
        <f ca="1">VLOOKUP(A22,Rules!$A:$C,3,1)-C22</f>
        <v>9</v>
      </c>
    </row>
    <row r="23" spans="1:4" x14ac:dyDescent="0.25">
      <c r="A23">
        <f>Data!A23</f>
        <v>22</v>
      </c>
      <c r="B23" s="5" t="str">
        <f>Data!J23</f>
        <v>Back Then Right Now</v>
      </c>
      <c r="C23" s="2">
        <f ca="1">VLOOKUP(B23,Songs!$A:$F,6,0)</f>
        <v>11</v>
      </c>
      <c r="D23">
        <f ca="1">VLOOKUP(A23,Rules!$A:$C,3,1)-C23</f>
        <v>15</v>
      </c>
    </row>
    <row r="24" spans="1:4" x14ac:dyDescent="0.25">
      <c r="A24">
        <f>Data!A24</f>
        <v>23</v>
      </c>
      <c r="B24" s="5" t="str">
        <f>Data!J24</f>
        <v>Outskirts</v>
      </c>
      <c r="C24" s="2">
        <f ca="1">VLOOKUP(B24,Songs!$A:$F,6,0)</f>
        <v>23</v>
      </c>
      <c r="D24">
        <f ca="1">VLOOKUP(A24,Rules!$A:$C,3,1)-C24</f>
        <v>3</v>
      </c>
    </row>
    <row r="25" spans="1:4" x14ac:dyDescent="0.25">
      <c r="A25">
        <f>Data!A25</f>
        <v>24</v>
      </c>
      <c r="B25" s="5" t="str">
        <f>Data!J25</f>
        <v>We Ride</v>
      </c>
      <c r="C25" s="2">
        <f ca="1">VLOOKUP(B25,Songs!$A:$F,6,0)</f>
        <v>35</v>
      </c>
      <c r="D25">
        <f ca="1">VLOOKUP(A25,Rules!$A:$C,3,1)-C25</f>
        <v>-9</v>
      </c>
    </row>
    <row r="26" spans="1:4" x14ac:dyDescent="0.25">
      <c r="A26">
        <f>Data!A26</f>
        <v>25</v>
      </c>
      <c r="B26" s="5" t="str">
        <f>Data!J26</f>
        <v>Wondering Why</v>
      </c>
      <c r="C26" s="2">
        <f ca="1">VLOOKUP(B26,Songs!$A:$F,6,0)</f>
        <v>16</v>
      </c>
      <c r="D26">
        <f ca="1">VLOOKUP(A26,Rules!$A:$C,3,1)-C26</f>
        <v>10</v>
      </c>
    </row>
    <row r="27" spans="1:4" x14ac:dyDescent="0.25">
      <c r="A27">
        <f>Data!A27</f>
        <v>26</v>
      </c>
      <c r="B27" s="5" t="str">
        <f>Data!J27</f>
        <v>Creek Will Rise</v>
      </c>
      <c r="C27" s="2">
        <f ca="1">VLOOKUP(B27,Songs!$A:$F,6,0)</f>
        <v>18</v>
      </c>
      <c r="D27">
        <f ca="1">VLOOKUP(A27,Rules!$A:$C,3,1)-C27</f>
        <v>2</v>
      </c>
    </row>
    <row r="28" spans="1:4" x14ac:dyDescent="0.25">
      <c r="A28">
        <f>Data!A28</f>
        <v>27</v>
      </c>
      <c r="B28" s="5" t="str">
        <f>Data!J28</f>
        <v>We Don't Fight Anymore</v>
      </c>
      <c r="C28" s="2">
        <f ca="1">VLOOKUP(B28,Songs!$A:$F,6,0)</f>
        <v>31</v>
      </c>
      <c r="D28">
        <f ca="1">VLOOKUP(A28,Rules!$A:$C,3,1)-C28</f>
        <v>-11</v>
      </c>
    </row>
    <row r="29" spans="1:4" x14ac:dyDescent="0.25">
      <c r="A29">
        <f>Data!A29</f>
        <v>28</v>
      </c>
      <c r="B29" s="5" t="str">
        <f>Data!J29</f>
        <v>No Caller ID</v>
      </c>
      <c r="C29" s="2">
        <f ca="1">VLOOKUP(B29,Songs!$A:$F,6,0)</f>
        <v>8</v>
      </c>
      <c r="D29">
        <f ca="1">VLOOKUP(A29,Rules!$A:$C,3,1)-C29</f>
        <v>12</v>
      </c>
    </row>
    <row r="30" spans="1:4" x14ac:dyDescent="0.25">
      <c r="A30">
        <f>Data!A30</f>
        <v>29</v>
      </c>
      <c r="B30" s="5" t="str">
        <f>Data!J30</f>
        <v>Damn Near Normal</v>
      </c>
      <c r="C30" s="2">
        <f ca="1">VLOOKUP(B30,Songs!$A:$F,6,0)</f>
        <v>1</v>
      </c>
      <c r="D30">
        <f ca="1">VLOOKUP(A30,Rules!$A:$C,3,1)-C30</f>
        <v>19</v>
      </c>
    </row>
    <row r="31" spans="1:4" x14ac:dyDescent="0.25">
      <c r="A31">
        <f>Data!A31</f>
        <v>30</v>
      </c>
      <c r="B31" s="5" t="str">
        <f>Data!J31</f>
        <v>Dirt Cheap</v>
      </c>
      <c r="C31" s="2">
        <f ca="1">VLOOKUP(B31,Songs!$A:$F,6,0)</f>
        <v>20</v>
      </c>
      <c r="D31">
        <f ca="1">VLOOKUP(A31,Rules!$A:$C,3,1)-C31</f>
        <v>0</v>
      </c>
    </row>
    <row r="32" spans="1:4" x14ac:dyDescent="0.25">
      <c r="A32">
        <f>Data!A32</f>
        <v>31</v>
      </c>
      <c r="B32" s="5" t="str">
        <f>Data!J32</f>
        <v>Wine Into Whiskey</v>
      </c>
      <c r="C32" s="2">
        <f ca="1">VLOOKUP(B32,Songs!$A:$F,6,0)</f>
        <v>3</v>
      </c>
      <c r="D32">
        <f ca="1">VLOOKUP(A32,Rules!$A:$C,3,1)-C32</f>
        <v>17</v>
      </c>
    </row>
    <row r="33" spans="1:4" x14ac:dyDescent="0.25">
      <c r="A33">
        <f>Data!A33</f>
        <v>32</v>
      </c>
      <c r="B33" s="5" t="str">
        <f>Data!J33</f>
        <v>Cab In A Solo</v>
      </c>
      <c r="C33" s="2">
        <f ca="1">VLOOKUP(B33,Songs!$A:$F,6,0)</f>
        <v>10</v>
      </c>
      <c r="D33">
        <f ca="1">VLOOKUP(A33,Rules!$A:$C,3,1)-C33</f>
        <v>10</v>
      </c>
    </row>
    <row r="34" spans="1:4" x14ac:dyDescent="0.25">
      <c r="A34">
        <f>Data!A34</f>
        <v>33</v>
      </c>
      <c r="B34" s="5" t="str">
        <f>Data!J34</f>
        <v>Halfway To Hell</v>
      </c>
      <c r="C34" s="2">
        <f ca="1">VLOOKUP(B34,Songs!$A:$F,6,0)</f>
        <v>11</v>
      </c>
      <c r="D34">
        <f ca="1">VLOOKUP(A34,Rules!$A:$C,3,1)-C34</f>
        <v>9</v>
      </c>
    </row>
    <row r="35" spans="1:4" x14ac:dyDescent="0.25">
      <c r="A35">
        <f>Data!A35</f>
        <v>34</v>
      </c>
      <c r="B35" s="5" t="str">
        <f>Data!J35</f>
        <v>I Think I'm In Love With You</v>
      </c>
      <c r="C35" s="2">
        <f ca="1">VLOOKUP(B35,Songs!$A:$F,6,0)</f>
        <v>18</v>
      </c>
      <c r="D35">
        <f ca="1">VLOOKUP(A35,Rules!$A:$C,3,1)-C35</f>
        <v>2</v>
      </c>
    </row>
    <row r="36" spans="1:4" x14ac:dyDescent="0.25">
      <c r="A36">
        <f>Data!A36</f>
        <v>35</v>
      </c>
      <c r="B36" s="5" t="str">
        <f>Data!J36</f>
        <v>Bulletproof</v>
      </c>
      <c r="C36" s="2">
        <f ca="1">VLOOKUP(B36,Songs!$A:$F,6,0)</f>
        <v>5</v>
      </c>
      <c r="D36">
        <f ca="1">VLOOKUP(A36,Rules!$A:$C,3,1)-C36</f>
        <v>15</v>
      </c>
    </row>
    <row r="37" spans="1:4" x14ac:dyDescent="0.25">
      <c r="A37">
        <f>Data!A37</f>
        <v>36</v>
      </c>
      <c r="B37" s="5" t="str">
        <f>Data!J37</f>
        <v>Take Her Home</v>
      </c>
      <c r="C37" s="2">
        <f ca="1">VLOOKUP(B37,Songs!$A:$F,6,0)</f>
        <v>5</v>
      </c>
      <c r="D37">
        <f ca="1">VLOOKUP(A37,Rules!$A:$C,3,1)-C37</f>
        <v>15</v>
      </c>
    </row>
    <row r="38" spans="1:4" x14ac:dyDescent="0.25">
      <c r="A38">
        <f>Data!A38</f>
        <v>37</v>
      </c>
      <c r="B38" s="5" t="str">
        <f>Data!J38</f>
        <v>Deeper Well</v>
      </c>
      <c r="C38" s="2">
        <f ca="1">VLOOKUP(B38,Songs!$A:$F,6,0)</f>
        <v>5</v>
      </c>
      <c r="D38">
        <f ca="1">VLOOKUP(A38,Rules!$A:$C,3,1)-C38</f>
        <v>15</v>
      </c>
    </row>
    <row r="39" spans="1:4" x14ac:dyDescent="0.25">
      <c r="A39">
        <f>Data!A39</f>
        <v>38</v>
      </c>
      <c r="B39" s="5" t="str">
        <f>Data!J39</f>
        <v>Smoke &amp; A Light</v>
      </c>
      <c r="C39" s="2">
        <f ca="1">VLOOKUP(B39,Songs!$A:$F,6,0)</f>
        <v>1</v>
      </c>
      <c r="D39">
        <f ca="1">VLOOKUP(A39,Rules!$A:$C,3,1)-C39</f>
        <v>19</v>
      </c>
    </row>
    <row r="40" spans="1:4" x14ac:dyDescent="0.25">
      <c r="A40">
        <f>Data!A40</f>
        <v>39</v>
      </c>
      <c r="B40" s="5" t="str">
        <f>Data!J40</f>
        <v>I'm Not Pretty</v>
      </c>
      <c r="C40" s="2">
        <f ca="1">VLOOKUP(B40,Songs!$A:$F,6,0)</f>
        <v>29</v>
      </c>
      <c r="D40">
        <f ca="1">VLOOKUP(A40,Rules!$A:$C,3,1)-C40</f>
        <v>-9</v>
      </c>
    </row>
    <row r="41" spans="1:4" x14ac:dyDescent="0.25">
      <c r="A41">
        <f>Data!A41</f>
        <v>40</v>
      </c>
      <c r="B41" s="5" t="str">
        <f>Data!J41</f>
        <v>Your Place</v>
      </c>
      <c r="C41" s="2">
        <f ca="1">VLOOKUP(B41,Songs!$A:$F,6,0)</f>
        <v>11</v>
      </c>
      <c r="D41">
        <f ca="1">VLOOKUP(A41,Rules!$A:$C,3,1)-C41</f>
        <v>9</v>
      </c>
    </row>
    <row r="42" spans="1:4" x14ac:dyDescent="0.25">
      <c r="A42">
        <f>Data!A42</f>
        <v>41</v>
      </c>
      <c r="B42" s="5" t="str">
        <f>Data!J42</f>
        <v>In Your Love</v>
      </c>
      <c r="C42" s="2">
        <f ca="1">VLOOKUP(B42,Songs!$A:$F,6,0)</f>
        <v>34</v>
      </c>
      <c r="D42">
        <f ca="1">VLOOKUP(A42,Rules!$A:$C,3,1)-C42</f>
        <v>-14</v>
      </c>
    </row>
    <row r="43" spans="1:4" x14ac:dyDescent="0.25">
      <c r="A43">
        <f>Data!A43</f>
        <v>42</v>
      </c>
      <c r="B43" s="5" t="str">
        <f>Data!J43</f>
        <v>16 Carriages</v>
      </c>
      <c r="C43" s="2">
        <f ca="1">VLOOKUP(B43,Songs!$A:$F,6,0)</f>
        <v>5</v>
      </c>
      <c r="D43">
        <f ca="1">VLOOKUP(A43,Rules!$A:$C,3,1)-C43</f>
        <v>15</v>
      </c>
    </row>
    <row r="44" spans="1:4" x14ac:dyDescent="0.25">
      <c r="A44">
        <f>Data!A44</f>
        <v>43</v>
      </c>
      <c r="B44" s="5" t="str">
        <f>Data!J44</f>
        <v>Fearless (The Echo)</v>
      </c>
      <c r="C44" s="2">
        <f ca="1">VLOOKUP(B44,Songs!$A:$F,6,0)</f>
        <v>14</v>
      </c>
      <c r="D44">
        <f ca="1">VLOOKUP(A44,Rules!$A:$C,3,1)-C44</f>
        <v>6</v>
      </c>
    </row>
    <row r="45" spans="1:4" x14ac:dyDescent="0.25">
      <c r="A45">
        <f>Data!A45</f>
        <v>44</v>
      </c>
      <c r="B45" s="5" t="str">
        <f>Data!J45</f>
        <v>Boys Back Home</v>
      </c>
      <c r="C45" s="2">
        <f ca="1">VLOOKUP(B45,Songs!$A:$F,6,0)</f>
        <v>15</v>
      </c>
      <c r="D45">
        <f ca="1">VLOOKUP(A45,Rules!$A:$C,3,1)-C45</f>
        <v>5</v>
      </c>
    </row>
    <row r="46" spans="1:4" x14ac:dyDescent="0.25">
      <c r="A46">
        <f>Data!A46</f>
        <v>45</v>
      </c>
      <c r="B46" s="5" t="str">
        <f>Data!J46</f>
        <v>This Town's Been Too Good To Us</v>
      </c>
      <c r="C46" s="2">
        <f ca="1">VLOOKUP(B46,Songs!$A:$F,6,0)</f>
        <v>17</v>
      </c>
      <c r="D46">
        <f ca="1">VLOOKUP(A46,Rules!$A:$C,3,1)-C46</f>
        <v>3</v>
      </c>
    </row>
    <row r="47" spans="1:4" x14ac:dyDescent="0.25">
      <c r="A47">
        <f>Data!A47</f>
        <v>46</v>
      </c>
      <c r="B47" s="5" t="str">
        <f>Data!J47</f>
        <v>Love You Again</v>
      </c>
      <c r="C47" s="2">
        <f ca="1">VLOOKUP(B47,Songs!$A:$F,6,0)</f>
        <v>22</v>
      </c>
      <c r="D47">
        <f ca="1">VLOOKUP(A47,Rules!$A:$C,3,1)-C47</f>
        <v>-2</v>
      </c>
    </row>
    <row r="48" spans="1:4" x14ac:dyDescent="0.25">
      <c r="A48">
        <f>Data!A48</f>
        <v>47</v>
      </c>
      <c r="B48" s="5" t="str">
        <f>Data!J48</f>
        <v>Let Your Boys Be Country</v>
      </c>
      <c r="C48" s="2">
        <f ca="1">VLOOKUP(B48,Songs!$A:$F,6,0)</f>
        <v>10</v>
      </c>
      <c r="D48">
        <f ca="1">VLOOKUP(A48,Rules!$A:$C,3,1)-C48</f>
        <v>10</v>
      </c>
    </row>
    <row r="49" spans="1:4" x14ac:dyDescent="0.25">
      <c r="A49">
        <f>Data!A49</f>
        <v>48</v>
      </c>
      <c r="B49" s="5" t="str">
        <f>Data!J49</f>
        <v>Chevrolet</v>
      </c>
      <c r="C49" s="2">
        <f ca="1">VLOOKUP(B49,Songs!$A:$F,6,0)</f>
        <v>3</v>
      </c>
      <c r="D49">
        <f ca="1">VLOOKUP(A49,Rules!$A:$C,3,1)-C49</f>
        <v>17</v>
      </c>
    </row>
    <row r="50" spans="1:4" x14ac:dyDescent="0.25">
      <c r="A50">
        <f>Data!A50</f>
        <v>49</v>
      </c>
      <c r="B50" s="5" t="str">
        <f>Data!J50</f>
        <v>Nine Ball</v>
      </c>
      <c r="C50" s="2">
        <f ca="1">VLOOKUP(B50,Songs!$A:$F,6,0)</f>
        <v>4</v>
      </c>
      <c r="D50">
        <f ca="1">VLOOKUP(A50,Rules!$A:$C,3,1)-C50</f>
        <v>16</v>
      </c>
    </row>
    <row r="51" spans="1:4" x14ac:dyDescent="0.25">
      <c r="A51">
        <f>Data!A51</f>
        <v>50</v>
      </c>
      <c r="B51" s="5" t="str">
        <f>Data!J51</f>
        <v>Can't Break Up Now</v>
      </c>
      <c r="C51" s="2">
        <f ca="1">VLOOKUP(B51,Songs!$A:$F,6,0)</f>
        <v>10</v>
      </c>
      <c r="D51">
        <f ca="1">VLOOKUP(A51,Rules!$A:$C,3,1)-C51</f>
        <v>10</v>
      </c>
    </row>
  </sheetData>
  <conditionalFormatting sqref="C2:C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3B41A4-CC10-40B9-9A19-6D876200BA2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Songs!H15:P15</xm:f>
              <xm:sqref>E14</xm:sqref>
            </x14:sparkline>
          </x14:sparklines>
        </x14:sparklineGroup>
        <x14:sparklineGroup displayEmptyCellsAs="gap" xr2:uid="{4B2AC878-B7A2-4E21-88B5-6266364A4AC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'Current Chart'!F12:N12</xm:f>
              <xm:sqref>E12</xm:sqref>
            </x14:sparkline>
          </x14:sparklines>
        </x14:sparklineGroup>
        <x14:sparklineGroup displayEmptyCellsAs="gap" xr2:uid="{A7145B83-EB53-415C-86E7-A9008F9CDF0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Songs!H9:P9</xm:f>
              <xm:sqref>E8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D81"/>
  <sheetViews>
    <sheetView workbookViewId="0">
      <pane ySplit="1" topLeftCell="A60" activePane="bottomLeft" state="frozen"/>
      <selection pane="bottomLeft" activeCell="E70" sqref="E70"/>
    </sheetView>
  </sheetViews>
  <sheetFormatPr defaultColWidth="12.6640625" defaultRowHeight="15.75" customHeight="1" x14ac:dyDescent="0.25"/>
  <cols>
    <col min="1" max="1" width="32.44140625" bestFit="1" customWidth="1"/>
    <col min="2" max="3" width="19" customWidth="1"/>
    <col min="4" max="4" width="21.44140625" bestFit="1" customWidth="1"/>
    <col min="5" max="5" width="19.21875" customWidth="1"/>
    <col min="6" max="6" width="15.21875" bestFit="1" customWidth="1"/>
  </cols>
  <sheetData>
    <row r="1" spans="1:30" ht="13.2" x14ac:dyDescent="0.25">
      <c r="A1" s="3" t="s">
        <v>69</v>
      </c>
      <c r="B1" s="3" t="s">
        <v>71</v>
      </c>
      <c r="C1" s="3" t="s">
        <v>72</v>
      </c>
      <c r="D1" s="3" t="s">
        <v>73</v>
      </c>
      <c r="E1" s="3" t="s">
        <v>70</v>
      </c>
      <c r="F1" s="3" t="s">
        <v>166</v>
      </c>
      <c r="G1" s="9"/>
      <c r="H1" s="9">
        <f>Data!B1</f>
        <v>45318</v>
      </c>
      <c r="I1" s="9">
        <f>Data!C1</f>
        <v>45325</v>
      </c>
      <c r="J1" s="9">
        <f>Data!D1</f>
        <v>45332</v>
      </c>
      <c r="K1" s="9">
        <f>Data!E1</f>
        <v>45339</v>
      </c>
      <c r="L1" s="9">
        <f>Data!F1</f>
        <v>45343</v>
      </c>
      <c r="M1" s="9">
        <f>Data!G1</f>
        <v>45349</v>
      </c>
      <c r="N1" s="9">
        <f>Data!H1</f>
        <v>45356</v>
      </c>
      <c r="O1" s="9">
        <f>Data!I1</f>
        <v>45364</v>
      </c>
      <c r="P1" s="9">
        <f>Data!J1</f>
        <v>45370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3.2" x14ac:dyDescent="0.25">
      <c r="A2" s="2" t="s">
        <v>0</v>
      </c>
      <c r="B2" s="2" t="s">
        <v>74</v>
      </c>
      <c r="C2" s="2"/>
      <c r="D2" s="2" t="s">
        <v>75</v>
      </c>
      <c r="E2" s="2">
        <v>21</v>
      </c>
      <c r="F2" s="2">
        <f ca="1">COUNTIF(INDIRECT(_xlfn.CONCAT("Data!$B$2:", ADDRESS(51,COUNTA(Data!$1:$1)+1,1,1))), Songs!A2) + E2</f>
        <v>30</v>
      </c>
      <c r="G2" s="8"/>
      <c r="H2">
        <f>_xlfn.IFNA(51-MATCH(Songs!$A2,Data!B$2:B$51,0),NA())</f>
        <v>50</v>
      </c>
      <c r="I2">
        <f>_xlfn.IFNA(51-MATCH(Songs!$A2,Data!C$2:C$51,0),NA())</f>
        <v>50</v>
      </c>
      <c r="J2">
        <f>_xlfn.IFNA(51-MATCH(Songs!$A2,Data!D$2:D$51,0),NA())</f>
        <v>50</v>
      </c>
      <c r="K2">
        <f>_xlfn.IFNA(51-MATCH(Songs!$A2,Data!E$2:E$51,0),NA())</f>
        <v>50</v>
      </c>
      <c r="L2">
        <f>_xlfn.IFNA(51-MATCH(Songs!$A2,Data!F$2:F$51,0),NA())</f>
        <v>49</v>
      </c>
      <c r="M2">
        <f>_xlfn.IFNA(51-MATCH(Songs!$A2,Data!G$2:G$51,0),NA())</f>
        <v>49</v>
      </c>
      <c r="N2">
        <f>_xlfn.IFNA(51-MATCH(Songs!$A2,Data!H$2:H$51,0),NA())</f>
        <v>49</v>
      </c>
      <c r="O2">
        <f>_xlfn.IFNA(51-MATCH(Songs!$A2,Data!I$2:I$51,0),NA())</f>
        <v>49</v>
      </c>
      <c r="P2">
        <f>_xlfn.IFNA(51-MATCH(Songs!$A2,Data!J$2:J$51,0),NA())</f>
        <v>49</v>
      </c>
    </row>
    <row r="3" spans="1:30" ht="13.2" x14ac:dyDescent="0.25">
      <c r="A3" s="2" t="s">
        <v>2</v>
      </c>
      <c r="B3" s="2" t="s">
        <v>76</v>
      </c>
      <c r="C3" s="2"/>
      <c r="E3" s="2">
        <v>51</v>
      </c>
      <c r="F3" s="2">
        <f ca="1">COUNTIF(INDIRECT(_xlfn.CONCAT("Data!$B$2:", ADDRESS(51,COUNTA(Data!$1:$1)+1,1,1))), Songs!A3) + E3</f>
        <v>60</v>
      </c>
      <c r="G3" s="8"/>
      <c r="H3">
        <f>_xlfn.IFNA(51-MATCH(Songs!$A3,Data!B$2:B$51,0),NA())</f>
        <v>49</v>
      </c>
      <c r="I3">
        <f>_xlfn.IFNA(51-MATCH(Songs!$A3,Data!C$2:C$51,0),NA())</f>
        <v>49</v>
      </c>
      <c r="J3">
        <f>_xlfn.IFNA(51-MATCH(Songs!$A3,Data!D$2:D$51,0),NA())</f>
        <v>49</v>
      </c>
      <c r="K3">
        <f>_xlfn.IFNA(51-MATCH(Songs!$A3,Data!E$2:E$51,0),NA())</f>
        <v>48</v>
      </c>
      <c r="L3">
        <f>_xlfn.IFNA(51-MATCH(Songs!$A3,Data!F$2:F$51,0),NA())</f>
        <v>47</v>
      </c>
      <c r="M3">
        <f>_xlfn.IFNA(51-MATCH(Songs!$A3,Data!G$2:G$51,0),NA())</f>
        <v>47</v>
      </c>
      <c r="N3">
        <f>_xlfn.IFNA(51-MATCH(Songs!$A3,Data!H$2:H$51,0),NA())</f>
        <v>47</v>
      </c>
      <c r="O3">
        <f>_xlfn.IFNA(51-MATCH(Songs!$A3,Data!I$2:I$51,0),NA())</f>
        <v>47</v>
      </c>
      <c r="P3">
        <f>_xlfn.IFNA(51-MATCH(Songs!$A3,Data!J$2:J$51,0),NA())</f>
        <v>48</v>
      </c>
    </row>
    <row r="4" spans="1:30" ht="13.2" x14ac:dyDescent="0.25">
      <c r="A4" s="2" t="s">
        <v>4</v>
      </c>
      <c r="B4" s="2" t="s">
        <v>76</v>
      </c>
      <c r="C4" s="2"/>
      <c r="E4" s="2">
        <v>46</v>
      </c>
      <c r="F4" s="2">
        <f ca="1">COUNTIF(INDIRECT(_xlfn.CONCAT("Data!$B$2:", ADDRESS(51,COUNTA(Data!$1:$1)+1,1,1))), Songs!A4) + E4</f>
        <v>55</v>
      </c>
      <c r="G4" s="8"/>
      <c r="H4">
        <f>_xlfn.IFNA(51-MATCH(Songs!$A4,Data!B$2:B$51,0),NA())</f>
        <v>48</v>
      </c>
      <c r="I4">
        <f>_xlfn.IFNA(51-MATCH(Songs!$A4,Data!C$2:C$51,0),NA())</f>
        <v>48</v>
      </c>
      <c r="J4">
        <f>_xlfn.IFNA(51-MATCH(Songs!$A4,Data!D$2:D$51,0),NA())</f>
        <v>48</v>
      </c>
      <c r="K4">
        <f>_xlfn.IFNA(51-MATCH(Songs!$A4,Data!E$2:E$51,0),NA())</f>
        <v>47</v>
      </c>
      <c r="L4">
        <f>_xlfn.IFNA(51-MATCH(Songs!$A4,Data!F$2:F$51,0),NA())</f>
        <v>46</v>
      </c>
      <c r="M4">
        <f>_xlfn.IFNA(51-MATCH(Songs!$A4,Data!G$2:G$51,0),NA())</f>
        <v>46</v>
      </c>
      <c r="N4">
        <f>_xlfn.IFNA(51-MATCH(Songs!$A4,Data!H$2:H$51,0),NA())</f>
        <v>46</v>
      </c>
      <c r="O4">
        <f>_xlfn.IFNA(51-MATCH(Songs!$A4,Data!I$2:I$51,0),NA())</f>
        <v>46</v>
      </c>
      <c r="P4">
        <f>_xlfn.IFNA(51-MATCH(Songs!$A4,Data!J$2:J$51,0),NA())</f>
        <v>46</v>
      </c>
    </row>
    <row r="5" spans="1:30" ht="13.2" x14ac:dyDescent="0.25">
      <c r="A5" s="2" t="s">
        <v>3</v>
      </c>
      <c r="B5" s="2" t="s">
        <v>77</v>
      </c>
      <c r="C5" s="2"/>
      <c r="E5" s="2">
        <v>43</v>
      </c>
      <c r="F5" s="2">
        <f ca="1">COUNTIF(INDIRECT(_xlfn.CONCAT("Data!$B$2:", ADDRESS(51,COUNTA(Data!$1:$1)+1,1,1))), Songs!A5) + E5</f>
        <v>52</v>
      </c>
      <c r="G5" s="8"/>
      <c r="H5">
        <f>_xlfn.IFNA(51-MATCH(Songs!$A5,Data!B$2:B$51,0),NA())</f>
        <v>47</v>
      </c>
      <c r="I5">
        <f>_xlfn.IFNA(51-MATCH(Songs!$A5,Data!C$2:C$51,0),NA())</f>
        <v>47</v>
      </c>
      <c r="J5">
        <f>_xlfn.IFNA(51-MATCH(Songs!$A5,Data!D$2:D$51,0),NA())</f>
        <v>47</v>
      </c>
      <c r="K5">
        <f>_xlfn.IFNA(51-MATCH(Songs!$A5,Data!E$2:E$51,0),NA())</f>
        <v>49</v>
      </c>
      <c r="L5">
        <f>_xlfn.IFNA(51-MATCH(Songs!$A5,Data!F$2:F$51,0),NA())</f>
        <v>48</v>
      </c>
      <c r="M5">
        <f>_xlfn.IFNA(51-MATCH(Songs!$A5,Data!G$2:G$51,0),NA())</f>
        <v>48</v>
      </c>
      <c r="N5">
        <f>_xlfn.IFNA(51-MATCH(Songs!$A5,Data!H$2:H$51,0),NA())</f>
        <v>48</v>
      </c>
      <c r="O5">
        <f>_xlfn.IFNA(51-MATCH(Songs!$A5,Data!I$2:I$51,0),NA())</f>
        <v>48</v>
      </c>
      <c r="P5">
        <f>_xlfn.IFNA(51-MATCH(Songs!$A5,Data!J$2:J$51,0),NA())</f>
        <v>47</v>
      </c>
    </row>
    <row r="6" spans="1:30" ht="13.2" x14ac:dyDescent="0.25">
      <c r="A6" s="2" t="s">
        <v>5</v>
      </c>
      <c r="B6" s="2" t="s">
        <v>78</v>
      </c>
      <c r="C6" s="2"/>
      <c r="E6" s="2">
        <v>26</v>
      </c>
      <c r="F6" s="2">
        <f ca="1">COUNTIF(INDIRECT(_xlfn.CONCAT("Data!$B$2:", ADDRESS(51,COUNTA(Data!$1:$1)+1,1,1))), Songs!A6) + E6</f>
        <v>30</v>
      </c>
      <c r="G6" s="8"/>
      <c r="H6">
        <f>_xlfn.IFNA(51-MATCH(Songs!$A6,Data!B$2:B$51,0),NA())</f>
        <v>46</v>
      </c>
      <c r="I6">
        <f>_xlfn.IFNA(51-MATCH(Songs!$A6,Data!C$2:C$51,0),NA())</f>
        <v>46</v>
      </c>
      <c r="J6">
        <f>_xlfn.IFNA(51-MATCH(Songs!$A6,Data!D$2:D$51,0),NA())</f>
        <v>45</v>
      </c>
      <c r="K6">
        <f>_xlfn.IFNA(51-MATCH(Songs!$A6,Data!E$2:E$51,0),NA())</f>
        <v>43</v>
      </c>
      <c r="L6" t="e">
        <f>_xlfn.IFNA(51-MATCH(Songs!$A6,Data!F$2:F$51,0),NA())</f>
        <v>#N/A</v>
      </c>
      <c r="M6" t="e">
        <f>_xlfn.IFNA(51-MATCH(Songs!$A6,Data!G$2:G$51,0),NA())</f>
        <v>#N/A</v>
      </c>
      <c r="N6" t="e">
        <f>_xlfn.IFNA(51-MATCH(Songs!$A6,Data!H$2:H$51,0),NA())</f>
        <v>#N/A</v>
      </c>
      <c r="O6" t="e">
        <f>_xlfn.IFNA(51-MATCH(Songs!$A6,Data!I$2:I$51,0),NA())</f>
        <v>#N/A</v>
      </c>
      <c r="P6" t="e">
        <f>_xlfn.IFNA(51-MATCH(Songs!$A6,Data!J$2:J$51,0),NA())</f>
        <v>#N/A</v>
      </c>
    </row>
    <row r="7" spans="1:30" ht="13.2" x14ac:dyDescent="0.25">
      <c r="A7" s="2" t="s">
        <v>8</v>
      </c>
      <c r="B7" s="2" t="s">
        <v>79</v>
      </c>
      <c r="C7" s="2"/>
      <c r="E7" s="2">
        <v>32</v>
      </c>
      <c r="F7" s="2">
        <f ca="1">COUNTIF(INDIRECT(_xlfn.CONCAT("Data!$B$2:", ADDRESS(51,COUNTA(Data!$1:$1)+1,1,1))), Songs!A7) + E7</f>
        <v>37</v>
      </c>
      <c r="G7" s="8"/>
      <c r="H7">
        <f>_xlfn.IFNA(51-MATCH(Songs!$A7,Data!B$2:B$51,0),NA())</f>
        <v>45</v>
      </c>
      <c r="I7">
        <f>_xlfn.IFNA(51-MATCH(Songs!$A7,Data!C$2:C$51,0),NA())</f>
        <v>41</v>
      </c>
      <c r="J7">
        <f>_xlfn.IFNA(51-MATCH(Songs!$A7,Data!D$2:D$51,0),NA())</f>
        <v>40</v>
      </c>
      <c r="K7">
        <f>_xlfn.IFNA(51-MATCH(Songs!$A7,Data!E$2:E$51,0),NA())</f>
        <v>41</v>
      </c>
      <c r="L7">
        <f>_xlfn.IFNA(51-MATCH(Songs!$A7,Data!F$2:F$51,0),NA())</f>
        <v>39</v>
      </c>
      <c r="M7" t="e">
        <f>_xlfn.IFNA(51-MATCH(Songs!$A7,Data!G$2:G$51,0),NA())</f>
        <v>#N/A</v>
      </c>
      <c r="N7" t="e">
        <f>_xlfn.IFNA(51-MATCH(Songs!$A7,Data!H$2:H$51,0),NA())</f>
        <v>#N/A</v>
      </c>
      <c r="O7" t="e">
        <f>_xlfn.IFNA(51-MATCH(Songs!$A7,Data!I$2:I$51,0),NA())</f>
        <v>#N/A</v>
      </c>
      <c r="P7" t="e">
        <f>_xlfn.IFNA(51-MATCH(Songs!$A7,Data!J$2:J$51,0),NA())</f>
        <v>#N/A</v>
      </c>
    </row>
    <row r="8" spans="1:30" ht="13.2" x14ac:dyDescent="0.25">
      <c r="A8" s="2" t="s">
        <v>10</v>
      </c>
      <c r="B8" s="2" t="s">
        <v>80</v>
      </c>
      <c r="C8" s="2"/>
      <c r="E8" s="2">
        <v>51</v>
      </c>
      <c r="F8" s="2">
        <f ca="1">COUNTIF(INDIRECT(_xlfn.CONCAT("Data!$B$2:", ADDRESS(51,COUNTA(Data!$1:$1)+1,1,1))), Songs!A8) + E8</f>
        <v>53</v>
      </c>
      <c r="G8" s="8"/>
      <c r="H8">
        <f>_xlfn.IFNA(51-MATCH(Songs!$A8,Data!B$2:B$51,0),NA())</f>
        <v>44</v>
      </c>
      <c r="I8">
        <f>_xlfn.IFNA(51-MATCH(Songs!$A8,Data!C$2:C$51,0),NA())</f>
        <v>43</v>
      </c>
      <c r="J8" t="e">
        <f>_xlfn.IFNA(51-MATCH(Songs!$A8,Data!D$2:D$51,0),NA())</f>
        <v>#N/A</v>
      </c>
      <c r="K8" t="e">
        <f>_xlfn.IFNA(51-MATCH(Songs!$A8,Data!E$2:E$51,0),NA())</f>
        <v>#N/A</v>
      </c>
      <c r="L8" t="e">
        <f>_xlfn.IFNA(51-MATCH(Songs!$A8,Data!F$2:F$51,0),NA())</f>
        <v>#N/A</v>
      </c>
      <c r="M8" t="e">
        <f>_xlfn.IFNA(51-MATCH(Songs!$A8,Data!G$2:G$51,0),NA())</f>
        <v>#N/A</v>
      </c>
      <c r="N8" t="e">
        <f>_xlfn.IFNA(51-MATCH(Songs!$A8,Data!H$2:H$51,0),NA())</f>
        <v>#N/A</v>
      </c>
      <c r="O8" t="e">
        <f>_xlfn.IFNA(51-MATCH(Songs!$A8,Data!I$2:I$51,0),NA())</f>
        <v>#N/A</v>
      </c>
      <c r="P8" t="e">
        <f>_xlfn.IFNA(51-MATCH(Songs!$A8,Data!J$2:J$51,0),NA())</f>
        <v>#N/A</v>
      </c>
    </row>
    <row r="9" spans="1:30" ht="13.2" x14ac:dyDescent="0.25">
      <c r="A9" s="2" t="s">
        <v>7</v>
      </c>
      <c r="B9" s="2" t="s">
        <v>81</v>
      </c>
      <c r="C9" s="2"/>
      <c r="E9" s="2">
        <v>32</v>
      </c>
      <c r="F9" s="2">
        <f ca="1">COUNTIF(INDIRECT(_xlfn.CONCAT("Data!$B$2:", ADDRESS(51,COUNTA(Data!$1:$1)+1,1,1))), Songs!A9) + E9</f>
        <v>41</v>
      </c>
      <c r="G9" s="8"/>
      <c r="H9">
        <f>_xlfn.IFNA(51-MATCH(Songs!$A9,Data!B$2:B$51,0),NA())</f>
        <v>43</v>
      </c>
      <c r="I9">
        <f>_xlfn.IFNA(51-MATCH(Songs!$A9,Data!C$2:C$51,0),NA())</f>
        <v>45</v>
      </c>
      <c r="J9">
        <f>_xlfn.IFNA(51-MATCH(Songs!$A9,Data!D$2:D$51,0),NA())</f>
        <v>44</v>
      </c>
      <c r="K9">
        <f>_xlfn.IFNA(51-MATCH(Songs!$A9,Data!E$2:E$51,0),NA())</f>
        <v>46</v>
      </c>
      <c r="L9">
        <f>_xlfn.IFNA(51-MATCH(Songs!$A9,Data!F$2:F$51,0),NA())</f>
        <v>45</v>
      </c>
      <c r="M9">
        <f>_xlfn.IFNA(51-MATCH(Songs!$A9,Data!G$2:G$51,0),NA())</f>
        <v>45</v>
      </c>
      <c r="N9">
        <f>_xlfn.IFNA(51-MATCH(Songs!$A9,Data!H$2:H$51,0),NA())</f>
        <v>45</v>
      </c>
      <c r="O9">
        <f>_xlfn.IFNA(51-MATCH(Songs!$A9,Data!I$2:I$51,0),NA())</f>
        <v>45</v>
      </c>
      <c r="P9">
        <f>_xlfn.IFNA(51-MATCH(Songs!$A9,Data!J$2:J$51,0),NA())</f>
        <v>44</v>
      </c>
    </row>
    <row r="10" spans="1:30" ht="13.2" x14ac:dyDescent="0.25">
      <c r="A10" s="2" t="s">
        <v>12</v>
      </c>
      <c r="B10" s="2" t="s">
        <v>80</v>
      </c>
      <c r="C10" s="2" t="s">
        <v>82</v>
      </c>
      <c r="E10" s="2">
        <v>34</v>
      </c>
      <c r="F10" s="2">
        <f ca="1">COUNTIF(INDIRECT(_xlfn.CONCAT("Data!$B$2:", ADDRESS(51,COUNTA(Data!$1:$1)+1,1,1))), Songs!A10) + E10</f>
        <v>35</v>
      </c>
      <c r="G10" s="8"/>
      <c r="H10">
        <f>_xlfn.IFNA(51-MATCH(Songs!$A10,Data!B$2:B$51,0),NA())</f>
        <v>42</v>
      </c>
      <c r="I10" t="e">
        <f>_xlfn.IFNA(51-MATCH(Songs!$A10,Data!C$2:C$51,0),NA())</f>
        <v>#N/A</v>
      </c>
      <c r="J10" t="e">
        <f>_xlfn.IFNA(51-MATCH(Songs!$A10,Data!D$2:D$51,0),NA())</f>
        <v>#N/A</v>
      </c>
      <c r="K10" t="e">
        <f>_xlfn.IFNA(51-MATCH(Songs!$A10,Data!E$2:E$51,0),NA())</f>
        <v>#N/A</v>
      </c>
      <c r="L10" t="e">
        <f>_xlfn.IFNA(51-MATCH(Songs!$A10,Data!F$2:F$51,0),NA())</f>
        <v>#N/A</v>
      </c>
      <c r="M10" t="e">
        <f>_xlfn.IFNA(51-MATCH(Songs!$A10,Data!G$2:G$51,0),NA())</f>
        <v>#N/A</v>
      </c>
      <c r="N10" t="e">
        <f>_xlfn.IFNA(51-MATCH(Songs!$A10,Data!H$2:H$51,0),NA())</f>
        <v>#N/A</v>
      </c>
      <c r="O10" t="e">
        <f>_xlfn.IFNA(51-MATCH(Songs!$A10,Data!I$2:I$51,0),NA())</f>
        <v>#N/A</v>
      </c>
      <c r="P10" t="e">
        <f>_xlfn.IFNA(51-MATCH(Songs!$A10,Data!J$2:J$51,0),NA())</f>
        <v>#N/A</v>
      </c>
    </row>
    <row r="11" spans="1:30" ht="13.2" x14ac:dyDescent="0.25">
      <c r="A11" s="2" t="s">
        <v>15</v>
      </c>
      <c r="B11" s="2" t="s">
        <v>83</v>
      </c>
      <c r="C11" s="2" t="s">
        <v>84</v>
      </c>
      <c r="E11" s="2">
        <v>15</v>
      </c>
      <c r="F11" s="2">
        <f ca="1">COUNTIF(INDIRECT(_xlfn.CONCAT("Data!$B$2:", ADDRESS(51,COUNTA(Data!$1:$1)+1,1,1))), Songs!A11) + E11</f>
        <v>24</v>
      </c>
      <c r="G11" s="8"/>
      <c r="H11">
        <f>_xlfn.IFNA(51-MATCH(Songs!$A11,Data!B$2:B$51,0),NA())</f>
        <v>41</v>
      </c>
      <c r="I11">
        <f>_xlfn.IFNA(51-MATCH(Songs!$A11,Data!C$2:C$51,0),NA())</f>
        <v>42</v>
      </c>
      <c r="J11">
        <f>_xlfn.IFNA(51-MATCH(Songs!$A11,Data!D$2:D$51,0),NA())</f>
        <v>42</v>
      </c>
      <c r="K11">
        <f>_xlfn.IFNA(51-MATCH(Songs!$A11,Data!E$2:E$51,0),NA())</f>
        <v>42</v>
      </c>
      <c r="L11">
        <f>_xlfn.IFNA(51-MATCH(Songs!$A11,Data!F$2:F$51,0),NA())</f>
        <v>41</v>
      </c>
      <c r="M11">
        <f>_xlfn.IFNA(51-MATCH(Songs!$A11,Data!G$2:G$51,0),NA())</f>
        <v>41</v>
      </c>
      <c r="N11">
        <f>_xlfn.IFNA(51-MATCH(Songs!$A11,Data!H$2:H$51,0),NA())</f>
        <v>41</v>
      </c>
      <c r="O11">
        <f>_xlfn.IFNA(51-MATCH(Songs!$A11,Data!I$2:I$51,0),NA())</f>
        <v>41</v>
      </c>
      <c r="P11">
        <f>_xlfn.IFNA(51-MATCH(Songs!$A11,Data!J$2:J$51,0),NA())</f>
        <v>43</v>
      </c>
    </row>
    <row r="12" spans="1:30" ht="13.2" x14ac:dyDescent="0.25">
      <c r="A12" s="2" t="s">
        <v>16</v>
      </c>
      <c r="B12" s="2" t="s">
        <v>85</v>
      </c>
      <c r="E12" s="2">
        <v>42</v>
      </c>
      <c r="F12" s="2">
        <f ca="1">COUNTIF(INDIRECT(_xlfn.CONCAT("Data!$B$2:", ADDRESS(51,COUNTA(Data!$1:$1)+1,1,1))), Songs!A12) + E12</f>
        <v>51</v>
      </c>
      <c r="G12" s="8"/>
      <c r="H12">
        <f>_xlfn.IFNA(51-MATCH(Songs!$A12,Data!B$2:B$51,0),NA())</f>
        <v>40</v>
      </c>
      <c r="I12">
        <f>_xlfn.IFNA(51-MATCH(Songs!$A12,Data!C$2:C$51,0),NA())</f>
        <v>40</v>
      </c>
      <c r="J12">
        <f>_xlfn.IFNA(51-MATCH(Songs!$A12,Data!D$2:D$51,0),NA())</f>
        <v>39</v>
      </c>
      <c r="K12">
        <f>_xlfn.IFNA(51-MATCH(Songs!$A12,Data!E$2:E$51,0),NA())</f>
        <v>40</v>
      </c>
      <c r="L12">
        <f>_xlfn.IFNA(51-MATCH(Songs!$A12,Data!F$2:F$51,0),NA())</f>
        <v>40</v>
      </c>
      <c r="M12">
        <f>_xlfn.IFNA(51-MATCH(Songs!$A12,Data!G$2:G$51,0),NA())</f>
        <v>42</v>
      </c>
      <c r="N12">
        <f>_xlfn.IFNA(51-MATCH(Songs!$A12,Data!H$2:H$51,0),NA())</f>
        <v>42</v>
      </c>
      <c r="O12">
        <f>_xlfn.IFNA(51-MATCH(Songs!$A12,Data!I$2:I$51,0),NA())</f>
        <v>43</v>
      </c>
      <c r="P12">
        <f>_xlfn.IFNA(51-MATCH(Songs!$A12,Data!J$2:J$51,0),NA())</f>
        <v>45</v>
      </c>
    </row>
    <row r="13" spans="1:30" ht="13.2" x14ac:dyDescent="0.25">
      <c r="A13" s="2" t="s">
        <v>9</v>
      </c>
      <c r="B13" s="2" t="s">
        <v>77</v>
      </c>
      <c r="E13" s="2">
        <v>13</v>
      </c>
      <c r="F13" s="2">
        <f ca="1">COUNTIF(INDIRECT(_xlfn.CONCAT("Data!$B$2:", ADDRESS(51,COUNTA(Data!$1:$1)+1,1,1))), Songs!A13) + E13</f>
        <v>22</v>
      </c>
      <c r="G13" s="8"/>
      <c r="H13">
        <f>_xlfn.IFNA(51-MATCH(Songs!$A13,Data!B$2:B$51,0),NA())</f>
        <v>39</v>
      </c>
      <c r="I13">
        <f>_xlfn.IFNA(51-MATCH(Songs!$A13,Data!C$2:C$51,0),NA())</f>
        <v>44</v>
      </c>
      <c r="J13">
        <f>_xlfn.IFNA(51-MATCH(Songs!$A13,Data!D$2:D$51,0),NA())</f>
        <v>43</v>
      </c>
      <c r="K13">
        <f>_xlfn.IFNA(51-MATCH(Songs!$A13,Data!E$2:E$51,0),NA())</f>
        <v>45</v>
      </c>
      <c r="L13">
        <f>_xlfn.IFNA(51-MATCH(Songs!$A13,Data!F$2:F$51,0),NA())</f>
        <v>44</v>
      </c>
      <c r="M13">
        <f>_xlfn.IFNA(51-MATCH(Songs!$A13,Data!G$2:G$51,0),NA())</f>
        <v>44</v>
      </c>
      <c r="N13">
        <f>_xlfn.IFNA(51-MATCH(Songs!$A13,Data!H$2:H$51,0),NA())</f>
        <v>43</v>
      </c>
      <c r="O13">
        <f>_xlfn.IFNA(51-MATCH(Songs!$A13,Data!I$2:I$51,0),NA())</f>
        <v>44</v>
      </c>
      <c r="P13">
        <f>_xlfn.IFNA(51-MATCH(Songs!$A13,Data!J$2:J$51,0),NA())</f>
        <v>42</v>
      </c>
    </row>
    <row r="14" spans="1:30" ht="13.2" x14ac:dyDescent="0.25">
      <c r="A14" s="2" t="s">
        <v>11</v>
      </c>
      <c r="B14" s="2" t="s">
        <v>86</v>
      </c>
      <c r="E14" s="2">
        <v>23</v>
      </c>
      <c r="F14" s="2">
        <f ca="1">COUNTIF(INDIRECT(_xlfn.CONCAT("Data!$B$2:", ADDRESS(51,COUNTA(Data!$1:$1)+1,1,1))), Songs!A14) + E14</f>
        <v>32</v>
      </c>
      <c r="G14" s="8"/>
      <c r="H14">
        <f>_xlfn.IFNA(51-MATCH(Songs!$A14,Data!B$2:B$51,0),NA())</f>
        <v>38</v>
      </c>
      <c r="I14">
        <f>_xlfn.IFNA(51-MATCH(Songs!$A14,Data!C$2:C$51,0),NA())</f>
        <v>39</v>
      </c>
      <c r="J14">
        <f>_xlfn.IFNA(51-MATCH(Songs!$A14,Data!D$2:D$51,0),NA())</f>
        <v>41</v>
      </c>
      <c r="K14">
        <f>_xlfn.IFNA(51-MATCH(Songs!$A14,Data!E$2:E$51,0),NA())</f>
        <v>44</v>
      </c>
      <c r="L14">
        <f>_xlfn.IFNA(51-MATCH(Songs!$A14,Data!F$2:F$51,0),NA())</f>
        <v>43</v>
      </c>
      <c r="M14">
        <f>_xlfn.IFNA(51-MATCH(Songs!$A14,Data!G$2:G$51,0),NA())</f>
        <v>43</v>
      </c>
      <c r="N14">
        <f>_xlfn.IFNA(51-MATCH(Songs!$A14,Data!H$2:H$51,0),NA())</f>
        <v>44</v>
      </c>
      <c r="O14">
        <f>_xlfn.IFNA(51-MATCH(Songs!$A14,Data!I$2:I$51,0),NA())</f>
        <v>42</v>
      </c>
      <c r="P14">
        <f>_xlfn.IFNA(51-MATCH(Songs!$A14,Data!J$2:J$51,0),NA())</f>
        <v>41</v>
      </c>
    </row>
    <row r="15" spans="1:30" ht="13.2" x14ac:dyDescent="0.25">
      <c r="A15" s="2" t="s">
        <v>19</v>
      </c>
      <c r="B15" s="2" t="s">
        <v>87</v>
      </c>
      <c r="E15" s="2">
        <v>30</v>
      </c>
      <c r="F15" s="2">
        <f ca="1">COUNTIF(INDIRECT(_xlfn.CONCAT("Data!$B$2:", ADDRESS(51,COUNTA(Data!$1:$1)+1,1,1))), Songs!A15) + E15</f>
        <v>39</v>
      </c>
      <c r="G15" s="8"/>
      <c r="H15">
        <f>_xlfn.IFNA(51-MATCH(Songs!$A15,Data!B$2:B$51,0),NA())</f>
        <v>37</v>
      </c>
      <c r="I15">
        <f>_xlfn.IFNA(51-MATCH(Songs!$A15,Data!C$2:C$51,0),NA())</f>
        <v>37</v>
      </c>
      <c r="J15">
        <f>_xlfn.IFNA(51-MATCH(Songs!$A15,Data!D$2:D$51,0),NA())</f>
        <v>38</v>
      </c>
      <c r="K15">
        <f>_xlfn.IFNA(51-MATCH(Songs!$A15,Data!E$2:E$51,0),NA())</f>
        <v>37</v>
      </c>
      <c r="L15">
        <f>_xlfn.IFNA(51-MATCH(Songs!$A15,Data!F$2:F$51,0),NA())</f>
        <v>38</v>
      </c>
      <c r="M15">
        <f>_xlfn.IFNA(51-MATCH(Songs!$A15,Data!G$2:G$51,0),NA())</f>
        <v>40</v>
      </c>
      <c r="N15">
        <f>_xlfn.IFNA(51-MATCH(Songs!$A15,Data!H$2:H$51,0),NA())</f>
        <v>39</v>
      </c>
      <c r="O15">
        <f>_xlfn.IFNA(51-MATCH(Songs!$A15,Data!I$2:I$51,0),NA())</f>
        <v>40</v>
      </c>
      <c r="P15">
        <f>_xlfn.IFNA(51-MATCH(Songs!$A15,Data!J$2:J$51,0),NA())</f>
        <v>38</v>
      </c>
    </row>
    <row r="16" spans="1:30" ht="13.2" x14ac:dyDescent="0.25">
      <c r="A16" s="2" t="s">
        <v>21</v>
      </c>
      <c r="B16" s="2" t="s">
        <v>88</v>
      </c>
      <c r="D16" s="2" t="s">
        <v>77</v>
      </c>
      <c r="E16" s="2">
        <v>22</v>
      </c>
      <c r="F16" s="2">
        <f ca="1">COUNTIF(INDIRECT(_xlfn.CONCAT("Data!$B$2:", ADDRESS(51,COUNTA(Data!$1:$1)+1,1,1))), Songs!A16) + E16</f>
        <v>27</v>
      </c>
      <c r="G16" s="8"/>
      <c r="H16">
        <f>_xlfn.IFNA(51-MATCH(Songs!$A16,Data!B$2:B$51,0),NA())</f>
        <v>36</v>
      </c>
      <c r="I16">
        <f>_xlfn.IFNA(51-MATCH(Songs!$A16,Data!C$2:C$51,0),NA())</f>
        <v>35</v>
      </c>
      <c r="J16">
        <f>_xlfn.IFNA(51-MATCH(Songs!$A16,Data!D$2:D$51,0),NA())</f>
        <v>36</v>
      </c>
      <c r="K16">
        <f>_xlfn.IFNA(51-MATCH(Songs!$A16,Data!E$2:E$51,0),NA())</f>
        <v>34</v>
      </c>
      <c r="L16">
        <f>_xlfn.IFNA(51-MATCH(Songs!$A16,Data!F$2:F$51,0),NA())</f>
        <v>30</v>
      </c>
      <c r="M16" t="e">
        <f>_xlfn.IFNA(51-MATCH(Songs!$A16,Data!G$2:G$51,0),NA())</f>
        <v>#N/A</v>
      </c>
      <c r="N16" t="e">
        <f>_xlfn.IFNA(51-MATCH(Songs!$A16,Data!H$2:H$51,0),NA())</f>
        <v>#N/A</v>
      </c>
      <c r="O16" t="e">
        <f>_xlfn.IFNA(51-MATCH(Songs!$A16,Data!I$2:I$51,0),NA())</f>
        <v>#N/A</v>
      </c>
      <c r="P16" t="e">
        <f>_xlfn.IFNA(51-MATCH(Songs!$A16,Data!J$2:J$51,0),NA())</f>
        <v>#N/A</v>
      </c>
    </row>
    <row r="17" spans="1:16" ht="13.2" x14ac:dyDescent="0.25">
      <c r="A17" s="2" t="s">
        <v>20</v>
      </c>
      <c r="B17" s="2" t="s">
        <v>76</v>
      </c>
      <c r="D17" s="2" t="s">
        <v>89</v>
      </c>
      <c r="E17" s="2">
        <v>22</v>
      </c>
      <c r="F17" s="2">
        <f ca="1">COUNTIF(INDIRECT(_xlfn.CONCAT("Data!$B$2:", ADDRESS(51,COUNTA(Data!$1:$1)+1,1,1))), Songs!A17) + E17</f>
        <v>31</v>
      </c>
      <c r="G17" s="8"/>
      <c r="H17">
        <f>_xlfn.IFNA(51-MATCH(Songs!$A17,Data!B$2:B$51,0),NA())</f>
        <v>35</v>
      </c>
      <c r="I17">
        <f>_xlfn.IFNA(51-MATCH(Songs!$A17,Data!C$2:C$51,0),NA())</f>
        <v>36</v>
      </c>
      <c r="J17">
        <f>_xlfn.IFNA(51-MATCH(Songs!$A17,Data!D$2:D$51,0),NA())</f>
        <v>37</v>
      </c>
      <c r="K17">
        <f>_xlfn.IFNA(51-MATCH(Songs!$A17,Data!E$2:E$51,0),NA())</f>
        <v>35</v>
      </c>
      <c r="L17">
        <f>_xlfn.IFNA(51-MATCH(Songs!$A17,Data!F$2:F$51,0),NA())</f>
        <v>37</v>
      </c>
      <c r="M17">
        <f>_xlfn.IFNA(51-MATCH(Songs!$A17,Data!G$2:G$51,0),NA())</f>
        <v>39</v>
      </c>
      <c r="N17">
        <f>_xlfn.IFNA(51-MATCH(Songs!$A17,Data!H$2:H$51,0),NA())</f>
        <v>40</v>
      </c>
      <c r="O17">
        <f>_xlfn.IFNA(51-MATCH(Songs!$A17,Data!I$2:I$51,0),NA())</f>
        <v>39</v>
      </c>
      <c r="P17">
        <f>_xlfn.IFNA(51-MATCH(Songs!$A17,Data!J$2:J$51,0),NA())</f>
        <v>40</v>
      </c>
    </row>
    <row r="18" spans="1:16" ht="13.2" x14ac:dyDescent="0.25">
      <c r="A18" s="2" t="s">
        <v>23</v>
      </c>
      <c r="B18" s="2" t="s">
        <v>74</v>
      </c>
      <c r="D18" s="2" t="s">
        <v>90</v>
      </c>
      <c r="E18" s="2">
        <v>21</v>
      </c>
      <c r="F18" s="2">
        <f ca="1">COUNTIF(INDIRECT(_xlfn.CONCAT("Data!$B$2:", ADDRESS(51,COUNTA(Data!$1:$1)+1,1,1))), Songs!A18) + E18</f>
        <v>28</v>
      </c>
      <c r="G18" s="8"/>
      <c r="H18">
        <f>_xlfn.IFNA(51-MATCH(Songs!$A18,Data!B$2:B$51,0),NA())</f>
        <v>34</v>
      </c>
      <c r="I18">
        <f>_xlfn.IFNA(51-MATCH(Songs!$A18,Data!C$2:C$51,0),NA())</f>
        <v>34</v>
      </c>
      <c r="J18">
        <f>_xlfn.IFNA(51-MATCH(Songs!$A18,Data!D$2:D$51,0),NA())</f>
        <v>35</v>
      </c>
      <c r="K18">
        <f>_xlfn.IFNA(51-MATCH(Songs!$A18,Data!E$2:E$51,0),NA())</f>
        <v>33</v>
      </c>
      <c r="L18">
        <f>_xlfn.IFNA(51-MATCH(Songs!$A18,Data!F$2:F$51,0),NA())</f>
        <v>31</v>
      </c>
      <c r="M18">
        <f>_xlfn.IFNA(51-MATCH(Songs!$A18,Data!G$2:G$51,0),NA())</f>
        <v>33</v>
      </c>
      <c r="N18">
        <f>_xlfn.IFNA(51-MATCH(Songs!$A18,Data!H$2:H$51,0),NA())</f>
        <v>35</v>
      </c>
      <c r="O18" t="e">
        <f>_xlfn.IFNA(51-MATCH(Songs!$A18,Data!I$2:I$51,0),NA())</f>
        <v>#N/A</v>
      </c>
      <c r="P18" t="e">
        <f>_xlfn.IFNA(51-MATCH(Songs!$A18,Data!J$2:J$51,0),NA())</f>
        <v>#N/A</v>
      </c>
    </row>
    <row r="19" spans="1:16" ht="13.2" x14ac:dyDescent="0.25">
      <c r="A19" s="2" t="s">
        <v>24</v>
      </c>
      <c r="B19" s="2" t="s">
        <v>91</v>
      </c>
      <c r="E19" s="2">
        <v>17</v>
      </c>
      <c r="F19" s="2">
        <f ca="1">COUNTIF(INDIRECT(_xlfn.CONCAT("Data!$B$2:", ADDRESS(51,COUNTA(Data!$1:$1)+1,1,1))), Songs!A19) + E19</f>
        <v>26</v>
      </c>
      <c r="G19" s="8"/>
      <c r="H19">
        <f>_xlfn.IFNA(51-MATCH(Songs!$A19,Data!B$2:B$51,0),NA())</f>
        <v>33</v>
      </c>
      <c r="I19">
        <f>_xlfn.IFNA(51-MATCH(Songs!$A19,Data!C$2:C$51,0),NA())</f>
        <v>33</v>
      </c>
      <c r="J19">
        <f>_xlfn.IFNA(51-MATCH(Songs!$A19,Data!D$2:D$51,0),NA())</f>
        <v>34</v>
      </c>
      <c r="K19">
        <f>_xlfn.IFNA(51-MATCH(Songs!$A19,Data!E$2:E$51,0),NA())</f>
        <v>31</v>
      </c>
      <c r="L19">
        <f>_xlfn.IFNA(51-MATCH(Songs!$A19,Data!F$2:F$51,0),NA())</f>
        <v>33</v>
      </c>
      <c r="M19">
        <f>_xlfn.IFNA(51-MATCH(Songs!$A19,Data!G$2:G$51,0),NA())</f>
        <v>36</v>
      </c>
      <c r="N19">
        <f>_xlfn.IFNA(51-MATCH(Songs!$A19,Data!H$2:H$51,0),NA())</f>
        <v>37</v>
      </c>
      <c r="O19">
        <f>_xlfn.IFNA(51-MATCH(Songs!$A19,Data!I$2:I$51,0),NA())</f>
        <v>38</v>
      </c>
      <c r="P19">
        <f>_xlfn.IFNA(51-MATCH(Songs!$A19,Data!J$2:J$51,0),NA())</f>
        <v>37</v>
      </c>
    </row>
    <row r="20" spans="1:16" ht="13.2" x14ac:dyDescent="0.25">
      <c r="A20" s="2" t="s">
        <v>26</v>
      </c>
      <c r="B20" s="2" t="s">
        <v>92</v>
      </c>
      <c r="E20" s="2">
        <v>25</v>
      </c>
      <c r="F20" s="2">
        <f ca="1">COUNTIF(INDIRECT(_xlfn.CONCAT("Data!$B$2:", ADDRESS(51,COUNTA(Data!$1:$1)+1,1,1))), Songs!A20) + E20</f>
        <v>27</v>
      </c>
      <c r="G20" s="8"/>
      <c r="H20">
        <f>_xlfn.IFNA(51-MATCH(Songs!$A20,Data!B$2:B$51,0),NA())</f>
        <v>32</v>
      </c>
      <c r="I20">
        <f>_xlfn.IFNA(51-MATCH(Songs!$A20,Data!C$2:C$51,0),NA())</f>
        <v>26</v>
      </c>
      <c r="J20" t="e">
        <f>_xlfn.IFNA(51-MATCH(Songs!$A20,Data!D$2:D$51,0),NA())</f>
        <v>#N/A</v>
      </c>
      <c r="K20" t="e">
        <f>_xlfn.IFNA(51-MATCH(Songs!$A20,Data!E$2:E$51,0),NA())</f>
        <v>#N/A</v>
      </c>
      <c r="L20" t="e">
        <f>_xlfn.IFNA(51-MATCH(Songs!$A20,Data!F$2:F$51,0),NA())</f>
        <v>#N/A</v>
      </c>
      <c r="M20" t="e">
        <f>_xlfn.IFNA(51-MATCH(Songs!$A20,Data!G$2:G$51,0),NA())</f>
        <v>#N/A</v>
      </c>
      <c r="N20" t="e">
        <f>_xlfn.IFNA(51-MATCH(Songs!$A20,Data!H$2:H$51,0),NA())</f>
        <v>#N/A</v>
      </c>
      <c r="O20" t="e">
        <f>_xlfn.IFNA(51-MATCH(Songs!$A20,Data!I$2:I$51,0),NA())</f>
        <v>#N/A</v>
      </c>
      <c r="P20" t="e">
        <f>_xlfn.IFNA(51-MATCH(Songs!$A20,Data!J$2:J$51,0),NA())</f>
        <v>#N/A</v>
      </c>
    </row>
    <row r="21" spans="1:16" ht="13.2" x14ac:dyDescent="0.25">
      <c r="A21" s="4" t="s">
        <v>25</v>
      </c>
      <c r="B21" s="2" t="s">
        <v>93</v>
      </c>
      <c r="E21" s="2">
        <v>35</v>
      </c>
      <c r="F21" s="2">
        <f ca="1">COUNTIF(INDIRECT(_xlfn.CONCAT("Data!$B$2:", ADDRESS(51,COUNTA(Data!$1:$1)+1,1,1))), Songs!A21) + E21</f>
        <v>44</v>
      </c>
      <c r="G21" s="8"/>
      <c r="H21">
        <f>_xlfn.IFNA(51-MATCH(Songs!$A21,Data!B$2:B$51,0),NA())</f>
        <v>31</v>
      </c>
      <c r="I21">
        <f>_xlfn.IFNA(51-MATCH(Songs!$A21,Data!C$2:C$51,0),NA())</f>
        <v>32</v>
      </c>
      <c r="J21">
        <f>_xlfn.IFNA(51-MATCH(Songs!$A21,Data!D$2:D$51,0),NA())</f>
        <v>33</v>
      </c>
      <c r="K21">
        <f>_xlfn.IFNA(51-MATCH(Songs!$A21,Data!E$2:E$51,0),NA())</f>
        <v>30</v>
      </c>
      <c r="L21">
        <f>_xlfn.IFNA(51-MATCH(Songs!$A21,Data!F$2:F$51,0),NA())</f>
        <v>34</v>
      </c>
      <c r="M21">
        <f>_xlfn.IFNA(51-MATCH(Songs!$A21,Data!G$2:G$51,0),NA())</f>
        <v>37</v>
      </c>
      <c r="N21">
        <f>_xlfn.IFNA(51-MATCH(Songs!$A21,Data!H$2:H$51,0),NA())</f>
        <v>36</v>
      </c>
      <c r="O21">
        <f>_xlfn.IFNA(51-MATCH(Songs!$A21,Data!I$2:I$51,0),NA())</f>
        <v>37</v>
      </c>
      <c r="P21">
        <f>_xlfn.IFNA(51-MATCH(Songs!$A21,Data!J$2:J$51,0),NA())</f>
        <v>39</v>
      </c>
    </row>
    <row r="22" spans="1:16" ht="13.2" x14ac:dyDescent="0.25">
      <c r="A22" s="2" t="s">
        <v>27</v>
      </c>
      <c r="B22" s="2" t="s">
        <v>94</v>
      </c>
      <c r="D22" s="2" t="s">
        <v>78</v>
      </c>
      <c r="E22" s="2">
        <v>22</v>
      </c>
      <c r="F22" s="2">
        <f ca="1">COUNTIF(INDIRECT(_xlfn.CONCAT("Data!$B$2:", ADDRESS(51,COUNTA(Data!$1:$1)+1,1,1))), Songs!A22) + E22</f>
        <v>31</v>
      </c>
      <c r="G22" s="8"/>
      <c r="H22">
        <f>_xlfn.IFNA(51-MATCH(Songs!$A22,Data!B$2:B$51,0),NA())</f>
        <v>30</v>
      </c>
      <c r="I22">
        <f>_xlfn.IFNA(51-MATCH(Songs!$A22,Data!C$2:C$51,0),NA())</f>
        <v>31</v>
      </c>
      <c r="J22">
        <f>_xlfn.IFNA(51-MATCH(Songs!$A22,Data!D$2:D$51,0),NA())</f>
        <v>32</v>
      </c>
      <c r="K22">
        <f>_xlfn.IFNA(51-MATCH(Songs!$A22,Data!E$2:E$51,0),NA())</f>
        <v>26</v>
      </c>
      <c r="L22">
        <f>_xlfn.IFNA(51-MATCH(Songs!$A22,Data!F$2:F$51,0),NA())</f>
        <v>29</v>
      </c>
      <c r="M22">
        <f>_xlfn.IFNA(51-MATCH(Songs!$A22,Data!G$2:G$51,0),NA())</f>
        <v>25</v>
      </c>
      <c r="N22">
        <f>_xlfn.IFNA(51-MATCH(Songs!$A22,Data!H$2:H$51,0),NA())</f>
        <v>23</v>
      </c>
      <c r="O22">
        <f>_xlfn.IFNA(51-MATCH(Songs!$A22,Data!I$2:I$51,0),NA())</f>
        <v>30</v>
      </c>
      <c r="P22">
        <f>_xlfn.IFNA(51-MATCH(Songs!$A22,Data!J$2:J$51,0),NA())</f>
        <v>24</v>
      </c>
    </row>
    <row r="23" spans="1:16" ht="13.2" x14ac:dyDescent="0.25">
      <c r="A23" s="2" t="s">
        <v>30</v>
      </c>
      <c r="B23" s="2" t="s">
        <v>95</v>
      </c>
      <c r="E23" s="2">
        <v>7</v>
      </c>
      <c r="F23" s="2">
        <f ca="1">COUNTIF(INDIRECT(_xlfn.CONCAT("Data!$B$2:", ADDRESS(51,COUNTA(Data!$1:$1)+1,1,1))), Songs!A23) + E23</f>
        <v>16</v>
      </c>
      <c r="G23" s="8"/>
      <c r="H23">
        <f>_xlfn.IFNA(51-MATCH(Songs!$A23,Data!B$2:B$51,0),NA())</f>
        <v>29</v>
      </c>
      <c r="I23">
        <f>_xlfn.IFNA(51-MATCH(Songs!$A23,Data!C$2:C$51,0),NA())</f>
        <v>30</v>
      </c>
      <c r="J23">
        <f>_xlfn.IFNA(51-MATCH(Songs!$A23,Data!D$2:D$51,0),NA())</f>
        <v>27</v>
      </c>
      <c r="K23">
        <f>_xlfn.IFNA(51-MATCH(Songs!$A23,Data!E$2:E$51,0),NA())</f>
        <v>24</v>
      </c>
      <c r="L23">
        <f>_xlfn.IFNA(51-MATCH(Songs!$A23,Data!F$2:F$51,0),NA())</f>
        <v>24</v>
      </c>
      <c r="M23">
        <f>_xlfn.IFNA(51-MATCH(Songs!$A23,Data!G$2:G$51,0),NA())</f>
        <v>30</v>
      </c>
      <c r="N23">
        <f>_xlfn.IFNA(51-MATCH(Songs!$A23,Data!H$2:H$51,0),NA())</f>
        <v>28</v>
      </c>
      <c r="O23">
        <f>_xlfn.IFNA(51-MATCH(Songs!$A23,Data!I$2:I$51,0),NA())</f>
        <v>27</v>
      </c>
      <c r="P23">
        <f>_xlfn.IFNA(51-MATCH(Songs!$A23,Data!J$2:J$51,0),NA())</f>
        <v>26</v>
      </c>
    </row>
    <row r="24" spans="1:16" ht="13.2" x14ac:dyDescent="0.25">
      <c r="A24" s="2" t="s">
        <v>33</v>
      </c>
      <c r="B24" s="2" t="s">
        <v>96</v>
      </c>
      <c r="E24" s="2">
        <v>23</v>
      </c>
      <c r="F24" s="2">
        <f ca="1">COUNTIF(INDIRECT(_xlfn.CONCAT("Data!$B$2:", ADDRESS(51,COUNTA(Data!$1:$1)+1,1,1))), Songs!A24) + E24</f>
        <v>25</v>
      </c>
      <c r="G24" s="8"/>
      <c r="H24">
        <f>_xlfn.IFNA(51-MATCH(Songs!$A24,Data!B$2:B$51,0),NA())</f>
        <v>28</v>
      </c>
      <c r="I24">
        <f>_xlfn.IFNA(51-MATCH(Songs!$A24,Data!C$2:C$51,0),NA())</f>
        <v>27</v>
      </c>
      <c r="J24" t="e">
        <f>_xlfn.IFNA(51-MATCH(Songs!$A24,Data!D$2:D$51,0),NA())</f>
        <v>#N/A</v>
      </c>
      <c r="K24" t="e">
        <f>_xlfn.IFNA(51-MATCH(Songs!$A24,Data!E$2:E$51,0),NA())</f>
        <v>#N/A</v>
      </c>
      <c r="L24" t="e">
        <f>_xlfn.IFNA(51-MATCH(Songs!$A24,Data!F$2:F$51,0),NA())</f>
        <v>#N/A</v>
      </c>
      <c r="M24" t="e">
        <f>_xlfn.IFNA(51-MATCH(Songs!$A24,Data!G$2:G$51,0),NA())</f>
        <v>#N/A</v>
      </c>
      <c r="N24" t="e">
        <f>_xlfn.IFNA(51-MATCH(Songs!$A24,Data!H$2:H$51,0),NA())</f>
        <v>#N/A</v>
      </c>
      <c r="O24" t="e">
        <f>_xlfn.IFNA(51-MATCH(Songs!$A24,Data!I$2:I$51,0),NA())</f>
        <v>#N/A</v>
      </c>
      <c r="P24" t="e">
        <f>_xlfn.IFNA(51-MATCH(Songs!$A24,Data!J$2:J$51,0),NA())</f>
        <v>#N/A</v>
      </c>
    </row>
    <row r="25" spans="1:16" ht="13.2" x14ac:dyDescent="0.25">
      <c r="A25" s="2" t="s">
        <v>29</v>
      </c>
      <c r="B25" s="2" t="s">
        <v>97</v>
      </c>
      <c r="D25" s="2" t="s">
        <v>76</v>
      </c>
      <c r="E25" s="2">
        <v>16</v>
      </c>
      <c r="F25" s="2">
        <f ca="1">COUNTIF(INDIRECT(_xlfn.CONCAT("Data!$B$2:", ADDRESS(51,COUNTA(Data!$1:$1)+1,1,1))), Songs!A25) + E25</f>
        <v>25</v>
      </c>
      <c r="G25" s="8"/>
      <c r="H25">
        <f>_xlfn.IFNA(51-MATCH(Songs!$A25,Data!B$2:B$51,0),NA())</f>
        <v>27</v>
      </c>
      <c r="I25">
        <f>_xlfn.IFNA(51-MATCH(Songs!$A25,Data!C$2:C$51,0),NA())</f>
        <v>28</v>
      </c>
      <c r="J25">
        <f>_xlfn.IFNA(51-MATCH(Songs!$A25,Data!D$2:D$51,0),NA())</f>
        <v>31</v>
      </c>
      <c r="K25">
        <f>_xlfn.IFNA(51-MATCH(Songs!$A25,Data!E$2:E$51,0),NA())</f>
        <v>27</v>
      </c>
      <c r="L25">
        <f>_xlfn.IFNA(51-MATCH(Songs!$A25,Data!F$2:F$51,0),NA())</f>
        <v>32</v>
      </c>
      <c r="M25">
        <f>_xlfn.IFNA(51-MATCH(Songs!$A25,Data!G$2:G$51,0),NA())</f>
        <v>34</v>
      </c>
      <c r="N25">
        <f>_xlfn.IFNA(51-MATCH(Songs!$A25,Data!H$2:H$51,0),NA())</f>
        <v>34</v>
      </c>
      <c r="O25">
        <f>_xlfn.IFNA(51-MATCH(Songs!$A25,Data!I$2:I$51,0),NA())</f>
        <v>36</v>
      </c>
      <c r="P25">
        <f>_xlfn.IFNA(51-MATCH(Songs!$A25,Data!J$2:J$51,0),NA())</f>
        <v>35</v>
      </c>
    </row>
    <row r="26" spans="1:16" ht="13.2" x14ac:dyDescent="0.25">
      <c r="A26" s="2" t="s">
        <v>31</v>
      </c>
      <c r="B26" s="2" t="s">
        <v>98</v>
      </c>
      <c r="E26" s="2">
        <v>15</v>
      </c>
      <c r="F26" s="2">
        <f ca="1">COUNTIF(INDIRECT(_xlfn.CONCAT("Data!$B$2:", ADDRESS(51,COUNTA(Data!$1:$1)+1,1,1))), Songs!A26) + E26</f>
        <v>24</v>
      </c>
      <c r="G26" s="8"/>
      <c r="H26">
        <f>_xlfn.IFNA(51-MATCH(Songs!$A26,Data!B$2:B$51,0),NA())</f>
        <v>26</v>
      </c>
      <c r="I26">
        <f>_xlfn.IFNA(51-MATCH(Songs!$A26,Data!C$2:C$51,0),NA())</f>
        <v>29</v>
      </c>
      <c r="J26">
        <f>_xlfn.IFNA(51-MATCH(Songs!$A26,Data!D$2:D$51,0),NA())</f>
        <v>30</v>
      </c>
      <c r="K26">
        <f>_xlfn.IFNA(51-MATCH(Songs!$A26,Data!E$2:E$51,0),NA())</f>
        <v>25</v>
      </c>
      <c r="L26">
        <f>_xlfn.IFNA(51-MATCH(Songs!$A26,Data!F$2:F$51,0),NA())</f>
        <v>28</v>
      </c>
      <c r="M26">
        <f>_xlfn.IFNA(51-MATCH(Songs!$A26,Data!G$2:G$51,0),NA())</f>
        <v>31</v>
      </c>
      <c r="N26">
        <f>_xlfn.IFNA(51-MATCH(Songs!$A26,Data!H$2:H$51,0),NA())</f>
        <v>31</v>
      </c>
      <c r="O26">
        <f>_xlfn.IFNA(51-MATCH(Songs!$A26,Data!I$2:I$51,0),NA())</f>
        <v>32</v>
      </c>
      <c r="P26">
        <f>_xlfn.IFNA(51-MATCH(Songs!$A26,Data!J$2:J$51,0),NA())</f>
        <v>31</v>
      </c>
    </row>
    <row r="27" spans="1:16" ht="13.2" x14ac:dyDescent="0.25">
      <c r="A27" s="2" t="s">
        <v>37</v>
      </c>
      <c r="B27" s="2" t="s">
        <v>99</v>
      </c>
      <c r="E27" s="2">
        <v>14</v>
      </c>
      <c r="F27" s="2">
        <f ca="1">COUNTIF(INDIRECT(_xlfn.CONCAT("Data!$B$2:", ADDRESS(51,COUNTA(Data!$1:$1)+1,1,1))), Songs!A27) + E27</f>
        <v>21</v>
      </c>
      <c r="G27" s="8"/>
      <c r="H27">
        <f>_xlfn.IFNA(51-MATCH(Songs!$A27,Data!B$2:B$51,0),NA())</f>
        <v>25</v>
      </c>
      <c r="I27">
        <f>_xlfn.IFNA(51-MATCH(Songs!$A27,Data!C$2:C$51,0),NA())</f>
        <v>25</v>
      </c>
      <c r="J27">
        <f>_xlfn.IFNA(51-MATCH(Songs!$A27,Data!D$2:D$51,0),NA())</f>
        <v>22</v>
      </c>
      <c r="K27">
        <f>_xlfn.IFNA(51-MATCH(Songs!$A27,Data!E$2:E$51,0),NA())</f>
        <v>17</v>
      </c>
      <c r="L27">
        <f>_xlfn.IFNA(51-MATCH(Songs!$A27,Data!F$2:F$51,0),NA())</f>
        <v>15</v>
      </c>
      <c r="M27">
        <f>_xlfn.IFNA(51-MATCH(Songs!$A27,Data!G$2:G$51,0),NA())</f>
        <v>13</v>
      </c>
      <c r="N27">
        <f>_xlfn.IFNA(51-MATCH(Songs!$A27,Data!H$2:H$51,0),NA())</f>
        <v>9</v>
      </c>
      <c r="O27" t="e">
        <f>_xlfn.IFNA(51-MATCH(Songs!$A27,Data!I$2:I$51,0),NA())</f>
        <v>#N/A</v>
      </c>
      <c r="P27" t="e">
        <f>_xlfn.IFNA(51-MATCH(Songs!$A27,Data!J$2:J$51,0),NA())</f>
        <v>#N/A</v>
      </c>
    </row>
    <row r="28" spans="1:16" ht="13.2" x14ac:dyDescent="0.25">
      <c r="A28" s="2" t="s">
        <v>36</v>
      </c>
      <c r="B28" s="2" t="s">
        <v>100</v>
      </c>
      <c r="E28" s="2">
        <v>9</v>
      </c>
      <c r="F28" s="2">
        <f ca="1">COUNTIF(INDIRECT(_xlfn.CONCAT("Data!$B$2:", ADDRESS(51,COUNTA(Data!$1:$1)+1,1,1))), Songs!A28) + E28</f>
        <v>18</v>
      </c>
      <c r="G28" s="8"/>
      <c r="H28">
        <f>_xlfn.IFNA(51-MATCH(Songs!$A28,Data!B$2:B$51,0),NA())</f>
        <v>24</v>
      </c>
      <c r="I28">
        <f>_xlfn.IFNA(51-MATCH(Songs!$A28,Data!C$2:C$51,0),NA())</f>
        <v>23</v>
      </c>
      <c r="J28">
        <f>_xlfn.IFNA(51-MATCH(Songs!$A28,Data!D$2:D$51,0),NA())</f>
        <v>26</v>
      </c>
      <c r="K28">
        <f>_xlfn.IFNA(51-MATCH(Songs!$A28,Data!E$2:E$51,0),NA())</f>
        <v>23</v>
      </c>
      <c r="L28">
        <f>_xlfn.IFNA(51-MATCH(Songs!$A28,Data!F$2:F$51,0),NA())</f>
        <v>26</v>
      </c>
      <c r="M28">
        <f>_xlfn.IFNA(51-MATCH(Songs!$A28,Data!G$2:G$51,0),NA())</f>
        <v>32</v>
      </c>
      <c r="N28">
        <f>_xlfn.IFNA(51-MATCH(Songs!$A28,Data!H$2:H$51,0),NA())</f>
        <v>33</v>
      </c>
      <c r="O28">
        <f>_xlfn.IFNA(51-MATCH(Songs!$A28,Data!I$2:I$51,0),NA())</f>
        <v>35</v>
      </c>
      <c r="P28">
        <f>_xlfn.IFNA(51-MATCH(Songs!$A28,Data!J$2:J$51,0),NA())</f>
        <v>36</v>
      </c>
    </row>
    <row r="29" spans="1:16" ht="13.2" x14ac:dyDescent="0.25">
      <c r="A29" s="2" t="s">
        <v>38</v>
      </c>
      <c r="B29" s="2" t="s">
        <v>101</v>
      </c>
      <c r="E29" s="2">
        <v>16</v>
      </c>
      <c r="F29" s="2">
        <f ca="1">COUNTIF(INDIRECT(_xlfn.CONCAT("Data!$B$2:", ADDRESS(51,COUNTA(Data!$1:$1)+1,1,1))), Songs!A29) + E29</f>
        <v>20</v>
      </c>
      <c r="G29" s="8"/>
      <c r="H29">
        <f>_xlfn.IFNA(51-MATCH(Songs!$A29,Data!B$2:B$51,0),NA())</f>
        <v>23</v>
      </c>
      <c r="I29">
        <f>_xlfn.IFNA(51-MATCH(Songs!$A29,Data!C$2:C$51,0),NA())</f>
        <v>24</v>
      </c>
      <c r="J29">
        <f>_xlfn.IFNA(51-MATCH(Songs!$A29,Data!D$2:D$51,0),NA())</f>
        <v>25</v>
      </c>
      <c r="K29">
        <f>_xlfn.IFNA(51-MATCH(Songs!$A29,Data!E$2:E$51,0),NA())</f>
        <v>13</v>
      </c>
      <c r="L29" t="e">
        <f>_xlfn.IFNA(51-MATCH(Songs!$A29,Data!F$2:F$51,0),NA())</f>
        <v>#N/A</v>
      </c>
      <c r="M29" t="e">
        <f>_xlfn.IFNA(51-MATCH(Songs!$A29,Data!G$2:G$51,0),NA())</f>
        <v>#N/A</v>
      </c>
      <c r="N29" t="e">
        <f>_xlfn.IFNA(51-MATCH(Songs!$A29,Data!H$2:H$51,0),NA())</f>
        <v>#N/A</v>
      </c>
      <c r="O29" t="e">
        <f>_xlfn.IFNA(51-MATCH(Songs!$A29,Data!I$2:I$51,0),NA())</f>
        <v>#N/A</v>
      </c>
      <c r="P29" t="e">
        <f>_xlfn.IFNA(51-MATCH(Songs!$A29,Data!J$2:J$51,0),NA())</f>
        <v>#N/A</v>
      </c>
    </row>
    <row r="30" spans="1:16" ht="13.2" x14ac:dyDescent="0.25">
      <c r="A30" s="2" t="s">
        <v>40</v>
      </c>
      <c r="B30" s="2" t="s">
        <v>102</v>
      </c>
      <c r="E30" s="2">
        <v>25</v>
      </c>
      <c r="F30" s="2">
        <f ca="1">COUNTIF(INDIRECT(_xlfn.CONCAT("Data!$B$2:", ADDRESS(51,COUNTA(Data!$1:$1)+1,1,1))), Songs!A30) + E30</f>
        <v>34</v>
      </c>
      <c r="G30" s="8"/>
      <c r="H30">
        <f>_xlfn.IFNA(51-MATCH(Songs!$A30,Data!B$2:B$51,0),NA())</f>
        <v>22</v>
      </c>
      <c r="I30">
        <f>_xlfn.IFNA(51-MATCH(Songs!$A30,Data!C$2:C$51,0),NA())</f>
        <v>21</v>
      </c>
      <c r="J30">
        <f>_xlfn.IFNA(51-MATCH(Songs!$A30,Data!D$2:D$51,0),NA())</f>
        <v>24</v>
      </c>
      <c r="K30">
        <f>_xlfn.IFNA(51-MATCH(Songs!$A30,Data!E$2:E$51,0),NA())</f>
        <v>20</v>
      </c>
      <c r="L30">
        <f>_xlfn.IFNA(51-MATCH(Songs!$A30,Data!F$2:F$51,0),NA())</f>
        <v>17</v>
      </c>
      <c r="M30">
        <f>_xlfn.IFNA(51-MATCH(Songs!$A30,Data!G$2:G$51,0),NA())</f>
        <v>21</v>
      </c>
      <c r="N30">
        <f>_xlfn.IFNA(51-MATCH(Songs!$A30,Data!H$2:H$51,0),NA())</f>
        <v>14</v>
      </c>
      <c r="O30">
        <f>_xlfn.IFNA(51-MATCH(Songs!$A30,Data!I$2:I$51,0),NA())</f>
        <v>17</v>
      </c>
      <c r="P30">
        <f>_xlfn.IFNA(51-MATCH(Songs!$A30,Data!J$2:J$51,0),NA())</f>
        <v>10</v>
      </c>
    </row>
    <row r="31" spans="1:16" ht="13.2" x14ac:dyDescent="0.25">
      <c r="A31" s="2" t="s">
        <v>41</v>
      </c>
      <c r="B31" s="2" t="s">
        <v>103</v>
      </c>
      <c r="E31" s="2">
        <v>26</v>
      </c>
      <c r="F31" s="2">
        <f ca="1">COUNTIF(INDIRECT(_xlfn.CONCAT("Data!$B$2:", ADDRESS(51,COUNTA(Data!$1:$1)+1,1,1))), Songs!A31) + E31</f>
        <v>35</v>
      </c>
      <c r="G31" s="8"/>
      <c r="H31">
        <f>_xlfn.IFNA(51-MATCH(Songs!$A31,Data!B$2:B$51,0),NA())</f>
        <v>21</v>
      </c>
      <c r="I31">
        <f>_xlfn.IFNA(51-MATCH(Songs!$A31,Data!C$2:C$51,0),NA())</f>
        <v>22</v>
      </c>
      <c r="J31">
        <f>_xlfn.IFNA(51-MATCH(Songs!$A31,Data!D$2:D$51,0),NA())</f>
        <v>23</v>
      </c>
      <c r="K31">
        <f>_xlfn.IFNA(51-MATCH(Songs!$A31,Data!E$2:E$51,0),NA())</f>
        <v>19</v>
      </c>
      <c r="L31">
        <f>_xlfn.IFNA(51-MATCH(Songs!$A31,Data!F$2:F$51,0),NA())</f>
        <v>18</v>
      </c>
      <c r="M31">
        <f>_xlfn.IFNA(51-MATCH(Songs!$A31,Data!G$2:G$51,0),NA())</f>
        <v>23</v>
      </c>
      <c r="N31">
        <f>_xlfn.IFNA(51-MATCH(Songs!$A31,Data!H$2:H$51,0),NA())</f>
        <v>21</v>
      </c>
      <c r="O31">
        <f>_xlfn.IFNA(51-MATCH(Songs!$A31,Data!I$2:I$51,0),NA())</f>
        <v>24</v>
      </c>
      <c r="P31">
        <f>_xlfn.IFNA(51-MATCH(Songs!$A31,Data!J$2:J$51,0),NA())</f>
        <v>27</v>
      </c>
    </row>
    <row r="32" spans="1:16" ht="13.2" x14ac:dyDescent="0.25">
      <c r="A32" s="2" t="s">
        <v>34</v>
      </c>
      <c r="B32" s="2" t="s">
        <v>104</v>
      </c>
      <c r="E32" s="2">
        <v>9</v>
      </c>
      <c r="F32" s="2">
        <f ca="1">COUNTIF(INDIRECT(_xlfn.CONCAT("Data!$B$2:", ADDRESS(51,COUNTA(Data!$1:$1)+1,1,1))), Songs!A32) + E32</f>
        <v>18</v>
      </c>
      <c r="G32" s="8"/>
      <c r="H32">
        <f>_xlfn.IFNA(51-MATCH(Songs!$A32,Data!B$2:B$51,0),NA())</f>
        <v>20</v>
      </c>
      <c r="I32">
        <f>_xlfn.IFNA(51-MATCH(Songs!$A32,Data!C$2:C$51,0),NA())</f>
        <v>20</v>
      </c>
      <c r="J32">
        <f>_xlfn.IFNA(51-MATCH(Songs!$A32,Data!D$2:D$51,0),NA())</f>
        <v>28</v>
      </c>
      <c r="K32">
        <f>_xlfn.IFNA(51-MATCH(Songs!$A32,Data!E$2:E$51,0),NA())</f>
        <v>21</v>
      </c>
      <c r="L32">
        <f>_xlfn.IFNA(51-MATCH(Songs!$A32,Data!F$2:F$51,0),NA())</f>
        <v>23</v>
      </c>
      <c r="M32">
        <f>_xlfn.IFNA(51-MATCH(Songs!$A32,Data!G$2:G$51,0),NA())</f>
        <v>27</v>
      </c>
      <c r="N32">
        <f>_xlfn.IFNA(51-MATCH(Songs!$A32,Data!H$2:H$51,0),NA())</f>
        <v>27</v>
      </c>
      <c r="O32">
        <f>_xlfn.IFNA(51-MATCH(Songs!$A32,Data!I$2:I$51,0),NA())</f>
        <v>29</v>
      </c>
      <c r="P32">
        <f>_xlfn.IFNA(51-MATCH(Songs!$A32,Data!J$2:J$51,0),NA())</f>
        <v>25</v>
      </c>
    </row>
    <row r="33" spans="1:16" ht="13.2" x14ac:dyDescent="0.25">
      <c r="A33" s="2" t="s">
        <v>44</v>
      </c>
      <c r="B33" s="2" t="s">
        <v>105</v>
      </c>
      <c r="E33" s="2">
        <v>8</v>
      </c>
      <c r="F33" s="2">
        <f ca="1">COUNTIF(INDIRECT(_xlfn.CONCAT("Data!$B$2:", ADDRESS(51,COUNTA(Data!$1:$1)+1,1,1))), Songs!A33) + E33</f>
        <v>17</v>
      </c>
      <c r="G33" s="8"/>
      <c r="H33">
        <f>_xlfn.IFNA(51-MATCH(Songs!$A33,Data!B$2:B$51,0),NA())</f>
        <v>19</v>
      </c>
      <c r="I33">
        <f>_xlfn.IFNA(51-MATCH(Songs!$A33,Data!C$2:C$51,0),NA())</f>
        <v>19</v>
      </c>
      <c r="J33">
        <f>_xlfn.IFNA(51-MATCH(Songs!$A33,Data!D$2:D$51,0),NA())</f>
        <v>20</v>
      </c>
      <c r="K33">
        <f>_xlfn.IFNA(51-MATCH(Songs!$A33,Data!E$2:E$51,0),NA())</f>
        <v>18</v>
      </c>
      <c r="L33">
        <f>_xlfn.IFNA(51-MATCH(Songs!$A33,Data!F$2:F$51,0),NA())</f>
        <v>20</v>
      </c>
      <c r="M33">
        <f>_xlfn.IFNA(51-MATCH(Songs!$A33,Data!G$2:G$51,0),NA())</f>
        <v>24</v>
      </c>
      <c r="N33">
        <f>_xlfn.IFNA(51-MATCH(Songs!$A33,Data!H$2:H$51,0),NA())</f>
        <v>25</v>
      </c>
      <c r="O33">
        <f>_xlfn.IFNA(51-MATCH(Songs!$A33,Data!I$2:I$51,0),NA())</f>
        <v>31</v>
      </c>
      <c r="P33">
        <f>_xlfn.IFNA(51-MATCH(Songs!$A33,Data!J$2:J$51,0),NA())</f>
        <v>30</v>
      </c>
    </row>
    <row r="34" spans="1:16" ht="13.2" x14ac:dyDescent="0.25">
      <c r="A34" s="2" t="s">
        <v>46</v>
      </c>
      <c r="B34" s="2" t="s">
        <v>106</v>
      </c>
      <c r="E34" s="2">
        <v>20</v>
      </c>
      <c r="F34" s="2">
        <f ca="1">COUNTIF(INDIRECT(_xlfn.CONCAT("Data!$B$2:", ADDRESS(51,COUNTA(Data!$1:$1)+1,1,1))), Songs!A34) + E34</f>
        <v>29</v>
      </c>
      <c r="G34" s="8"/>
      <c r="H34">
        <f>_xlfn.IFNA(51-MATCH(Songs!$A34,Data!B$2:B$51,0),NA())</f>
        <v>18</v>
      </c>
      <c r="I34">
        <f>_xlfn.IFNA(51-MATCH(Songs!$A34,Data!C$2:C$51,0),NA())</f>
        <v>16</v>
      </c>
      <c r="J34">
        <f>_xlfn.IFNA(51-MATCH(Songs!$A34,Data!D$2:D$51,0),NA())</f>
        <v>17</v>
      </c>
      <c r="K34">
        <f>_xlfn.IFNA(51-MATCH(Songs!$A34,Data!E$2:E$51,0),NA())</f>
        <v>15</v>
      </c>
      <c r="L34">
        <f>_xlfn.IFNA(51-MATCH(Songs!$A34,Data!F$2:F$51,0),NA())</f>
        <v>14</v>
      </c>
      <c r="M34">
        <f>_xlfn.IFNA(51-MATCH(Songs!$A34,Data!G$2:G$51,0),NA())</f>
        <v>18</v>
      </c>
      <c r="N34">
        <f>_xlfn.IFNA(51-MATCH(Songs!$A34,Data!H$2:H$51,0),NA())</f>
        <v>11</v>
      </c>
      <c r="O34">
        <f>_xlfn.IFNA(51-MATCH(Songs!$A34,Data!I$2:I$51,0),NA())</f>
        <v>13</v>
      </c>
      <c r="P34">
        <f>_xlfn.IFNA(51-MATCH(Songs!$A34,Data!J$2:J$51,0),NA())</f>
        <v>12</v>
      </c>
    </row>
    <row r="35" spans="1:16" ht="13.2" x14ac:dyDescent="0.25">
      <c r="A35" s="2" t="s">
        <v>48</v>
      </c>
      <c r="B35" s="2" t="s">
        <v>107</v>
      </c>
      <c r="E35" s="2">
        <v>5</v>
      </c>
      <c r="F35" s="2">
        <f ca="1">COUNTIF(INDIRECT(_xlfn.CONCAT("Data!$B$2:", ADDRESS(51,COUNTA(Data!$1:$1)+1,1,1))), Songs!A35) + E35</f>
        <v>14</v>
      </c>
      <c r="G35" s="8"/>
      <c r="H35">
        <f>_xlfn.IFNA(51-MATCH(Songs!$A35,Data!B$2:B$51,0),NA())</f>
        <v>17</v>
      </c>
      <c r="I35">
        <f>_xlfn.IFNA(51-MATCH(Songs!$A35,Data!C$2:C$51,0),NA())</f>
        <v>10</v>
      </c>
      <c r="J35">
        <f>_xlfn.IFNA(51-MATCH(Songs!$A35,Data!D$2:D$51,0),NA())</f>
        <v>9</v>
      </c>
      <c r="K35">
        <f>_xlfn.IFNA(51-MATCH(Songs!$A35,Data!E$2:E$51,0),NA())</f>
        <v>2</v>
      </c>
      <c r="L35">
        <f>_xlfn.IFNA(51-MATCH(Songs!$A35,Data!F$2:F$51,0),NA())</f>
        <v>8</v>
      </c>
      <c r="M35">
        <f>_xlfn.IFNA(51-MATCH(Songs!$A35,Data!G$2:G$51,0),NA())</f>
        <v>11</v>
      </c>
      <c r="N35">
        <f>_xlfn.IFNA(51-MATCH(Songs!$A35,Data!H$2:H$51,0),NA())</f>
        <v>7</v>
      </c>
      <c r="O35">
        <f>_xlfn.IFNA(51-MATCH(Songs!$A35,Data!I$2:I$51,0),NA())</f>
        <v>8</v>
      </c>
      <c r="P35">
        <f>_xlfn.IFNA(51-MATCH(Songs!$A35,Data!J$2:J$51,0),NA())</f>
        <v>8</v>
      </c>
    </row>
    <row r="36" spans="1:16" ht="13.2" x14ac:dyDescent="0.25">
      <c r="A36" s="2" t="s">
        <v>47</v>
      </c>
      <c r="B36" s="2" t="s">
        <v>74</v>
      </c>
      <c r="D36" s="2" t="s">
        <v>108</v>
      </c>
      <c r="E36" s="2">
        <v>17</v>
      </c>
      <c r="F36" s="2">
        <f ca="1">COUNTIF(INDIRECT(_xlfn.CONCAT("Data!$B$2:", ADDRESS(51,COUNTA(Data!$1:$1)+1,1,1))), Songs!A36) + E36</f>
        <v>21</v>
      </c>
      <c r="G36" s="8"/>
      <c r="H36">
        <f>_xlfn.IFNA(51-MATCH(Songs!$A36,Data!B$2:B$51,0),NA())</f>
        <v>16</v>
      </c>
      <c r="I36">
        <f>_xlfn.IFNA(51-MATCH(Songs!$A36,Data!C$2:C$51,0),NA())</f>
        <v>18</v>
      </c>
      <c r="J36">
        <f>_xlfn.IFNA(51-MATCH(Songs!$A36,Data!D$2:D$51,0),NA())</f>
        <v>18</v>
      </c>
      <c r="K36">
        <f>_xlfn.IFNA(51-MATCH(Songs!$A36,Data!E$2:E$51,0),NA())</f>
        <v>14</v>
      </c>
      <c r="L36" t="e">
        <f>_xlfn.IFNA(51-MATCH(Songs!$A36,Data!F$2:F$51,0),NA())</f>
        <v>#N/A</v>
      </c>
      <c r="M36" t="e">
        <f>_xlfn.IFNA(51-MATCH(Songs!$A36,Data!G$2:G$51,0),NA())</f>
        <v>#N/A</v>
      </c>
      <c r="N36" t="e">
        <f>_xlfn.IFNA(51-MATCH(Songs!$A36,Data!H$2:H$51,0),NA())</f>
        <v>#N/A</v>
      </c>
      <c r="O36" t="e">
        <f>_xlfn.IFNA(51-MATCH(Songs!$A36,Data!I$2:I$51,0),NA())</f>
        <v>#N/A</v>
      </c>
      <c r="P36" t="e">
        <f>_xlfn.IFNA(51-MATCH(Songs!$A36,Data!J$2:J$51,0),NA())</f>
        <v>#N/A</v>
      </c>
    </row>
    <row r="37" spans="1:16" ht="13.2" x14ac:dyDescent="0.25">
      <c r="A37" s="2" t="s">
        <v>49</v>
      </c>
      <c r="B37" s="2" t="s">
        <v>109</v>
      </c>
      <c r="E37" s="2">
        <v>10</v>
      </c>
      <c r="F37" s="2">
        <f ca="1">COUNTIF(INDIRECT(_xlfn.CONCAT("Data!$B$2:", ADDRESS(51,COUNTA(Data!$1:$1)+1,1,1))), Songs!A37) + E37</f>
        <v>17</v>
      </c>
      <c r="G37" s="8"/>
      <c r="H37">
        <f>_xlfn.IFNA(51-MATCH(Songs!$A37,Data!B$2:B$51,0),NA())</f>
        <v>15</v>
      </c>
      <c r="I37">
        <f>_xlfn.IFNA(51-MATCH(Songs!$A37,Data!C$2:C$51,0),NA())</f>
        <v>15</v>
      </c>
      <c r="J37">
        <f>_xlfn.IFNA(51-MATCH(Songs!$A37,Data!D$2:D$51,0),NA())</f>
        <v>16</v>
      </c>
      <c r="K37">
        <f>_xlfn.IFNA(51-MATCH(Songs!$A37,Data!E$2:E$51,0),NA())</f>
        <v>11</v>
      </c>
      <c r="L37">
        <f>_xlfn.IFNA(51-MATCH(Songs!$A37,Data!F$2:F$51,0),NA())</f>
        <v>9</v>
      </c>
      <c r="M37">
        <f>_xlfn.IFNA(51-MATCH(Songs!$A37,Data!G$2:G$51,0),NA())</f>
        <v>4</v>
      </c>
      <c r="N37">
        <f>_xlfn.IFNA(51-MATCH(Songs!$A37,Data!H$2:H$51,0),NA())</f>
        <v>1</v>
      </c>
      <c r="O37" t="e">
        <f>_xlfn.IFNA(51-MATCH(Songs!$A37,Data!I$2:I$51,0),NA())</f>
        <v>#N/A</v>
      </c>
      <c r="P37" t="e">
        <f>_xlfn.IFNA(51-MATCH(Songs!$A37,Data!J$2:J$51,0),NA())</f>
        <v>#N/A</v>
      </c>
    </row>
    <row r="38" spans="1:16" ht="13.2" x14ac:dyDescent="0.25">
      <c r="A38" s="2" t="s">
        <v>52</v>
      </c>
      <c r="B38" s="2" t="s">
        <v>110</v>
      </c>
      <c r="E38" s="2">
        <v>15</v>
      </c>
      <c r="F38" s="2">
        <f ca="1">COUNTIF(INDIRECT(_xlfn.CONCAT("Data!$B$2:", ADDRESS(51,COUNTA(Data!$1:$1)+1,1,1))), Songs!A38) + E38</f>
        <v>23</v>
      </c>
      <c r="G38" s="8"/>
      <c r="H38">
        <f>_xlfn.IFNA(51-MATCH(Songs!$A38,Data!B$2:B$51,0),NA())</f>
        <v>14</v>
      </c>
      <c r="I38">
        <f>_xlfn.IFNA(51-MATCH(Songs!$A38,Data!C$2:C$51,0),NA())</f>
        <v>4</v>
      </c>
      <c r="J38">
        <f>_xlfn.IFNA(51-MATCH(Songs!$A38,Data!D$2:D$51,0),NA())</f>
        <v>2</v>
      </c>
      <c r="K38" t="e">
        <f>_xlfn.IFNA(51-MATCH(Songs!$A38,Data!E$2:E$51,0),NA())</f>
        <v>#N/A</v>
      </c>
      <c r="L38">
        <f>_xlfn.IFNA(51-MATCH(Songs!$A38,Data!F$2:F$51,0),NA())</f>
        <v>4</v>
      </c>
      <c r="M38">
        <f>_xlfn.IFNA(51-MATCH(Songs!$A38,Data!G$2:G$51,0),NA())</f>
        <v>17</v>
      </c>
      <c r="N38">
        <f>_xlfn.IFNA(51-MATCH(Songs!$A38,Data!H$2:H$51,0),NA())</f>
        <v>19</v>
      </c>
      <c r="O38">
        <f>_xlfn.IFNA(51-MATCH(Songs!$A38,Data!I$2:I$51,0),NA())</f>
        <v>21</v>
      </c>
      <c r="P38">
        <f>_xlfn.IFNA(51-MATCH(Songs!$A38,Data!J$2:J$51,0),NA())</f>
        <v>28</v>
      </c>
    </row>
    <row r="39" spans="1:16" ht="13.2" x14ac:dyDescent="0.25">
      <c r="A39" s="2" t="s">
        <v>51</v>
      </c>
      <c r="B39" s="2" t="s">
        <v>111</v>
      </c>
      <c r="E39" s="2">
        <v>9</v>
      </c>
      <c r="F39" s="2">
        <f ca="1">COUNTIF(INDIRECT(_xlfn.CONCAT("Data!$B$2:", ADDRESS(51,COUNTA(Data!$1:$1)+1,1,1))), Songs!A39) + E39</f>
        <v>15</v>
      </c>
      <c r="G39" s="8"/>
      <c r="H39">
        <f>_xlfn.IFNA(51-MATCH(Songs!$A39,Data!B$2:B$51,0),NA())</f>
        <v>13</v>
      </c>
      <c r="I39">
        <f>_xlfn.IFNA(51-MATCH(Songs!$A39,Data!C$2:C$51,0),NA())</f>
        <v>11</v>
      </c>
      <c r="J39">
        <f>_xlfn.IFNA(51-MATCH(Songs!$A39,Data!D$2:D$51,0),NA())</f>
        <v>15</v>
      </c>
      <c r="K39">
        <f>_xlfn.IFNA(51-MATCH(Songs!$A39,Data!E$2:E$51,0),NA())</f>
        <v>7</v>
      </c>
      <c r="L39" t="e">
        <f>_xlfn.IFNA(51-MATCH(Songs!$A39,Data!F$2:F$51,0),NA())</f>
        <v>#N/A</v>
      </c>
      <c r="M39">
        <f>_xlfn.IFNA(51-MATCH(Songs!$A39,Data!G$2:G$51,0),NA())</f>
        <v>3</v>
      </c>
      <c r="N39">
        <f>_xlfn.IFNA(51-MATCH(Songs!$A39,Data!H$2:H$51,0),NA())</f>
        <v>4</v>
      </c>
      <c r="O39" t="e">
        <f>_xlfn.IFNA(51-MATCH(Songs!$A39,Data!I$2:I$51,0),NA())</f>
        <v>#N/A</v>
      </c>
      <c r="P39" t="e">
        <f>_xlfn.IFNA(51-MATCH(Songs!$A39,Data!J$2:J$51,0),NA())</f>
        <v>#N/A</v>
      </c>
    </row>
    <row r="40" spans="1:16" ht="13.2" x14ac:dyDescent="0.25">
      <c r="A40" s="2" t="s">
        <v>57</v>
      </c>
      <c r="B40" s="2" t="s">
        <v>112</v>
      </c>
      <c r="C40" s="2" t="s">
        <v>113</v>
      </c>
      <c r="E40" s="2">
        <v>6</v>
      </c>
      <c r="F40" s="2">
        <f ca="1">COUNTIF(INDIRECT(_xlfn.CONCAT("Data!$B$2:", ADDRESS(51,COUNTA(Data!$1:$1)+1,1,1))), Songs!A40) + E40</f>
        <v>15</v>
      </c>
      <c r="G40" s="8"/>
      <c r="H40">
        <f>_xlfn.IFNA(51-MATCH(Songs!$A40,Data!B$2:B$51,0),NA())</f>
        <v>12</v>
      </c>
      <c r="I40">
        <f>_xlfn.IFNA(51-MATCH(Songs!$A40,Data!C$2:C$51,0),NA())</f>
        <v>6</v>
      </c>
      <c r="J40">
        <f>_xlfn.IFNA(51-MATCH(Songs!$A40,Data!D$2:D$51,0),NA())</f>
        <v>5</v>
      </c>
      <c r="K40">
        <f>_xlfn.IFNA(51-MATCH(Songs!$A40,Data!E$2:E$51,0),NA())</f>
        <v>5</v>
      </c>
      <c r="L40">
        <f>_xlfn.IFNA(51-MATCH(Songs!$A40,Data!F$2:F$51,0),NA())</f>
        <v>3</v>
      </c>
      <c r="M40">
        <f>_xlfn.IFNA(51-MATCH(Songs!$A40,Data!G$2:G$51,0),NA())</f>
        <v>15</v>
      </c>
      <c r="N40">
        <f>_xlfn.IFNA(51-MATCH(Songs!$A40,Data!H$2:H$51,0),NA())</f>
        <v>8</v>
      </c>
      <c r="O40">
        <f>_xlfn.IFNA(51-MATCH(Songs!$A40,Data!I$2:I$51,0),NA())</f>
        <v>7</v>
      </c>
      <c r="P40">
        <f>_xlfn.IFNA(51-MATCH(Songs!$A40,Data!J$2:J$51,0),NA())</f>
        <v>7</v>
      </c>
    </row>
    <row r="41" spans="1:16" ht="13.2" x14ac:dyDescent="0.25">
      <c r="A41" s="2" t="s">
        <v>42</v>
      </c>
      <c r="B41" s="2" t="s">
        <v>114</v>
      </c>
      <c r="E41" s="2">
        <v>2</v>
      </c>
      <c r="F41" s="2">
        <f ca="1">COUNTIF(INDIRECT(_xlfn.CONCAT("Data!$B$2:", ADDRESS(51,COUNTA(Data!$1:$1)+1,1,1))), Songs!A41) + E41</f>
        <v>11</v>
      </c>
      <c r="G41" s="8"/>
      <c r="H41">
        <f>_xlfn.IFNA(51-MATCH(Songs!$A41,Data!B$2:B$51,0),NA())</f>
        <v>11</v>
      </c>
      <c r="I41">
        <f>_xlfn.IFNA(51-MATCH(Songs!$A41,Data!C$2:C$51,0),NA())</f>
        <v>12</v>
      </c>
      <c r="J41">
        <f>_xlfn.IFNA(51-MATCH(Songs!$A41,Data!D$2:D$51,0),NA())</f>
        <v>21</v>
      </c>
      <c r="K41">
        <f>_xlfn.IFNA(51-MATCH(Songs!$A41,Data!E$2:E$51,0),NA())</f>
        <v>16</v>
      </c>
      <c r="L41">
        <f>_xlfn.IFNA(51-MATCH(Songs!$A41,Data!F$2:F$51,0),NA())</f>
        <v>19</v>
      </c>
      <c r="M41">
        <f>_xlfn.IFNA(51-MATCH(Songs!$A41,Data!G$2:G$51,0),NA())</f>
        <v>26</v>
      </c>
      <c r="N41">
        <f>_xlfn.IFNA(51-MATCH(Songs!$A41,Data!H$2:H$51,0),NA())</f>
        <v>26</v>
      </c>
      <c r="O41">
        <f>_xlfn.IFNA(51-MATCH(Songs!$A41,Data!I$2:I$51,0),NA())</f>
        <v>25</v>
      </c>
      <c r="P41">
        <f>_xlfn.IFNA(51-MATCH(Songs!$A41,Data!J$2:J$51,0),NA())</f>
        <v>29</v>
      </c>
    </row>
    <row r="42" spans="1:16" ht="13.2" x14ac:dyDescent="0.25">
      <c r="A42" s="2" t="s">
        <v>60</v>
      </c>
      <c r="B42" s="2" t="s">
        <v>74</v>
      </c>
      <c r="E42" s="2">
        <v>20</v>
      </c>
      <c r="F42" s="2">
        <f ca="1">COUNTIF(INDIRECT(_xlfn.CONCAT("Data!$B$2:", ADDRESS(51,COUNTA(Data!$1:$1)+1,1,1))), Songs!A42) + E42</f>
        <v>21</v>
      </c>
      <c r="G42" s="8"/>
      <c r="H42">
        <f>_xlfn.IFNA(51-MATCH(Songs!$A42,Data!B$2:B$51,0),NA())</f>
        <v>10</v>
      </c>
      <c r="I42" t="e">
        <f>_xlfn.IFNA(51-MATCH(Songs!$A42,Data!C$2:C$51,0),NA())</f>
        <v>#N/A</v>
      </c>
      <c r="J42" t="e">
        <f>_xlfn.IFNA(51-MATCH(Songs!$A42,Data!D$2:D$51,0),NA())</f>
        <v>#N/A</v>
      </c>
      <c r="K42" t="e">
        <f>_xlfn.IFNA(51-MATCH(Songs!$A42,Data!E$2:E$51,0),NA())</f>
        <v>#N/A</v>
      </c>
      <c r="L42" t="e">
        <f>_xlfn.IFNA(51-MATCH(Songs!$A42,Data!F$2:F$51,0),NA())</f>
        <v>#N/A</v>
      </c>
      <c r="M42" t="e">
        <f>_xlfn.IFNA(51-MATCH(Songs!$A42,Data!G$2:G$51,0),NA())</f>
        <v>#N/A</v>
      </c>
      <c r="N42" t="e">
        <f>_xlfn.IFNA(51-MATCH(Songs!$A42,Data!H$2:H$51,0),NA())</f>
        <v>#N/A</v>
      </c>
      <c r="O42" t="e">
        <f>_xlfn.IFNA(51-MATCH(Songs!$A42,Data!I$2:I$51,0),NA())</f>
        <v>#N/A</v>
      </c>
      <c r="P42" t="e">
        <f>_xlfn.IFNA(51-MATCH(Songs!$A42,Data!J$2:J$51,0),NA())</f>
        <v>#N/A</v>
      </c>
    </row>
    <row r="43" spans="1:16" ht="13.2" x14ac:dyDescent="0.25">
      <c r="A43" s="2" t="s">
        <v>50</v>
      </c>
      <c r="B43" s="2" t="s">
        <v>80</v>
      </c>
      <c r="E43" s="2">
        <v>2</v>
      </c>
      <c r="F43" s="2">
        <f ca="1">COUNTIF(INDIRECT(_xlfn.CONCAT("Data!$B$2:", ADDRESS(51,COUNTA(Data!$1:$1)+1,1,1))), Songs!A43) + E43</f>
        <v>11</v>
      </c>
      <c r="G43" s="8"/>
      <c r="H43">
        <f>_xlfn.IFNA(51-MATCH(Songs!$A43,Data!B$2:B$51,0),NA())</f>
        <v>9</v>
      </c>
      <c r="I43">
        <f>_xlfn.IFNA(51-MATCH(Songs!$A43,Data!C$2:C$51,0),NA())</f>
        <v>3</v>
      </c>
      <c r="J43">
        <f>_xlfn.IFNA(51-MATCH(Songs!$A43,Data!D$2:D$51,0),NA())</f>
        <v>10</v>
      </c>
      <c r="K43">
        <f>_xlfn.IFNA(51-MATCH(Songs!$A43,Data!E$2:E$51,0),NA())</f>
        <v>9</v>
      </c>
      <c r="L43">
        <f>_xlfn.IFNA(51-MATCH(Songs!$A43,Data!F$2:F$51,0),NA())</f>
        <v>16</v>
      </c>
      <c r="M43">
        <f>_xlfn.IFNA(51-MATCH(Songs!$A43,Data!G$2:G$51,0),NA())</f>
        <v>19</v>
      </c>
      <c r="N43">
        <f>_xlfn.IFNA(51-MATCH(Songs!$A43,Data!H$2:H$51,0),NA())</f>
        <v>18</v>
      </c>
      <c r="O43">
        <f>_xlfn.IFNA(51-MATCH(Songs!$A43,Data!I$2:I$51,0),NA())</f>
        <v>15</v>
      </c>
      <c r="P43">
        <f>_xlfn.IFNA(51-MATCH(Songs!$A43,Data!J$2:J$51,0),NA())</f>
        <v>18</v>
      </c>
    </row>
    <row r="44" spans="1:16" ht="13.2" x14ac:dyDescent="0.25">
      <c r="A44" s="2" t="s">
        <v>45</v>
      </c>
      <c r="B44" s="2" t="s">
        <v>86</v>
      </c>
      <c r="E44" s="2">
        <v>11</v>
      </c>
      <c r="F44" s="2">
        <f ca="1">COUNTIF(INDIRECT(_xlfn.CONCAT("Data!$B$2:", ADDRESS(51,COUNTA(Data!$1:$1)+1,1,1))), Songs!A44) + E44</f>
        <v>20</v>
      </c>
      <c r="G44" s="8"/>
      <c r="H44">
        <f>_xlfn.IFNA(51-MATCH(Songs!$A44,Data!B$2:B$51,0),NA())</f>
        <v>8</v>
      </c>
      <c r="I44">
        <f>_xlfn.IFNA(51-MATCH(Songs!$A44,Data!C$2:C$51,0),NA())</f>
        <v>17</v>
      </c>
      <c r="J44">
        <f>_xlfn.IFNA(51-MATCH(Songs!$A44,Data!D$2:D$51,0),NA())</f>
        <v>19</v>
      </c>
      <c r="K44">
        <f>_xlfn.IFNA(51-MATCH(Songs!$A44,Data!E$2:E$51,0),NA())</f>
        <v>12</v>
      </c>
      <c r="L44">
        <f>_xlfn.IFNA(51-MATCH(Songs!$A44,Data!F$2:F$51,0),NA())</f>
        <v>12</v>
      </c>
      <c r="M44">
        <f>_xlfn.IFNA(51-MATCH(Songs!$A44,Data!G$2:G$51,0),NA())</f>
        <v>10</v>
      </c>
      <c r="N44">
        <f>_xlfn.IFNA(51-MATCH(Songs!$A44,Data!H$2:H$51,0),NA())</f>
        <v>16</v>
      </c>
      <c r="O44">
        <f>_xlfn.IFNA(51-MATCH(Songs!$A44,Data!I$2:I$51,0),NA())</f>
        <v>18</v>
      </c>
      <c r="P44">
        <f>_xlfn.IFNA(51-MATCH(Songs!$A44,Data!J$2:J$51,0),NA())</f>
        <v>21</v>
      </c>
    </row>
    <row r="45" spans="1:16" ht="13.2" x14ac:dyDescent="0.25">
      <c r="A45" s="2" t="s">
        <v>55</v>
      </c>
      <c r="B45" s="2" t="s">
        <v>115</v>
      </c>
      <c r="E45" s="2">
        <v>2</v>
      </c>
      <c r="F45" s="2">
        <f ca="1">COUNTIF(INDIRECT(_xlfn.CONCAT("Data!$B$2:", ADDRESS(51,COUNTA(Data!$1:$1)+1,1,1))), Songs!A45) + E45</f>
        <v>11</v>
      </c>
      <c r="G45" s="8"/>
      <c r="H45">
        <f>_xlfn.IFNA(51-MATCH(Songs!$A45,Data!B$2:B$51,0),NA())</f>
        <v>7</v>
      </c>
      <c r="I45">
        <f>_xlfn.IFNA(51-MATCH(Songs!$A45,Data!C$2:C$51,0),NA())</f>
        <v>13</v>
      </c>
      <c r="J45">
        <f>_xlfn.IFNA(51-MATCH(Songs!$A45,Data!D$2:D$51,0),NA())</f>
        <v>12</v>
      </c>
      <c r="K45">
        <f>_xlfn.IFNA(51-MATCH(Songs!$A45,Data!E$2:E$51,0),NA())</f>
        <v>8</v>
      </c>
      <c r="L45">
        <f>_xlfn.IFNA(51-MATCH(Songs!$A45,Data!F$2:F$51,0),NA())</f>
        <v>13</v>
      </c>
      <c r="M45">
        <f>_xlfn.IFNA(51-MATCH(Songs!$A45,Data!G$2:G$51,0),NA())</f>
        <v>16</v>
      </c>
      <c r="N45">
        <f>_xlfn.IFNA(51-MATCH(Songs!$A45,Data!H$2:H$51,0),NA())</f>
        <v>13</v>
      </c>
      <c r="O45">
        <f>_xlfn.IFNA(51-MATCH(Songs!$A45,Data!I$2:I$51,0),NA())</f>
        <v>16</v>
      </c>
      <c r="P45">
        <f>_xlfn.IFNA(51-MATCH(Songs!$A45,Data!J$2:J$51,0),NA())</f>
        <v>11</v>
      </c>
    </row>
    <row r="46" spans="1:16" ht="13.2" x14ac:dyDescent="0.25">
      <c r="A46" s="2" t="s">
        <v>58</v>
      </c>
      <c r="B46" s="2" t="s">
        <v>116</v>
      </c>
      <c r="E46" s="2">
        <v>8</v>
      </c>
      <c r="F46" s="2">
        <f ca="1">COUNTIF(INDIRECT(_xlfn.CONCAT("Data!$B$2:", ADDRESS(51,COUNTA(Data!$1:$1)+1,1,1))), Songs!A46) + E46</f>
        <v>17</v>
      </c>
      <c r="G46" s="8"/>
      <c r="H46">
        <f>_xlfn.IFNA(51-MATCH(Songs!$A46,Data!B$2:B$51,0),NA())</f>
        <v>6</v>
      </c>
      <c r="I46">
        <f>_xlfn.IFNA(51-MATCH(Songs!$A46,Data!C$2:C$51,0),NA())</f>
        <v>8</v>
      </c>
      <c r="J46">
        <f>_xlfn.IFNA(51-MATCH(Songs!$A46,Data!D$2:D$51,0),NA())</f>
        <v>11</v>
      </c>
      <c r="K46">
        <f>_xlfn.IFNA(51-MATCH(Songs!$A46,Data!E$2:E$51,0),NA())</f>
        <v>6</v>
      </c>
      <c r="L46">
        <f>_xlfn.IFNA(51-MATCH(Songs!$A46,Data!F$2:F$51,0),NA())</f>
        <v>6</v>
      </c>
      <c r="M46">
        <f>_xlfn.IFNA(51-MATCH(Songs!$A46,Data!G$2:G$51,0),NA())</f>
        <v>6</v>
      </c>
      <c r="N46">
        <f>_xlfn.IFNA(51-MATCH(Songs!$A46,Data!H$2:H$51,0),NA())</f>
        <v>10</v>
      </c>
      <c r="O46">
        <f>_xlfn.IFNA(51-MATCH(Songs!$A46,Data!I$2:I$51,0),NA())</f>
        <v>5</v>
      </c>
      <c r="P46">
        <f>_xlfn.IFNA(51-MATCH(Songs!$A46,Data!J$2:J$51,0),NA())</f>
        <v>6</v>
      </c>
    </row>
    <row r="47" spans="1:16" ht="13.2" x14ac:dyDescent="0.25">
      <c r="A47" s="2" t="s">
        <v>63</v>
      </c>
      <c r="B47" s="2" t="s">
        <v>117</v>
      </c>
      <c r="E47" s="2">
        <v>13</v>
      </c>
      <c r="F47" s="2">
        <f ca="1">COUNTIF(INDIRECT(_xlfn.CONCAT("Data!$B$2:", ADDRESS(51,COUNTA(Data!$1:$1)+1,1,1))), Songs!A47) + E47</f>
        <v>22</v>
      </c>
      <c r="G47" s="8"/>
      <c r="H47">
        <f>_xlfn.IFNA(51-MATCH(Songs!$A47,Data!B$2:B$51,0),NA())</f>
        <v>5</v>
      </c>
      <c r="I47">
        <f>_xlfn.IFNA(51-MATCH(Songs!$A47,Data!C$2:C$51,0),NA())</f>
        <v>9</v>
      </c>
      <c r="J47">
        <f>_xlfn.IFNA(51-MATCH(Songs!$A47,Data!D$2:D$51,0),NA())</f>
        <v>3</v>
      </c>
      <c r="K47">
        <f>_xlfn.IFNA(51-MATCH(Songs!$A47,Data!E$2:E$51,0),NA())</f>
        <v>3</v>
      </c>
      <c r="L47">
        <f>_xlfn.IFNA(51-MATCH(Songs!$A47,Data!F$2:F$51,0),NA())</f>
        <v>2</v>
      </c>
      <c r="M47">
        <f>_xlfn.IFNA(51-MATCH(Songs!$A47,Data!G$2:G$51,0),NA())</f>
        <v>8</v>
      </c>
      <c r="N47">
        <f>_xlfn.IFNA(51-MATCH(Songs!$A47,Data!H$2:H$51,0),NA())</f>
        <v>6</v>
      </c>
      <c r="O47">
        <f>_xlfn.IFNA(51-MATCH(Songs!$A47,Data!I$2:I$51,0),NA())</f>
        <v>6</v>
      </c>
      <c r="P47">
        <f>_xlfn.IFNA(51-MATCH(Songs!$A47,Data!J$2:J$51,0),NA())</f>
        <v>5</v>
      </c>
    </row>
    <row r="48" spans="1:16" ht="13.2" x14ac:dyDescent="0.25">
      <c r="A48" s="2" t="s">
        <v>53</v>
      </c>
      <c r="B48" s="2" t="s">
        <v>78</v>
      </c>
      <c r="E48" s="2">
        <v>10</v>
      </c>
      <c r="F48" s="2">
        <f ca="1">COUNTIF(INDIRECT(_xlfn.CONCAT("Data!$B$2:", ADDRESS(51,COUNTA(Data!$1:$1)+1,1,1))), Songs!A48) + E48</f>
        <v>18</v>
      </c>
      <c r="G48" s="8"/>
      <c r="H48">
        <f>_xlfn.IFNA(51-MATCH(Songs!$A48,Data!B$2:B$51,0),NA())</f>
        <v>4</v>
      </c>
      <c r="I48">
        <f>_xlfn.IFNA(51-MATCH(Songs!$A48,Data!C$2:C$51,0),NA())</f>
        <v>14</v>
      </c>
      <c r="J48">
        <f>_xlfn.IFNA(51-MATCH(Songs!$A48,Data!D$2:D$51,0),NA())</f>
        <v>4</v>
      </c>
      <c r="K48" t="e">
        <f>_xlfn.IFNA(51-MATCH(Songs!$A48,Data!E$2:E$51,0),NA())</f>
        <v>#N/A</v>
      </c>
      <c r="L48">
        <f>_xlfn.IFNA(51-MATCH(Songs!$A48,Data!F$2:F$51,0),NA())</f>
        <v>7</v>
      </c>
      <c r="M48">
        <f>_xlfn.IFNA(51-MATCH(Songs!$A48,Data!G$2:G$51,0),NA())</f>
        <v>12</v>
      </c>
      <c r="N48">
        <f>_xlfn.IFNA(51-MATCH(Songs!$A48,Data!H$2:H$51,0),NA())</f>
        <v>12</v>
      </c>
      <c r="O48">
        <f>_xlfn.IFNA(51-MATCH(Songs!$A48,Data!I$2:I$51,0),NA())</f>
        <v>9</v>
      </c>
      <c r="P48">
        <f>_xlfn.IFNA(51-MATCH(Songs!$A48,Data!J$2:J$51,0),NA())</f>
        <v>17</v>
      </c>
    </row>
    <row r="49" spans="1:16" ht="13.2" x14ac:dyDescent="0.25">
      <c r="A49" s="2" t="s">
        <v>62</v>
      </c>
      <c r="B49" s="2" t="s">
        <v>118</v>
      </c>
      <c r="E49" s="2">
        <v>1</v>
      </c>
      <c r="F49" s="2">
        <f ca="1">COUNTIF(INDIRECT(_xlfn.CONCAT("Data!$B$2:", ADDRESS(51,COUNTA(Data!$1:$1)+1,1,1))), Songs!A49) + E49</f>
        <v>10</v>
      </c>
      <c r="G49" s="8"/>
      <c r="H49">
        <f>_xlfn.IFNA(51-MATCH(Songs!$A49,Data!B$2:B$51,0),NA())</f>
        <v>3</v>
      </c>
      <c r="I49">
        <f>_xlfn.IFNA(51-MATCH(Songs!$A49,Data!C$2:C$51,0),NA())</f>
        <v>5</v>
      </c>
      <c r="J49">
        <f>_xlfn.IFNA(51-MATCH(Songs!$A49,Data!D$2:D$51,0),NA())</f>
        <v>7</v>
      </c>
      <c r="K49">
        <f>_xlfn.IFNA(51-MATCH(Songs!$A49,Data!E$2:E$51,0),NA())</f>
        <v>4</v>
      </c>
      <c r="L49">
        <f>_xlfn.IFNA(51-MATCH(Songs!$A49,Data!F$2:F$51,0),NA())</f>
        <v>10</v>
      </c>
      <c r="M49">
        <f>_xlfn.IFNA(51-MATCH(Songs!$A49,Data!G$2:G$51,0),NA())</f>
        <v>14</v>
      </c>
      <c r="N49">
        <f>_xlfn.IFNA(51-MATCH(Songs!$A49,Data!H$2:H$51,0),NA())</f>
        <v>15</v>
      </c>
      <c r="O49">
        <f>_xlfn.IFNA(51-MATCH(Songs!$A49,Data!I$2:I$51,0),NA())</f>
        <v>14</v>
      </c>
      <c r="P49">
        <f>_xlfn.IFNA(51-MATCH(Songs!$A49,Data!J$2:J$51,0),NA())</f>
        <v>19</v>
      </c>
    </row>
    <row r="50" spans="1:16" ht="13.2" x14ac:dyDescent="0.25">
      <c r="A50" s="2" t="s">
        <v>67</v>
      </c>
      <c r="B50" s="2" t="s">
        <v>119</v>
      </c>
      <c r="E50" s="2">
        <v>15</v>
      </c>
      <c r="F50" s="2">
        <f ca="1">COUNTIF(INDIRECT(_xlfn.CONCAT("Data!$B$2:", ADDRESS(51,COUNTA(Data!$1:$1)+1,1,1))), Songs!A50) + E50</f>
        <v>16</v>
      </c>
      <c r="G50" s="8"/>
      <c r="H50">
        <f>_xlfn.IFNA(51-MATCH(Songs!$A50,Data!B$2:B$51,0),NA())</f>
        <v>2</v>
      </c>
      <c r="I50" t="e">
        <f>_xlfn.IFNA(51-MATCH(Songs!$A50,Data!C$2:C$51,0),NA())</f>
        <v>#N/A</v>
      </c>
      <c r="J50" t="e">
        <f>_xlfn.IFNA(51-MATCH(Songs!$A50,Data!D$2:D$51,0),NA())</f>
        <v>#N/A</v>
      </c>
      <c r="K50" t="e">
        <f>_xlfn.IFNA(51-MATCH(Songs!$A50,Data!E$2:E$51,0),NA())</f>
        <v>#N/A</v>
      </c>
      <c r="L50" t="e">
        <f>_xlfn.IFNA(51-MATCH(Songs!$A50,Data!F$2:F$51,0),NA())</f>
        <v>#N/A</v>
      </c>
      <c r="M50" t="e">
        <f>_xlfn.IFNA(51-MATCH(Songs!$A50,Data!G$2:G$51,0),NA())</f>
        <v>#N/A</v>
      </c>
      <c r="N50" t="e">
        <f>_xlfn.IFNA(51-MATCH(Songs!$A50,Data!H$2:H$51,0),NA())</f>
        <v>#N/A</v>
      </c>
      <c r="O50" t="e">
        <f>_xlfn.IFNA(51-MATCH(Songs!$A50,Data!I$2:I$51,0),NA())</f>
        <v>#N/A</v>
      </c>
      <c r="P50" t="e">
        <f>_xlfn.IFNA(51-MATCH(Songs!$A50,Data!J$2:J$51,0),NA())</f>
        <v>#N/A</v>
      </c>
    </row>
    <row r="51" spans="1:16" ht="13.2" x14ac:dyDescent="0.25">
      <c r="A51" s="2" t="s">
        <v>66</v>
      </c>
      <c r="B51" s="2" t="s">
        <v>120</v>
      </c>
      <c r="E51" s="2">
        <v>1</v>
      </c>
      <c r="F51" s="2">
        <f ca="1">COUNTIF(INDIRECT(_xlfn.CONCAT("Data!$B$2:", ADDRESS(51,COUNTA(Data!$1:$1)+1,1,1))), Songs!A51) + E51</f>
        <v>10</v>
      </c>
      <c r="G51" s="8"/>
      <c r="H51">
        <f>_xlfn.IFNA(51-MATCH(Songs!$A51,Data!B$2:B$51,0),NA())</f>
        <v>1</v>
      </c>
      <c r="I51">
        <f>_xlfn.IFNA(51-MATCH(Songs!$A51,Data!C$2:C$51,0),NA())</f>
        <v>2</v>
      </c>
      <c r="J51">
        <f>_xlfn.IFNA(51-MATCH(Songs!$A51,Data!D$2:D$51,0),NA())</f>
        <v>6</v>
      </c>
      <c r="K51">
        <f>_xlfn.IFNA(51-MATCH(Songs!$A51,Data!E$2:E$51,0),NA())</f>
        <v>1</v>
      </c>
      <c r="L51">
        <f>_xlfn.IFNA(51-MATCH(Songs!$A51,Data!F$2:F$51,0),NA())</f>
        <v>1</v>
      </c>
      <c r="M51">
        <f>_xlfn.IFNA(51-MATCH(Songs!$A51,Data!G$2:G$51,0),NA())</f>
        <v>7</v>
      </c>
      <c r="N51">
        <f>_xlfn.IFNA(51-MATCH(Songs!$A51,Data!H$2:H$51,0),NA())</f>
        <v>3</v>
      </c>
      <c r="O51">
        <f>_xlfn.IFNA(51-MATCH(Songs!$A51,Data!I$2:I$51,0),NA())</f>
        <v>2</v>
      </c>
      <c r="P51">
        <f>_xlfn.IFNA(51-MATCH(Songs!$A51,Data!J$2:J$51,0),NA())</f>
        <v>4</v>
      </c>
    </row>
    <row r="52" spans="1:16" ht="13.2" x14ac:dyDescent="0.25">
      <c r="A52" s="2" t="s">
        <v>18</v>
      </c>
      <c r="B52" s="2" t="s">
        <v>106</v>
      </c>
      <c r="E52" s="2">
        <v>0</v>
      </c>
      <c r="F52" s="2">
        <f ca="1">COUNTIF(INDIRECT(_xlfn.CONCAT("Data!$B$2:", ADDRESS(51,COUNTA(Data!$1:$1)+1,1,1))), Songs!A52) + E52</f>
        <v>8</v>
      </c>
      <c r="G52" s="8"/>
      <c r="H52" t="e">
        <f>_xlfn.IFNA(51-MATCH(Songs!$A52,Data!B$2:B$51,0),NA())</f>
        <v>#N/A</v>
      </c>
      <c r="I52">
        <f>_xlfn.IFNA(51-MATCH(Songs!$A52,Data!C$2:C$51,0),NA())</f>
        <v>38</v>
      </c>
      <c r="J52">
        <f>_xlfn.IFNA(51-MATCH(Songs!$A52,Data!D$2:D$51,0),NA())</f>
        <v>29</v>
      </c>
      <c r="K52">
        <f>_xlfn.IFNA(51-MATCH(Songs!$A52,Data!E$2:E$51,0),NA())</f>
        <v>22</v>
      </c>
      <c r="L52">
        <f>_xlfn.IFNA(51-MATCH(Songs!$A52,Data!F$2:F$51,0),NA())</f>
        <v>22</v>
      </c>
      <c r="M52">
        <f>_xlfn.IFNA(51-MATCH(Songs!$A52,Data!G$2:G$51,0),NA())</f>
        <v>28</v>
      </c>
      <c r="N52">
        <f>_xlfn.IFNA(51-MATCH(Songs!$A52,Data!H$2:H$51,0),NA())</f>
        <v>22</v>
      </c>
      <c r="O52">
        <f>_xlfn.IFNA(51-MATCH(Songs!$A52,Data!I$2:I$51,0),NA())</f>
        <v>23</v>
      </c>
      <c r="P52">
        <f>_xlfn.IFNA(51-MATCH(Songs!$A52,Data!J$2:J$51,0),NA())</f>
        <v>23</v>
      </c>
    </row>
    <row r="53" spans="1:16" ht="13.2" x14ac:dyDescent="0.25">
      <c r="A53" s="2" t="s">
        <v>65</v>
      </c>
      <c r="B53" s="2" t="s">
        <v>121</v>
      </c>
      <c r="C53" s="2" t="s">
        <v>122</v>
      </c>
      <c r="E53" s="2">
        <v>4</v>
      </c>
      <c r="F53" s="2">
        <f ca="1">COUNTIF(INDIRECT(_xlfn.CONCAT("Data!$B$2:", ADDRESS(51,COUNTA(Data!$1:$1)+1,1,1))), Songs!A53) + E53</f>
        <v>10</v>
      </c>
      <c r="G53" s="8"/>
      <c r="H53" t="e">
        <f>_xlfn.IFNA(51-MATCH(Songs!$A53,Data!B$2:B$51,0),NA())</f>
        <v>#N/A</v>
      </c>
      <c r="I53">
        <f>_xlfn.IFNA(51-MATCH(Songs!$A53,Data!C$2:C$51,0),NA())</f>
        <v>7</v>
      </c>
      <c r="J53">
        <f>_xlfn.IFNA(51-MATCH(Songs!$A53,Data!D$2:D$51,0),NA())</f>
        <v>1</v>
      </c>
      <c r="K53" t="e">
        <f>_xlfn.IFNA(51-MATCH(Songs!$A53,Data!E$2:E$51,0),NA())</f>
        <v>#N/A</v>
      </c>
      <c r="L53" t="e">
        <f>_xlfn.IFNA(51-MATCH(Songs!$A53,Data!F$2:F$51,0),NA())</f>
        <v>#N/A</v>
      </c>
      <c r="M53">
        <f>_xlfn.IFNA(51-MATCH(Songs!$A53,Data!G$2:G$51,0),NA())</f>
        <v>5</v>
      </c>
      <c r="N53">
        <f>_xlfn.IFNA(51-MATCH(Songs!$A53,Data!H$2:H$51,0),NA())</f>
        <v>5</v>
      </c>
      <c r="O53">
        <f>_xlfn.IFNA(51-MATCH(Songs!$A53,Data!I$2:I$51,0),NA())</f>
        <v>4</v>
      </c>
      <c r="P53">
        <f>_xlfn.IFNA(51-MATCH(Songs!$A53,Data!J$2:J$51,0),NA())</f>
        <v>1</v>
      </c>
    </row>
    <row r="54" spans="1:16" ht="13.2" x14ac:dyDescent="0.25">
      <c r="A54" s="2" t="s">
        <v>68</v>
      </c>
      <c r="B54" s="2" t="s">
        <v>123</v>
      </c>
      <c r="E54" s="2">
        <v>12</v>
      </c>
      <c r="F54" s="2">
        <f ca="1">COUNTIF(INDIRECT(_xlfn.CONCAT("Data!$B$2:", ADDRESS(51,COUNTA(Data!$1:$1)+1,1,1))), Songs!A54) + E54</f>
        <v>15</v>
      </c>
      <c r="G54" s="8"/>
      <c r="H54" t="e">
        <f>_xlfn.IFNA(51-MATCH(Songs!$A54,Data!B$2:B$51,0),NA())</f>
        <v>#N/A</v>
      </c>
      <c r="I54">
        <f>_xlfn.IFNA(51-MATCH(Songs!$A54,Data!C$2:C$51,0),NA())</f>
        <v>1</v>
      </c>
      <c r="J54" t="e">
        <f>_xlfn.IFNA(51-MATCH(Songs!$A54,Data!D$2:D$51,0),NA())</f>
        <v>#N/A</v>
      </c>
      <c r="K54" t="e">
        <f>_xlfn.IFNA(51-MATCH(Songs!$A54,Data!E$2:E$51,0),NA())</f>
        <v>#N/A</v>
      </c>
      <c r="L54" t="e">
        <f>_xlfn.IFNA(51-MATCH(Songs!$A54,Data!F$2:F$51,0),NA())</f>
        <v>#N/A</v>
      </c>
      <c r="M54">
        <f>_xlfn.IFNA(51-MATCH(Songs!$A54,Data!G$2:G$51,0),NA())</f>
        <v>2</v>
      </c>
      <c r="N54" t="e">
        <f>_xlfn.IFNA(51-MATCH(Songs!$A54,Data!H$2:H$51,0),NA())</f>
        <v>#N/A</v>
      </c>
      <c r="O54">
        <f>_xlfn.IFNA(51-MATCH(Songs!$A54,Data!I$2:I$51,0),NA())</f>
        <v>1</v>
      </c>
      <c r="P54" t="e">
        <f>_xlfn.IFNA(51-MATCH(Songs!$A54,Data!J$2:J$51,0),NA())</f>
        <v>#N/A</v>
      </c>
    </row>
    <row r="55" spans="1:16" ht="13.2" x14ac:dyDescent="0.25">
      <c r="A55" s="2" t="s">
        <v>6</v>
      </c>
      <c r="B55" s="2" t="s">
        <v>76</v>
      </c>
      <c r="E55" s="2">
        <v>0</v>
      </c>
      <c r="F55" s="2">
        <f ca="1">COUNTIF(INDIRECT(_xlfn.CONCAT("Data!$B$2:", ADDRESS(51,COUNTA(Data!$1:$1)+1,1,1))), Songs!A55) + E55</f>
        <v>7</v>
      </c>
      <c r="G55" s="8"/>
      <c r="H55" t="e">
        <f>_xlfn.IFNA(51-MATCH(Songs!$A55,Data!B$2:B$51,0),NA())</f>
        <v>#N/A</v>
      </c>
      <c r="I55" t="e">
        <f>_xlfn.IFNA(51-MATCH(Songs!$A55,Data!C$2:C$51,0),NA())</f>
        <v>#N/A</v>
      </c>
      <c r="J55">
        <f>_xlfn.IFNA(51-MATCH(Songs!$A55,Data!D$2:D$51,0),NA())</f>
        <v>46</v>
      </c>
      <c r="K55">
        <f>_xlfn.IFNA(51-MATCH(Songs!$A55,Data!E$2:E$51,0),NA())</f>
        <v>38</v>
      </c>
      <c r="L55">
        <f>_xlfn.IFNA(51-MATCH(Songs!$A55,Data!F$2:F$51,0),NA())</f>
        <v>35</v>
      </c>
      <c r="M55">
        <f>_xlfn.IFNA(51-MATCH(Songs!$A55,Data!G$2:G$51,0),NA())</f>
        <v>35</v>
      </c>
      <c r="N55">
        <f>_xlfn.IFNA(51-MATCH(Songs!$A55,Data!H$2:H$51,0),NA())</f>
        <v>32</v>
      </c>
      <c r="O55">
        <f>_xlfn.IFNA(51-MATCH(Songs!$A55,Data!I$2:I$51,0),NA())</f>
        <v>34</v>
      </c>
      <c r="P55">
        <f>_xlfn.IFNA(51-MATCH(Songs!$A55,Data!J$2:J$51,0),NA())</f>
        <v>33</v>
      </c>
    </row>
    <row r="56" spans="1:16" ht="13.2" x14ac:dyDescent="0.25">
      <c r="A56" s="2" t="s">
        <v>54</v>
      </c>
      <c r="B56" s="2" t="s">
        <v>119</v>
      </c>
      <c r="E56" s="2">
        <v>0</v>
      </c>
      <c r="F56" s="2">
        <f ca="1">COUNTIF(INDIRECT(_xlfn.CONCAT("Data!$B$2:", ADDRESS(51,COUNTA(Data!$1:$1)+1,1,1))), Songs!A56) + E56</f>
        <v>1</v>
      </c>
      <c r="G56" s="8"/>
      <c r="H56" t="e">
        <f>_xlfn.IFNA(51-MATCH(Songs!$A56,Data!B$2:B$51,0),NA())</f>
        <v>#N/A</v>
      </c>
      <c r="I56" t="e">
        <f>_xlfn.IFNA(51-MATCH(Songs!$A56,Data!C$2:C$51,0),NA())</f>
        <v>#N/A</v>
      </c>
      <c r="J56">
        <f>_xlfn.IFNA(51-MATCH(Songs!$A56,Data!D$2:D$51,0),NA())</f>
        <v>14</v>
      </c>
      <c r="K56" t="e">
        <f>_xlfn.IFNA(51-MATCH(Songs!$A56,Data!E$2:E$51,0),NA())</f>
        <v>#N/A</v>
      </c>
      <c r="L56" t="e">
        <f>_xlfn.IFNA(51-MATCH(Songs!$A56,Data!F$2:F$51,0),NA())</f>
        <v>#N/A</v>
      </c>
      <c r="M56" t="e">
        <f>_xlfn.IFNA(51-MATCH(Songs!$A56,Data!G$2:G$51,0),NA())</f>
        <v>#N/A</v>
      </c>
      <c r="N56" t="e">
        <f>_xlfn.IFNA(51-MATCH(Songs!$A56,Data!H$2:H$51,0),NA())</f>
        <v>#N/A</v>
      </c>
      <c r="O56" t="e">
        <f>_xlfn.IFNA(51-MATCH(Songs!$A56,Data!I$2:I$51,0),NA())</f>
        <v>#N/A</v>
      </c>
      <c r="P56" t="e">
        <f>_xlfn.IFNA(51-MATCH(Songs!$A56,Data!J$2:J$51,0),NA())</f>
        <v>#N/A</v>
      </c>
    </row>
    <row r="57" spans="1:16" ht="13.2" x14ac:dyDescent="0.25">
      <c r="A57" s="2" t="s">
        <v>56</v>
      </c>
      <c r="B57" s="2" t="s">
        <v>75</v>
      </c>
      <c r="E57" s="2">
        <v>0</v>
      </c>
      <c r="F57" s="2">
        <f ca="1">COUNTIF(INDIRECT(_xlfn.CONCAT("Data!$B$2:", ADDRESS(51,COUNTA(Data!$1:$1)+1,1,1))), Songs!A57) + E57</f>
        <v>1</v>
      </c>
      <c r="G57" s="8"/>
      <c r="H57" t="e">
        <f>_xlfn.IFNA(51-MATCH(Songs!$A57,Data!B$2:B$51,0),NA())</f>
        <v>#N/A</v>
      </c>
      <c r="I57" t="e">
        <f>_xlfn.IFNA(51-MATCH(Songs!$A57,Data!C$2:C$51,0),NA())</f>
        <v>#N/A</v>
      </c>
      <c r="J57">
        <f>_xlfn.IFNA(51-MATCH(Songs!$A57,Data!D$2:D$51,0),NA())</f>
        <v>13</v>
      </c>
      <c r="K57" t="e">
        <f>_xlfn.IFNA(51-MATCH(Songs!$A57,Data!E$2:E$51,0),NA())</f>
        <v>#N/A</v>
      </c>
      <c r="L57" t="e">
        <f>_xlfn.IFNA(51-MATCH(Songs!$A57,Data!F$2:F$51,0),NA())</f>
        <v>#N/A</v>
      </c>
      <c r="M57" t="e">
        <f>_xlfn.IFNA(51-MATCH(Songs!$A57,Data!G$2:G$51,0),NA())</f>
        <v>#N/A</v>
      </c>
      <c r="N57" t="e">
        <f>_xlfn.IFNA(51-MATCH(Songs!$A57,Data!H$2:H$51,0),NA())</f>
        <v>#N/A</v>
      </c>
      <c r="O57" t="e">
        <f>_xlfn.IFNA(51-MATCH(Songs!$A57,Data!I$2:I$51,0),NA())</f>
        <v>#N/A</v>
      </c>
      <c r="P57" t="e">
        <f>_xlfn.IFNA(51-MATCH(Songs!$A57,Data!J$2:J$51,0),NA())</f>
        <v>#N/A</v>
      </c>
    </row>
    <row r="58" spans="1:16" ht="13.2" x14ac:dyDescent="0.25">
      <c r="A58" s="2" t="s">
        <v>64</v>
      </c>
      <c r="B58" s="2" t="s">
        <v>124</v>
      </c>
      <c r="C58" s="2" t="s">
        <v>125</v>
      </c>
      <c r="E58" s="2">
        <v>0</v>
      </c>
      <c r="F58" s="2">
        <f ca="1">COUNTIF(INDIRECT(_xlfn.CONCAT("Data!$B$2:", ADDRESS(51,COUNTA(Data!$1:$1)+1,1,1))), Songs!A58) + E58</f>
        <v>1</v>
      </c>
      <c r="G58" s="8"/>
      <c r="H58" t="e">
        <f>_xlfn.IFNA(51-MATCH(Songs!$A58,Data!B$2:B$51,0),NA())</f>
        <v>#N/A</v>
      </c>
      <c r="I58" t="e">
        <f>_xlfn.IFNA(51-MATCH(Songs!$A58,Data!C$2:C$51,0),NA())</f>
        <v>#N/A</v>
      </c>
      <c r="J58">
        <f>_xlfn.IFNA(51-MATCH(Songs!$A58,Data!D$2:D$51,0),NA())</f>
        <v>8</v>
      </c>
      <c r="K58" t="e">
        <f>_xlfn.IFNA(51-MATCH(Songs!$A58,Data!E$2:E$51,0),NA())</f>
        <v>#N/A</v>
      </c>
      <c r="L58" t="e">
        <f>_xlfn.IFNA(51-MATCH(Songs!$A58,Data!F$2:F$51,0),NA())</f>
        <v>#N/A</v>
      </c>
      <c r="M58" t="e">
        <f>_xlfn.IFNA(51-MATCH(Songs!$A58,Data!G$2:G$51,0),NA())</f>
        <v>#N/A</v>
      </c>
      <c r="N58" t="e">
        <f>_xlfn.IFNA(51-MATCH(Songs!$A58,Data!H$2:H$51,0),NA())</f>
        <v>#N/A</v>
      </c>
      <c r="O58" t="e">
        <f>_xlfn.IFNA(51-MATCH(Songs!$A58,Data!I$2:I$51,0),NA())</f>
        <v>#N/A</v>
      </c>
      <c r="P58" t="e">
        <f>_xlfn.IFNA(51-MATCH(Songs!$A58,Data!J$2:J$51,0),NA())</f>
        <v>#N/A</v>
      </c>
    </row>
    <row r="59" spans="1:16" ht="13.2" x14ac:dyDescent="0.25">
      <c r="A59" s="6" t="s">
        <v>17</v>
      </c>
      <c r="B59" s="6" t="s">
        <v>174</v>
      </c>
      <c r="C59" s="2"/>
      <c r="E59" s="2">
        <v>20</v>
      </c>
      <c r="F59" s="2">
        <f ca="1">COUNTIF(INDIRECT(_xlfn.CONCAT("Data!$B$2:", ADDRESS(51,COUNTA(Data!$1:$1)+1,1,1))), Songs!A59) + E59</f>
        <v>23</v>
      </c>
      <c r="G59" s="8"/>
      <c r="H59" t="e">
        <f>_xlfn.IFNA(51-MATCH(Songs!$A59,Data!B$2:B$51,0),NA())</f>
        <v>#N/A</v>
      </c>
      <c r="I59" t="e">
        <f>_xlfn.IFNA(51-MATCH(Songs!$A59,Data!C$2:C$51,0),NA())</f>
        <v>#N/A</v>
      </c>
      <c r="J59" t="e">
        <f>_xlfn.IFNA(51-MATCH(Songs!$A59,Data!D$2:D$51,0),NA())</f>
        <v>#N/A</v>
      </c>
      <c r="K59">
        <f>_xlfn.IFNA(51-MATCH(Songs!$A59,Data!E$2:E$51,0),NA())</f>
        <v>39</v>
      </c>
      <c r="L59">
        <f>_xlfn.IFNA(51-MATCH(Songs!$A59,Data!F$2:F$51,0),NA())</f>
        <v>36</v>
      </c>
      <c r="M59">
        <f>_xlfn.IFNA(51-MATCH(Songs!$A59,Data!G$2:G$51,0),NA())</f>
        <v>29</v>
      </c>
      <c r="N59" t="e">
        <f>_xlfn.IFNA(51-MATCH(Songs!$A59,Data!H$2:H$51,0),NA())</f>
        <v>#N/A</v>
      </c>
      <c r="O59" t="e">
        <f>_xlfn.IFNA(51-MATCH(Songs!$A59,Data!I$2:I$51,0),NA())</f>
        <v>#N/A</v>
      </c>
      <c r="P59" t="e">
        <f>_xlfn.IFNA(51-MATCH(Songs!$A59,Data!J$2:J$51,0),NA())</f>
        <v>#N/A</v>
      </c>
    </row>
    <row r="60" spans="1:16" ht="13.2" x14ac:dyDescent="0.25">
      <c r="A60" s="6" t="s">
        <v>22</v>
      </c>
      <c r="B60" s="6" t="s">
        <v>174</v>
      </c>
      <c r="C60" s="2"/>
      <c r="E60" s="2">
        <v>20</v>
      </c>
      <c r="F60" s="2">
        <f ca="1">COUNTIF(INDIRECT(_xlfn.CONCAT("Data!$B$2:", ADDRESS(51,COUNTA(Data!$1:$1)+1,1,1))), Songs!A60) + E60</f>
        <v>22</v>
      </c>
      <c r="G60" s="8"/>
      <c r="H60" t="e">
        <f>_xlfn.IFNA(51-MATCH(Songs!$A60,Data!B$2:B$51,0),NA())</f>
        <v>#N/A</v>
      </c>
      <c r="I60" t="e">
        <f>_xlfn.IFNA(51-MATCH(Songs!$A60,Data!C$2:C$51,0),NA())</f>
        <v>#N/A</v>
      </c>
      <c r="J60" t="e">
        <f>_xlfn.IFNA(51-MATCH(Songs!$A60,Data!D$2:D$51,0),NA())</f>
        <v>#N/A</v>
      </c>
      <c r="K60">
        <f>_xlfn.IFNA(51-MATCH(Songs!$A60,Data!E$2:E$51,0),NA())</f>
        <v>36</v>
      </c>
      <c r="L60">
        <f>_xlfn.IFNA(51-MATCH(Songs!$A60,Data!F$2:F$51,0),NA())</f>
        <v>27</v>
      </c>
      <c r="M60" t="e">
        <f>_xlfn.IFNA(51-MATCH(Songs!$A60,Data!G$2:G$51,0),NA())</f>
        <v>#N/A</v>
      </c>
      <c r="N60" t="e">
        <f>_xlfn.IFNA(51-MATCH(Songs!$A60,Data!H$2:H$51,0),NA())</f>
        <v>#N/A</v>
      </c>
      <c r="O60" t="e">
        <f>_xlfn.IFNA(51-MATCH(Songs!$A60,Data!I$2:I$51,0),NA())</f>
        <v>#N/A</v>
      </c>
      <c r="P60" t="e">
        <f>_xlfn.IFNA(51-MATCH(Songs!$A60,Data!J$2:J$51,0),NA())</f>
        <v>#N/A</v>
      </c>
    </row>
    <row r="61" spans="1:16" ht="13.2" x14ac:dyDescent="0.25">
      <c r="A61" s="6" t="s">
        <v>28</v>
      </c>
      <c r="B61" s="6" t="s">
        <v>174</v>
      </c>
      <c r="C61" s="2"/>
      <c r="E61" s="2">
        <v>22</v>
      </c>
      <c r="F61" s="2">
        <f ca="1">COUNTIF(INDIRECT(_xlfn.CONCAT("Data!$B$2:", ADDRESS(51,COUNTA(Data!$1:$1)+1,1,1))), Songs!A61) + E61</f>
        <v>23</v>
      </c>
      <c r="G61" s="8"/>
      <c r="H61" t="e">
        <f>_xlfn.IFNA(51-MATCH(Songs!$A61,Data!B$2:B$51,0),NA())</f>
        <v>#N/A</v>
      </c>
      <c r="I61" t="e">
        <f>_xlfn.IFNA(51-MATCH(Songs!$A61,Data!C$2:C$51,0),NA())</f>
        <v>#N/A</v>
      </c>
      <c r="J61" t="e">
        <f>_xlfn.IFNA(51-MATCH(Songs!$A61,Data!D$2:D$51,0),NA())</f>
        <v>#N/A</v>
      </c>
      <c r="K61">
        <f>_xlfn.IFNA(51-MATCH(Songs!$A61,Data!E$2:E$51,0),NA())</f>
        <v>32</v>
      </c>
      <c r="L61" t="e">
        <f>_xlfn.IFNA(51-MATCH(Songs!$A61,Data!F$2:F$51,0),NA())</f>
        <v>#N/A</v>
      </c>
      <c r="M61" t="e">
        <f>_xlfn.IFNA(51-MATCH(Songs!$A61,Data!G$2:G$51,0),NA())</f>
        <v>#N/A</v>
      </c>
      <c r="N61" t="e">
        <f>_xlfn.IFNA(51-MATCH(Songs!$A61,Data!H$2:H$51,0),NA())</f>
        <v>#N/A</v>
      </c>
      <c r="O61" t="e">
        <f>_xlfn.IFNA(51-MATCH(Songs!$A61,Data!I$2:I$51,0),NA())</f>
        <v>#N/A</v>
      </c>
      <c r="P61" t="e">
        <f>_xlfn.IFNA(51-MATCH(Songs!$A61,Data!J$2:J$51,0),NA())</f>
        <v>#N/A</v>
      </c>
    </row>
    <row r="62" spans="1:16" ht="13.2" x14ac:dyDescent="0.25">
      <c r="A62" s="6" t="s">
        <v>32</v>
      </c>
      <c r="B62" s="6" t="s">
        <v>174</v>
      </c>
      <c r="C62" s="2"/>
      <c r="E62" s="2">
        <v>21</v>
      </c>
      <c r="F62" s="2">
        <f ca="1">COUNTIF(INDIRECT(_xlfn.CONCAT("Data!$B$2:", ADDRESS(51,COUNTA(Data!$1:$1)+1,1,1))), Songs!A62) + E62</f>
        <v>22</v>
      </c>
      <c r="G62" s="8"/>
      <c r="H62" t="e">
        <f>_xlfn.IFNA(51-MATCH(Songs!$A62,Data!B$2:B$51,0),NA())</f>
        <v>#N/A</v>
      </c>
      <c r="I62" t="e">
        <f>_xlfn.IFNA(51-MATCH(Songs!$A62,Data!C$2:C$51,0),NA())</f>
        <v>#N/A</v>
      </c>
      <c r="J62" t="e">
        <f>_xlfn.IFNA(51-MATCH(Songs!$A62,Data!D$2:D$51,0),NA())</f>
        <v>#N/A</v>
      </c>
      <c r="K62">
        <f>_xlfn.IFNA(51-MATCH(Songs!$A62,Data!E$2:E$51,0),NA())</f>
        <v>29</v>
      </c>
      <c r="L62" t="e">
        <f>_xlfn.IFNA(51-MATCH(Songs!$A62,Data!F$2:F$51,0),NA())</f>
        <v>#N/A</v>
      </c>
      <c r="M62" t="e">
        <f>_xlfn.IFNA(51-MATCH(Songs!$A62,Data!G$2:G$51,0),NA())</f>
        <v>#N/A</v>
      </c>
      <c r="N62" t="e">
        <f>_xlfn.IFNA(51-MATCH(Songs!$A62,Data!H$2:H$51,0),NA())</f>
        <v>#N/A</v>
      </c>
      <c r="O62" t="e">
        <f>_xlfn.IFNA(51-MATCH(Songs!$A62,Data!I$2:I$51,0),NA())</f>
        <v>#N/A</v>
      </c>
      <c r="P62" t="e">
        <f>_xlfn.IFNA(51-MATCH(Songs!$A62,Data!J$2:J$51,0),NA())</f>
        <v>#N/A</v>
      </c>
    </row>
    <row r="63" spans="1:16" ht="13.2" x14ac:dyDescent="0.25">
      <c r="A63" s="6" t="s">
        <v>35</v>
      </c>
      <c r="B63" s="6" t="s">
        <v>174</v>
      </c>
      <c r="C63" s="2"/>
      <c r="E63" s="2">
        <v>42</v>
      </c>
      <c r="F63" s="2">
        <f ca="1">COUNTIF(INDIRECT(_xlfn.CONCAT("Data!$B$2:", ADDRESS(51,COUNTA(Data!$1:$1)+1,1,1))), Songs!A63) + E63</f>
        <v>43</v>
      </c>
      <c r="G63" s="8"/>
      <c r="H63" t="e">
        <f>_xlfn.IFNA(51-MATCH(Songs!$A63,Data!B$2:B$51,0),NA())</f>
        <v>#N/A</v>
      </c>
      <c r="I63" t="e">
        <f>_xlfn.IFNA(51-MATCH(Songs!$A63,Data!C$2:C$51,0),NA())</f>
        <v>#N/A</v>
      </c>
      <c r="J63" t="e">
        <f>_xlfn.IFNA(51-MATCH(Songs!$A63,Data!D$2:D$51,0),NA())</f>
        <v>#N/A</v>
      </c>
      <c r="K63">
        <f>_xlfn.IFNA(51-MATCH(Songs!$A63,Data!E$2:E$51,0),NA())</f>
        <v>28</v>
      </c>
      <c r="L63" t="e">
        <f>_xlfn.IFNA(51-MATCH(Songs!$A63,Data!F$2:F$51,0),NA())</f>
        <v>#N/A</v>
      </c>
      <c r="M63" t="e">
        <f>_xlfn.IFNA(51-MATCH(Songs!$A63,Data!G$2:G$51,0),NA())</f>
        <v>#N/A</v>
      </c>
      <c r="N63" t="e">
        <f>_xlfn.IFNA(51-MATCH(Songs!$A63,Data!H$2:H$51,0),NA())</f>
        <v>#N/A</v>
      </c>
      <c r="O63" t="e">
        <f>_xlfn.IFNA(51-MATCH(Songs!$A63,Data!I$2:I$51,0),NA())</f>
        <v>#N/A</v>
      </c>
      <c r="P63" t="e">
        <f>_xlfn.IFNA(51-MATCH(Songs!$A63,Data!J$2:J$51,0),NA())</f>
        <v>#N/A</v>
      </c>
    </row>
    <row r="64" spans="1:16" ht="13.2" x14ac:dyDescent="0.25">
      <c r="A64" s="6" t="s">
        <v>61</v>
      </c>
      <c r="B64" s="6" t="s">
        <v>81</v>
      </c>
      <c r="C64" s="2"/>
      <c r="E64" s="2">
        <v>0</v>
      </c>
      <c r="F64" s="2">
        <f ca="1">COUNTIF(INDIRECT(_xlfn.CONCAT("Data!$B$2:", ADDRESS(51,COUNTA(Data!$1:$1)+1,1,1))), Songs!A64) + E64</f>
        <v>2</v>
      </c>
      <c r="G64" s="8"/>
      <c r="H64" t="e">
        <f>_xlfn.IFNA(51-MATCH(Songs!$A64,Data!B$2:B$51,0),NA())</f>
        <v>#N/A</v>
      </c>
      <c r="I64" t="e">
        <f>_xlfn.IFNA(51-MATCH(Songs!$A64,Data!C$2:C$51,0),NA())</f>
        <v>#N/A</v>
      </c>
      <c r="J64" t="e">
        <f>_xlfn.IFNA(51-MATCH(Songs!$A64,Data!D$2:D$51,0),NA())</f>
        <v>#N/A</v>
      </c>
      <c r="K64">
        <f>_xlfn.IFNA(51-MATCH(Songs!$A64,Data!E$2:E$51,0),NA())</f>
        <v>10</v>
      </c>
      <c r="L64">
        <f>_xlfn.IFNA(51-MATCH(Songs!$A64,Data!F$2:F$51,0),NA())</f>
        <v>5</v>
      </c>
      <c r="M64" t="e">
        <f>_xlfn.IFNA(51-MATCH(Songs!$A64,Data!G$2:G$51,0),NA())</f>
        <v>#N/A</v>
      </c>
      <c r="N64" t="e">
        <f>_xlfn.IFNA(51-MATCH(Songs!$A64,Data!H$2:H$51,0),NA())</f>
        <v>#N/A</v>
      </c>
      <c r="O64" t="e">
        <f>_xlfn.IFNA(51-MATCH(Songs!$A64,Data!I$2:I$51,0),NA())</f>
        <v>#N/A</v>
      </c>
      <c r="P64" t="e">
        <f>_xlfn.IFNA(51-MATCH(Songs!$A64,Data!J$2:J$51,0),NA())</f>
        <v>#N/A</v>
      </c>
    </row>
    <row r="65" spans="1:16" ht="13.2" x14ac:dyDescent="0.25">
      <c r="A65" s="2" t="s">
        <v>1</v>
      </c>
      <c r="B65" s="2" t="s">
        <v>126</v>
      </c>
      <c r="E65" s="2">
        <v>0</v>
      </c>
      <c r="F65" s="2">
        <f ca="1">COUNTIF(INDIRECT(_xlfn.CONCAT("Data!$B$2:", ADDRESS(51,COUNTA(Data!$1:$1)+1,1,1))), Songs!A65) + E65</f>
        <v>5</v>
      </c>
      <c r="G65" s="8"/>
      <c r="H65" t="e">
        <f>_xlfn.IFNA(51-MATCH(Songs!$A65,Data!B$2:B$51,0),NA())</f>
        <v>#N/A</v>
      </c>
      <c r="I65" t="e">
        <f>_xlfn.IFNA(51-MATCH(Songs!$A65,Data!C$2:C$51,0),NA())</f>
        <v>#N/A</v>
      </c>
      <c r="J65" t="e">
        <f>_xlfn.IFNA(51-MATCH(Songs!$A65,Data!D$2:D$51,0),NA())</f>
        <v>#N/A</v>
      </c>
      <c r="K65" t="e">
        <f>_xlfn.IFNA(51-MATCH(Songs!$A65,Data!E$2:E$51,0),NA())</f>
        <v>#N/A</v>
      </c>
      <c r="L65">
        <f>_xlfn.IFNA(51-MATCH(Songs!$A65,Data!F$2:F$51,0),NA())</f>
        <v>50</v>
      </c>
      <c r="M65">
        <f>_xlfn.IFNA(51-MATCH(Songs!$A65,Data!G$2:G$51,0),NA())</f>
        <v>50</v>
      </c>
      <c r="N65">
        <f>_xlfn.IFNA(51-MATCH(Songs!$A65,Data!H$2:H$51,0),NA())</f>
        <v>50</v>
      </c>
      <c r="O65">
        <f>_xlfn.IFNA(51-MATCH(Songs!$A65,Data!I$2:I$51,0),NA())</f>
        <v>50</v>
      </c>
      <c r="P65">
        <f>_xlfn.IFNA(51-MATCH(Songs!$A65,Data!J$2:J$51,0),NA())</f>
        <v>50</v>
      </c>
    </row>
    <row r="66" spans="1:16" ht="13.2" x14ac:dyDescent="0.25">
      <c r="A66" s="2" t="s">
        <v>14</v>
      </c>
      <c r="B66" s="2" t="s">
        <v>126</v>
      </c>
      <c r="E66" s="2">
        <v>0</v>
      </c>
      <c r="F66" s="2">
        <f ca="1">COUNTIF(INDIRECT(_xlfn.CONCAT("Data!$B$2:", ADDRESS(51,COUNTA(Data!$1:$1)+1,1,1))), Songs!A66) + E66</f>
        <v>5</v>
      </c>
      <c r="G66" s="8"/>
      <c r="H66" t="e">
        <f>_xlfn.IFNA(51-MATCH(Songs!$A66,Data!B$2:B$51,0),NA())</f>
        <v>#N/A</v>
      </c>
      <c r="I66" t="e">
        <f>_xlfn.IFNA(51-MATCH(Songs!$A66,Data!C$2:C$51,0),NA())</f>
        <v>#N/A</v>
      </c>
      <c r="J66" t="e">
        <f>_xlfn.IFNA(51-MATCH(Songs!$A66,Data!D$2:D$51,0),NA())</f>
        <v>#N/A</v>
      </c>
      <c r="K66" t="e">
        <f>_xlfn.IFNA(51-MATCH(Songs!$A66,Data!E$2:E$51,0),NA())</f>
        <v>#N/A</v>
      </c>
      <c r="L66">
        <f>_xlfn.IFNA(51-MATCH(Songs!$A66,Data!F$2:F$51,0),NA())</f>
        <v>42</v>
      </c>
      <c r="M66">
        <f>_xlfn.IFNA(51-MATCH(Songs!$A66,Data!G$2:G$51,0),NA())</f>
        <v>38</v>
      </c>
      <c r="N66">
        <f>_xlfn.IFNA(51-MATCH(Songs!$A66,Data!H$2:H$51,0),NA())</f>
        <v>30</v>
      </c>
      <c r="O66">
        <f>_xlfn.IFNA(51-MATCH(Songs!$A66,Data!I$2:I$51,0),NA())</f>
        <v>28</v>
      </c>
      <c r="P66">
        <f>_xlfn.IFNA(51-MATCH(Songs!$A66,Data!J$2:J$51,0),NA())</f>
        <v>9</v>
      </c>
    </row>
    <row r="67" spans="1:16" ht="13.2" x14ac:dyDescent="0.25">
      <c r="A67" s="2" t="s">
        <v>39</v>
      </c>
      <c r="B67" s="2" t="s">
        <v>75</v>
      </c>
      <c r="E67" s="2">
        <v>0</v>
      </c>
      <c r="F67" s="2">
        <f ca="1">COUNTIF(INDIRECT(_xlfn.CONCAT("Data!$B$2:", ADDRESS(51,COUNTA(Data!$1:$1)+1,1,1))), Songs!A67) + E67</f>
        <v>5</v>
      </c>
      <c r="G67" s="8"/>
      <c r="H67" t="e">
        <f>_xlfn.IFNA(51-MATCH(Songs!$A67,Data!B$2:B$51,0),NA())</f>
        <v>#N/A</v>
      </c>
      <c r="I67" t="e">
        <f>_xlfn.IFNA(51-MATCH(Songs!$A67,Data!C$2:C$51,0),NA())</f>
        <v>#N/A</v>
      </c>
      <c r="J67" t="e">
        <f>_xlfn.IFNA(51-MATCH(Songs!$A67,Data!D$2:D$51,0),NA())</f>
        <v>#N/A</v>
      </c>
      <c r="K67" t="e">
        <f>_xlfn.IFNA(51-MATCH(Songs!$A67,Data!E$2:E$51,0),NA())</f>
        <v>#N/A</v>
      </c>
      <c r="L67">
        <f>_xlfn.IFNA(51-MATCH(Songs!$A67,Data!F$2:F$51,0),NA())</f>
        <v>25</v>
      </c>
      <c r="M67">
        <f>_xlfn.IFNA(51-MATCH(Songs!$A67,Data!G$2:G$51,0),NA())</f>
        <v>20</v>
      </c>
      <c r="N67">
        <f>_xlfn.IFNA(51-MATCH(Songs!$A67,Data!H$2:H$51,0),NA())</f>
        <v>20</v>
      </c>
      <c r="O67">
        <f>_xlfn.IFNA(51-MATCH(Songs!$A67,Data!I$2:I$51,0),NA())</f>
        <v>19</v>
      </c>
      <c r="P67">
        <f>_xlfn.IFNA(51-MATCH(Songs!$A67,Data!J$2:J$51,0),NA())</f>
        <v>14</v>
      </c>
    </row>
    <row r="68" spans="1:16" ht="13.2" x14ac:dyDescent="0.25">
      <c r="A68" s="2" t="s">
        <v>43</v>
      </c>
      <c r="B68" s="2" t="s">
        <v>79</v>
      </c>
      <c r="E68" s="2">
        <v>0</v>
      </c>
      <c r="F68" s="2">
        <f ca="1">COUNTIF(INDIRECT(_xlfn.CONCAT("Data!$B$2:", ADDRESS(51,COUNTA(Data!$1:$1)+1,1,1))), Songs!A68) + E68</f>
        <v>5</v>
      </c>
      <c r="G68" s="8"/>
      <c r="H68" t="e">
        <f>_xlfn.IFNA(51-MATCH(Songs!$A68,Data!B$2:B$51,0),NA())</f>
        <v>#N/A</v>
      </c>
      <c r="I68" t="e">
        <f>_xlfn.IFNA(51-MATCH(Songs!$A68,Data!C$2:C$51,0),NA())</f>
        <v>#N/A</v>
      </c>
      <c r="J68" t="e">
        <f>_xlfn.IFNA(51-MATCH(Songs!$A68,Data!D$2:D$51,0),NA())</f>
        <v>#N/A</v>
      </c>
      <c r="K68" t="e">
        <f>_xlfn.IFNA(51-MATCH(Songs!$A68,Data!E$2:E$51,0),NA())</f>
        <v>#N/A</v>
      </c>
      <c r="L68">
        <f>_xlfn.IFNA(51-MATCH(Songs!$A68,Data!F$2:F$51,0),NA())</f>
        <v>21</v>
      </c>
      <c r="M68">
        <f>_xlfn.IFNA(51-MATCH(Songs!$A68,Data!G$2:G$51,0),NA())</f>
        <v>22</v>
      </c>
      <c r="N68">
        <f>_xlfn.IFNA(51-MATCH(Songs!$A68,Data!H$2:H$51,0),NA())</f>
        <v>24</v>
      </c>
      <c r="O68">
        <f>_xlfn.IFNA(51-MATCH(Songs!$A68,Data!I$2:I$51,0),NA())</f>
        <v>22</v>
      </c>
      <c r="P68">
        <f>_xlfn.IFNA(51-MATCH(Songs!$A68,Data!J$2:J$51,0),NA())</f>
        <v>16</v>
      </c>
    </row>
    <row r="69" spans="1:16" ht="13.2" x14ac:dyDescent="0.25">
      <c r="A69" s="2" t="s">
        <v>59</v>
      </c>
      <c r="B69" s="2" t="s">
        <v>127</v>
      </c>
      <c r="C69" s="2" t="s">
        <v>128</v>
      </c>
      <c r="E69" s="2">
        <v>0</v>
      </c>
      <c r="F69" s="2">
        <f ca="1">COUNTIF(INDIRECT(_xlfn.CONCAT("Data!$B$2:", ADDRESS(51,COUNTA(Data!$1:$1)+1,1,1))), Songs!A69) + E69</f>
        <v>1</v>
      </c>
      <c r="G69" s="8"/>
      <c r="H69" t="e">
        <f>_xlfn.IFNA(51-MATCH(Songs!$A69,Data!B$2:B$51,0),NA())</f>
        <v>#N/A</v>
      </c>
      <c r="I69" t="e">
        <f>_xlfn.IFNA(51-MATCH(Songs!$A69,Data!C$2:C$51,0),NA())</f>
        <v>#N/A</v>
      </c>
      <c r="J69" t="e">
        <f>_xlfn.IFNA(51-MATCH(Songs!$A69,Data!D$2:D$51,0),NA())</f>
        <v>#N/A</v>
      </c>
      <c r="K69" t="e">
        <f>_xlfn.IFNA(51-MATCH(Songs!$A69,Data!E$2:E$51,0),NA())</f>
        <v>#N/A</v>
      </c>
      <c r="L69">
        <f>_xlfn.IFNA(51-MATCH(Songs!$A69,Data!F$2:F$51,0),NA())</f>
        <v>11</v>
      </c>
      <c r="M69" t="e">
        <f>_xlfn.IFNA(51-MATCH(Songs!$A69,Data!G$2:G$51,0),NA())</f>
        <v>#N/A</v>
      </c>
      <c r="N69" t="e">
        <f>_xlfn.IFNA(51-MATCH(Songs!$A69,Data!H$2:H$51,0),NA())</f>
        <v>#N/A</v>
      </c>
      <c r="O69" t="e">
        <f>_xlfn.IFNA(51-MATCH(Songs!$A69,Data!I$2:I$51,0),NA())</f>
        <v>#N/A</v>
      </c>
      <c r="P69" t="e">
        <f>_xlfn.IFNA(51-MATCH(Songs!$A69,Data!J$2:J$51,0),NA())</f>
        <v>#N/A</v>
      </c>
    </row>
    <row r="70" spans="1:16" ht="15.75" customHeight="1" x14ac:dyDescent="0.25">
      <c r="A70" s="6" t="s">
        <v>134</v>
      </c>
      <c r="B70" s="6" t="s">
        <v>136</v>
      </c>
      <c r="E70" s="6">
        <v>1</v>
      </c>
      <c r="F70" s="2">
        <f ca="1">COUNTIF(INDIRECT(_xlfn.CONCAT("Data!$B$2:", ADDRESS(51,COUNTA(Data!$1:$1)+1,1,1))), Songs!A70) + E70</f>
        <v>5</v>
      </c>
      <c r="G70" s="8"/>
      <c r="H70" t="e">
        <f>_xlfn.IFNA(51-MATCH(Songs!$A70,Data!B$2:B$51,0),NA())</f>
        <v>#N/A</v>
      </c>
      <c r="I70" t="e">
        <f>_xlfn.IFNA(51-MATCH(Songs!$A70,Data!C$2:C$51,0),NA())</f>
        <v>#N/A</v>
      </c>
      <c r="J70" t="e">
        <f>_xlfn.IFNA(51-MATCH(Songs!$A70,Data!D$2:D$51,0),NA())</f>
        <v>#N/A</v>
      </c>
      <c r="K70" t="e">
        <f>_xlfn.IFNA(51-MATCH(Songs!$A70,Data!E$2:E$51,0),NA())</f>
        <v>#N/A</v>
      </c>
      <c r="L70" t="e">
        <f>_xlfn.IFNA(51-MATCH(Songs!$A70,Data!F$2:F$51,0),NA())</f>
        <v>#N/A</v>
      </c>
      <c r="M70">
        <f>_xlfn.IFNA(51-MATCH(Songs!$A70,Data!G$2:G$51,0),NA())</f>
        <v>9</v>
      </c>
      <c r="N70">
        <f>_xlfn.IFNA(51-MATCH(Songs!$A70,Data!H$2:H$51,0),NA())</f>
        <v>17</v>
      </c>
      <c r="O70">
        <f>_xlfn.IFNA(51-MATCH(Songs!$A70,Data!I$2:I$51,0),NA())</f>
        <v>12</v>
      </c>
      <c r="P70">
        <f>_xlfn.IFNA(51-MATCH(Songs!$A70,Data!J$2:J$51,0),NA())</f>
        <v>15</v>
      </c>
    </row>
    <row r="71" spans="1:16" ht="15.75" customHeight="1" x14ac:dyDescent="0.25">
      <c r="A71" s="6" t="s">
        <v>135</v>
      </c>
      <c r="B71" s="6" t="s">
        <v>137</v>
      </c>
      <c r="D71" s="8" t="s">
        <v>80</v>
      </c>
      <c r="E71" s="6">
        <v>1</v>
      </c>
      <c r="F71" s="2">
        <f ca="1">COUNTIF(INDIRECT(_xlfn.CONCAT("Data!$B$2:", ADDRESS(51,COUNTA(Data!$1:$1)+1,1,1))), Songs!A71) + E71</f>
        <v>3</v>
      </c>
      <c r="G71" s="8"/>
      <c r="H71" t="e">
        <f>_xlfn.IFNA(51-MATCH(Songs!$A71,Data!B$2:B$51,0),NA())</f>
        <v>#N/A</v>
      </c>
      <c r="I71" t="e">
        <f>_xlfn.IFNA(51-MATCH(Songs!$A71,Data!C$2:C$51,0),NA())</f>
        <v>#N/A</v>
      </c>
      <c r="J71" t="e">
        <f>_xlfn.IFNA(51-MATCH(Songs!$A71,Data!D$2:D$51,0),NA())</f>
        <v>#N/A</v>
      </c>
      <c r="K71" t="e">
        <f>_xlfn.IFNA(51-MATCH(Songs!$A71,Data!E$2:E$51,0),NA())</f>
        <v>#N/A</v>
      </c>
      <c r="L71" t="e">
        <f>_xlfn.IFNA(51-MATCH(Songs!$A71,Data!F$2:F$51,0),NA())</f>
        <v>#N/A</v>
      </c>
      <c r="M71">
        <f>_xlfn.IFNA(51-MATCH(Songs!$A71,Data!G$2:G$51,0),NA())</f>
        <v>1</v>
      </c>
      <c r="N71" t="e">
        <f>_xlfn.IFNA(51-MATCH(Songs!$A71,Data!H$2:H$51,0),NA())</f>
        <v>#N/A</v>
      </c>
      <c r="O71" t="e">
        <f>_xlfn.IFNA(51-MATCH(Songs!$A71,Data!I$2:I$51,0),NA())</f>
        <v>#N/A</v>
      </c>
      <c r="P71">
        <f>_xlfn.IFNA(51-MATCH(Songs!$A71,Data!J$2:J$51,0),NA())</f>
        <v>3</v>
      </c>
    </row>
    <row r="72" spans="1:16" ht="15.75" customHeight="1" x14ac:dyDescent="0.25">
      <c r="A72" s="6" t="s">
        <v>142</v>
      </c>
      <c r="B72" s="6" t="s">
        <v>148</v>
      </c>
      <c r="E72" s="6">
        <v>0</v>
      </c>
      <c r="F72" s="2">
        <f ca="1">COUNTIF(INDIRECT(_xlfn.CONCAT("Data!$B$2:", ADDRESS(51,COUNTA(Data!$1:$1)+1,1,1))), Songs!A72) + E72</f>
        <v>3</v>
      </c>
      <c r="G72" s="8"/>
      <c r="H72" t="e">
        <f>_xlfn.IFNA(51-MATCH(Songs!$A72,Data!B$2:B$51,0),NA())</f>
        <v>#N/A</v>
      </c>
      <c r="I72" t="e">
        <f>_xlfn.IFNA(51-MATCH(Songs!$A72,Data!C$2:C$51,0),NA())</f>
        <v>#N/A</v>
      </c>
      <c r="J72" t="e">
        <f>_xlfn.IFNA(51-MATCH(Songs!$A72,Data!D$2:D$51,0),NA())</f>
        <v>#N/A</v>
      </c>
      <c r="K72" t="e">
        <f>_xlfn.IFNA(51-MATCH(Songs!$A72,Data!E$2:E$51,0),NA())</f>
        <v>#N/A</v>
      </c>
      <c r="L72" t="e">
        <f>_xlfn.IFNA(51-MATCH(Songs!$A72,Data!F$2:F$51,0),NA())</f>
        <v>#N/A</v>
      </c>
      <c r="M72" t="e">
        <f>_xlfn.IFNA(51-MATCH(Songs!$A72,Data!G$2:G$51,0),NA())</f>
        <v>#N/A</v>
      </c>
      <c r="N72">
        <f>_xlfn.IFNA(51-MATCH(Songs!$A72,Data!H$2:H$51,0),NA())</f>
        <v>38</v>
      </c>
      <c r="O72">
        <f>_xlfn.IFNA(51-MATCH(Songs!$A72,Data!I$2:I$51,0),NA())</f>
        <v>33</v>
      </c>
      <c r="P72">
        <f>_xlfn.IFNA(51-MATCH(Songs!$A72,Data!J$2:J$51,0),NA())</f>
        <v>32</v>
      </c>
    </row>
    <row r="73" spans="1:16" ht="15.75" customHeight="1" x14ac:dyDescent="0.25">
      <c r="A73" s="6" t="s">
        <v>143</v>
      </c>
      <c r="B73" s="6" t="s">
        <v>149</v>
      </c>
      <c r="E73" s="6">
        <v>0</v>
      </c>
      <c r="F73" s="2">
        <f ca="1">COUNTIF(INDIRECT(_xlfn.CONCAT("Data!$B$2:", ADDRESS(51,COUNTA(Data!$1:$1)+1,1,1))), Songs!A73) + E73</f>
        <v>3</v>
      </c>
      <c r="G73" s="8"/>
      <c r="H73" t="e">
        <f>_xlfn.IFNA(51-MATCH(Songs!$A73,Data!B$2:B$51,0),NA())</f>
        <v>#N/A</v>
      </c>
      <c r="I73" t="e">
        <f>_xlfn.IFNA(51-MATCH(Songs!$A73,Data!C$2:C$51,0),NA())</f>
        <v>#N/A</v>
      </c>
      <c r="J73" t="e">
        <f>_xlfn.IFNA(51-MATCH(Songs!$A73,Data!D$2:D$51,0),NA())</f>
        <v>#N/A</v>
      </c>
      <c r="K73" t="e">
        <f>_xlfn.IFNA(51-MATCH(Songs!$A73,Data!E$2:E$51,0),NA())</f>
        <v>#N/A</v>
      </c>
      <c r="L73" t="e">
        <f>_xlfn.IFNA(51-MATCH(Songs!$A73,Data!F$2:F$51,0),NA())</f>
        <v>#N/A</v>
      </c>
      <c r="M73" t="e">
        <f>_xlfn.IFNA(51-MATCH(Songs!$A73,Data!G$2:G$51,0),NA())</f>
        <v>#N/A</v>
      </c>
      <c r="N73">
        <f>_xlfn.IFNA(51-MATCH(Songs!$A73,Data!H$2:H$51,0),NA())</f>
        <v>29</v>
      </c>
      <c r="O73">
        <f>_xlfn.IFNA(51-MATCH(Songs!$A73,Data!I$2:I$51,0),NA())</f>
        <v>26</v>
      </c>
      <c r="P73">
        <f>_xlfn.IFNA(51-MATCH(Songs!$A73,Data!J$2:J$51,0),NA())</f>
        <v>20</v>
      </c>
    </row>
    <row r="74" spans="1:16" ht="15.75" customHeight="1" x14ac:dyDescent="0.25">
      <c r="A74" s="6" t="s">
        <v>146</v>
      </c>
      <c r="B74" s="6" t="s">
        <v>150</v>
      </c>
      <c r="E74" s="6">
        <v>0</v>
      </c>
      <c r="F74" s="2">
        <f ca="1">COUNTIF(INDIRECT(_xlfn.CONCAT("Data!$B$2:", ADDRESS(51,COUNTA(Data!$1:$1)+1,1,1))), Songs!A74) + E74</f>
        <v>1</v>
      </c>
      <c r="G74" s="8"/>
      <c r="H74" t="e">
        <f>_xlfn.IFNA(51-MATCH(Songs!$A74,Data!B$2:B$51,0),NA())</f>
        <v>#N/A</v>
      </c>
      <c r="I74" t="e">
        <f>_xlfn.IFNA(51-MATCH(Songs!$A74,Data!C$2:C$51,0),NA())</f>
        <v>#N/A</v>
      </c>
      <c r="J74" t="e">
        <f>_xlfn.IFNA(51-MATCH(Songs!$A74,Data!D$2:D$51,0),NA())</f>
        <v>#N/A</v>
      </c>
      <c r="K74" t="e">
        <f>_xlfn.IFNA(51-MATCH(Songs!$A74,Data!E$2:E$51,0),NA())</f>
        <v>#N/A</v>
      </c>
      <c r="L74" t="e">
        <f>_xlfn.IFNA(51-MATCH(Songs!$A74,Data!F$2:F$51,0),NA())</f>
        <v>#N/A</v>
      </c>
      <c r="M74" t="e">
        <f>_xlfn.IFNA(51-MATCH(Songs!$A74,Data!G$2:G$51,0),NA())</f>
        <v>#N/A</v>
      </c>
      <c r="N74">
        <f>_xlfn.IFNA(51-MATCH(Songs!$A74,Data!H$2:H$51,0),NA())</f>
        <v>2</v>
      </c>
      <c r="O74" t="e">
        <f>_xlfn.IFNA(51-MATCH(Songs!$A74,Data!I$2:I$51,0),NA())</f>
        <v>#N/A</v>
      </c>
      <c r="P74" t="e">
        <f>_xlfn.IFNA(51-MATCH(Songs!$A74,Data!J$2:J$51,0),NA())</f>
        <v>#N/A</v>
      </c>
    </row>
    <row r="75" spans="1:16" ht="15.75" customHeight="1" x14ac:dyDescent="0.25">
      <c r="A75" s="6" t="s">
        <v>151</v>
      </c>
      <c r="B75" s="6" t="s">
        <v>155</v>
      </c>
      <c r="E75" s="6">
        <v>0</v>
      </c>
      <c r="F75" s="2">
        <f ca="1">COUNTIF(INDIRECT(_xlfn.CONCAT("Data!$B$2:", ADDRESS(51,COUNTA(Data!$1:$1)+1,1,1))), Songs!A75) + E75</f>
        <v>2</v>
      </c>
      <c r="G75" s="8"/>
      <c r="H75" t="e">
        <f>_xlfn.IFNA(51-MATCH(Songs!$A75,Data!B$2:B$51,0),NA())</f>
        <v>#N/A</v>
      </c>
      <c r="I75" t="e">
        <f>_xlfn.IFNA(51-MATCH(Songs!$A75,Data!C$2:C$51,0),NA())</f>
        <v>#N/A</v>
      </c>
      <c r="J75" t="e">
        <f>_xlfn.IFNA(51-MATCH(Songs!$A75,Data!D$2:D$51,0),NA())</f>
        <v>#N/A</v>
      </c>
      <c r="K75" t="e">
        <f>_xlfn.IFNA(51-MATCH(Songs!$A75,Data!E$2:E$51,0),NA())</f>
        <v>#N/A</v>
      </c>
      <c r="L75" t="e">
        <f>_xlfn.IFNA(51-MATCH(Songs!$A75,Data!F$2:F$51,0),NA())</f>
        <v>#N/A</v>
      </c>
      <c r="M75" t="e">
        <f>_xlfn.IFNA(51-MATCH(Songs!$A75,Data!G$2:G$51,0),NA())</f>
        <v>#N/A</v>
      </c>
      <c r="N75" t="e">
        <f>_xlfn.IFNA(51-MATCH(Songs!$A75,Data!H$2:H$51,0),NA())</f>
        <v>#N/A</v>
      </c>
      <c r="O75">
        <f>_xlfn.IFNA(51-MATCH(Songs!$A75,Data!I$2:I$51,0),NA())</f>
        <v>20</v>
      </c>
      <c r="P75">
        <f>_xlfn.IFNA(51-MATCH(Songs!$A75,Data!J$2:J$51,0),NA())</f>
        <v>34</v>
      </c>
    </row>
    <row r="76" spans="1:16" ht="15.75" customHeight="1" x14ac:dyDescent="0.25">
      <c r="A76" s="6" t="s">
        <v>152</v>
      </c>
      <c r="B76" s="6" t="s">
        <v>156</v>
      </c>
      <c r="E76" s="6">
        <v>0</v>
      </c>
      <c r="F76" s="2">
        <f ca="1">COUNTIF(INDIRECT(_xlfn.CONCAT("Data!$B$2:", ADDRESS(51,COUNTA(Data!$1:$1)+1,1,1))), Songs!A76) + E76</f>
        <v>1</v>
      </c>
      <c r="G76" s="8"/>
      <c r="H76" t="e">
        <f>_xlfn.IFNA(51-MATCH(Songs!$A76,Data!B$2:B$51,0),NA())</f>
        <v>#N/A</v>
      </c>
      <c r="I76" t="e">
        <f>_xlfn.IFNA(51-MATCH(Songs!$A76,Data!C$2:C$51,0),NA())</f>
        <v>#N/A</v>
      </c>
      <c r="J76" t="e">
        <f>_xlfn.IFNA(51-MATCH(Songs!$A76,Data!D$2:D$51,0),NA())</f>
        <v>#N/A</v>
      </c>
      <c r="K76" t="e">
        <f>_xlfn.IFNA(51-MATCH(Songs!$A76,Data!E$2:E$51,0),NA())</f>
        <v>#N/A</v>
      </c>
      <c r="L76" t="e">
        <f>_xlfn.IFNA(51-MATCH(Songs!$A76,Data!F$2:F$51,0),NA())</f>
        <v>#N/A</v>
      </c>
      <c r="M76" t="e">
        <f>_xlfn.IFNA(51-MATCH(Songs!$A76,Data!G$2:G$51,0),NA())</f>
        <v>#N/A</v>
      </c>
      <c r="N76" t="e">
        <f>_xlfn.IFNA(51-MATCH(Songs!$A76,Data!H$2:H$51,0),NA())</f>
        <v>#N/A</v>
      </c>
      <c r="O76">
        <f>_xlfn.IFNA(51-MATCH(Songs!$A76,Data!I$2:I$51,0),NA())</f>
        <v>11</v>
      </c>
      <c r="P76" t="e">
        <f>_xlfn.IFNA(51-MATCH(Songs!$A76,Data!J$2:J$51,0),NA())</f>
        <v>#N/A</v>
      </c>
    </row>
    <row r="77" spans="1:16" ht="15.75" customHeight="1" x14ac:dyDescent="0.25">
      <c r="A77" s="6" t="s">
        <v>153</v>
      </c>
      <c r="B77" s="6" t="s">
        <v>157</v>
      </c>
      <c r="E77" s="6">
        <v>0</v>
      </c>
      <c r="F77" s="2">
        <f ca="1">COUNTIF(INDIRECT(_xlfn.CONCAT("Data!$B$2:", ADDRESS(51,COUNTA(Data!$1:$1)+1,1,1))), Songs!A77) + E77</f>
        <v>1</v>
      </c>
      <c r="G77" s="8"/>
      <c r="H77" t="e">
        <f>_xlfn.IFNA(51-MATCH(Songs!$A77,Data!B$2:B$51,0),NA())</f>
        <v>#N/A</v>
      </c>
      <c r="I77" t="e">
        <f>_xlfn.IFNA(51-MATCH(Songs!$A77,Data!C$2:C$51,0),NA())</f>
        <v>#N/A</v>
      </c>
      <c r="J77" t="e">
        <f>_xlfn.IFNA(51-MATCH(Songs!$A77,Data!D$2:D$51,0),NA())</f>
        <v>#N/A</v>
      </c>
      <c r="K77" t="e">
        <f>_xlfn.IFNA(51-MATCH(Songs!$A77,Data!E$2:E$51,0),NA())</f>
        <v>#N/A</v>
      </c>
      <c r="L77" t="e">
        <f>_xlfn.IFNA(51-MATCH(Songs!$A77,Data!F$2:F$51,0),NA())</f>
        <v>#N/A</v>
      </c>
      <c r="M77" t="e">
        <f>_xlfn.IFNA(51-MATCH(Songs!$A77,Data!G$2:G$51,0),NA())</f>
        <v>#N/A</v>
      </c>
      <c r="N77" t="e">
        <f>_xlfn.IFNA(51-MATCH(Songs!$A77,Data!H$2:H$51,0),NA())</f>
        <v>#N/A</v>
      </c>
      <c r="O77">
        <f>_xlfn.IFNA(51-MATCH(Songs!$A77,Data!I$2:I$51,0),NA())</f>
        <v>10</v>
      </c>
      <c r="P77" t="e">
        <f>_xlfn.IFNA(51-MATCH(Songs!$A77,Data!J$2:J$51,0),NA())</f>
        <v>#N/A</v>
      </c>
    </row>
    <row r="78" spans="1:16" ht="15.75" customHeight="1" x14ac:dyDescent="0.25">
      <c r="A78" s="6" t="s">
        <v>154</v>
      </c>
      <c r="B78" s="6" t="s">
        <v>158</v>
      </c>
      <c r="C78" t="s">
        <v>159</v>
      </c>
      <c r="E78" s="6">
        <v>0</v>
      </c>
      <c r="F78" s="2">
        <f ca="1">COUNTIF(INDIRECT(_xlfn.CONCAT("Data!$B$2:", ADDRESS(51,COUNTA(Data!$1:$1)+1,1,1))), Songs!A78) + E78</f>
        <v>1</v>
      </c>
      <c r="G78" s="8"/>
      <c r="H78" t="e">
        <f>_xlfn.IFNA(51-MATCH(Songs!$A78,Data!B$2:B$51,0),NA())</f>
        <v>#N/A</v>
      </c>
      <c r="I78" t="e">
        <f>_xlfn.IFNA(51-MATCH(Songs!$A78,Data!C$2:C$51,0),NA())</f>
        <v>#N/A</v>
      </c>
      <c r="J78" t="e">
        <f>_xlfn.IFNA(51-MATCH(Songs!$A78,Data!D$2:D$51,0),NA())</f>
        <v>#N/A</v>
      </c>
      <c r="K78" t="e">
        <f>_xlfn.IFNA(51-MATCH(Songs!$A78,Data!E$2:E$51,0),NA())</f>
        <v>#N/A</v>
      </c>
      <c r="L78" t="e">
        <f>_xlfn.IFNA(51-MATCH(Songs!$A78,Data!F$2:F$51,0),NA())</f>
        <v>#N/A</v>
      </c>
      <c r="M78" t="e">
        <f>_xlfn.IFNA(51-MATCH(Songs!$A78,Data!G$2:G$51,0),NA())</f>
        <v>#N/A</v>
      </c>
      <c r="N78" t="e">
        <f>_xlfn.IFNA(51-MATCH(Songs!$A78,Data!H$2:H$51,0),NA())</f>
        <v>#N/A</v>
      </c>
      <c r="O78">
        <f>_xlfn.IFNA(51-MATCH(Songs!$A78,Data!I$2:I$51,0),NA())</f>
        <v>3</v>
      </c>
      <c r="P78" t="e">
        <f>_xlfn.IFNA(51-MATCH(Songs!$A78,Data!J$2:J$51,0),NA())</f>
        <v>#N/A</v>
      </c>
    </row>
    <row r="79" spans="1:16" ht="15.75" customHeight="1" x14ac:dyDescent="0.25">
      <c r="A79" s="6" t="s">
        <v>161</v>
      </c>
      <c r="B79" s="6" t="s">
        <v>164</v>
      </c>
      <c r="E79" s="6">
        <v>0</v>
      </c>
      <c r="F79" s="2">
        <f ca="1">COUNTIF(INDIRECT(_xlfn.CONCAT("Data!$B$2:", ADDRESS(51,COUNTA(Data!$1:$1)+1,1,1))), Songs!A79) + E79</f>
        <v>1</v>
      </c>
      <c r="G79" s="8"/>
      <c r="H79" t="e">
        <f>_xlfn.IFNA(51-MATCH(Songs!$A79,Data!B$2:B$51,0),NA())</f>
        <v>#N/A</v>
      </c>
      <c r="I79" t="e">
        <f>_xlfn.IFNA(51-MATCH(Songs!$A79,Data!C$2:C$51,0),NA())</f>
        <v>#N/A</v>
      </c>
      <c r="J79" t="e">
        <f>_xlfn.IFNA(51-MATCH(Songs!$A79,Data!D$2:D$51,0),NA())</f>
        <v>#N/A</v>
      </c>
      <c r="K79" t="e">
        <f>_xlfn.IFNA(51-MATCH(Songs!$A79,Data!E$2:E$51,0),NA())</f>
        <v>#N/A</v>
      </c>
      <c r="L79" t="e">
        <f>_xlfn.IFNA(51-MATCH(Songs!$A79,Data!F$2:F$51,0),NA())</f>
        <v>#N/A</v>
      </c>
      <c r="M79" t="e">
        <f>_xlfn.IFNA(51-MATCH(Songs!$A79,Data!G$2:G$51,0),NA())</f>
        <v>#N/A</v>
      </c>
      <c r="N79" t="e">
        <f>_xlfn.IFNA(51-MATCH(Songs!$A79,Data!H$2:H$51,0),NA())</f>
        <v>#N/A</v>
      </c>
      <c r="O79" t="e">
        <f>_xlfn.IFNA(51-MATCH(Songs!$A79,Data!I$2:I$51,0),NA())</f>
        <v>#N/A</v>
      </c>
      <c r="P79">
        <f>_xlfn.IFNA(51-MATCH(Songs!$A79,Data!J$2:J$51,0),NA())</f>
        <v>22</v>
      </c>
    </row>
    <row r="80" spans="1:16" ht="15.75" customHeight="1" x14ac:dyDescent="0.25">
      <c r="A80" s="6" t="s">
        <v>162</v>
      </c>
      <c r="B80" s="6" t="s">
        <v>165</v>
      </c>
      <c r="E80" s="6">
        <v>0</v>
      </c>
      <c r="F80" s="2">
        <f ca="1">COUNTIF(INDIRECT(_xlfn.CONCAT("Data!$B$2:", ADDRESS(51,COUNTA(Data!$1:$1)+1,1,1))), Songs!A80) + E80</f>
        <v>1</v>
      </c>
      <c r="G80" s="8"/>
      <c r="H80" t="e">
        <f>_xlfn.IFNA(51-MATCH(Songs!$A80,Data!B$2:B$51,0),NA())</f>
        <v>#N/A</v>
      </c>
      <c r="I80" t="e">
        <f>_xlfn.IFNA(51-MATCH(Songs!$A80,Data!C$2:C$51,0),NA())</f>
        <v>#N/A</v>
      </c>
      <c r="J80" t="e">
        <f>_xlfn.IFNA(51-MATCH(Songs!$A80,Data!D$2:D$51,0),NA())</f>
        <v>#N/A</v>
      </c>
      <c r="K80" t="e">
        <f>_xlfn.IFNA(51-MATCH(Songs!$A80,Data!E$2:E$51,0),NA())</f>
        <v>#N/A</v>
      </c>
      <c r="L80" t="e">
        <f>_xlfn.IFNA(51-MATCH(Songs!$A80,Data!F$2:F$51,0),NA())</f>
        <v>#N/A</v>
      </c>
      <c r="M80" t="e">
        <f>_xlfn.IFNA(51-MATCH(Songs!$A80,Data!G$2:G$51,0),NA())</f>
        <v>#N/A</v>
      </c>
      <c r="N80" t="e">
        <f>_xlfn.IFNA(51-MATCH(Songs!$A80,Data!H$2:H$51,0),NA())</f>
        <v>#N/A</v>
      </c>
      <c r="O80" t="e">
        <f>_xlfn.IFNA(51-MATCH(Songs!$A80,Data!I$2:I$51,0),NA())</f>
        <v>#N/A</v>
      </c>
      <c r="P80">
        <f>_xlfn.IFNA(51-MATCH(Songs!$A80,Data!J$2:J$51,0),NA())</f>
        <v>13</v>
      </c>
    </row>
    <row r="81" spans="1:16" ht="15.75" customHeight="1" x14ac:dyDescent="0.25">
      <c r="A81" s="6" t="s">
        <v>163</v>
      </c>
      <c r="B81" s="6" t="s">
        <v>74</v>
      </c>
      <c r="E81" s="6">
        <v>3</v>
      </c>
      <c r="F81" s="2">
        <f ca="1">COUNTIF(INDIRECT(_xlfn.CONCAT("Data!$B$2:", ADDRESS(51,COUNTA(Data!$1:$1)+1,1,1))), Songs!A81) + E81</f>
        <v>4</v>
      </c>
      <c r="G81" s="8"/>
      <c r="H81" t="e">
        <f>_xlfn.IFNA(51-MATCH(Songs!$A81,Data!B$2:B$51,0),NA())</f>
        <v>#N/A</v>
      </c>
      <c r="I81" t="e">
        <f>_xlfn.IFNA(51-MATCH(Songs!$A81,Data!C$2:C$51,0),NA())</f>
        <v>#N/A</v>
      </c>
      <c r="J81" t="e">
        <f>_xlfn.IFNA(51-MATCH(Songs!$A81,Data!D$2:D$51,0),NA())</f>
        <v>#N/A</v>
      </c>
      <c r="K81" t="e">
        <f>_xlfn.IFNA(51-MATCH(Songs!$A81,Data!E$2:E$51,0),NA())</f>
        <v>#N/A</v>
      </c>
      <c r="L81" t="e">
        <f>_xlfn.IFNA(51-MATCH(Songs!$A81,Data!F$2:F$51,0),NA())</f>
        <v>#N/A</v>
      </c>
      <c r="M81" t="e">
        <f>_xlfn.IFNA(51-MATCH(Songs!$A81,Data!G$2:G$51,0),NA())</f>
        <v>#N/A</v>
      </c>
      <c r="N81" t="e">
        <f>_xlfn.IFNA(51-MATCH(Songs!$A81,Data!H$2:H$51,0),NA())</f>
        <v>#N/A</v>
      </c>
      <c r="O81" t="e">
        <f>_xlfn.IFNA(51-MATCH(Songs!$A81,Data!I$2:I$51,0),NA())</f>
        <v>#N/A</v>
      </c>
      <c r="P81">
        <f>_xlfn.IFNA(51-MATCH(Songs!$A81,Data!J$2:J$51,0),NA())</f>
        <v>2</v>
      </c>
    </row>
  </sheetData>
  <conditionalFormatting sqref="F1:F104857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576B94D8-2929-4DDA-8F1E-09CEE8FA695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Songs!H2:P2</xm:f>
              <xm:sqref>G2</xm:sqref>
            </x14:sparkline>
            <x14:sparkline>
              <xm:f>Songs!H3:P3</xm:f>
              <xm:sqref>G3</xm:sqref>
            </x14:sparkline>
            <x14:sparkline>
              <xm:f>Songs!H4:P4</xm:f>
              <xm:sqref>G4</xm:sqref>
            </x14:sparkline>
            <x14:sparkline>
              <xm:f>Songs!H5:P5</xm:f>
              <xm:sqref>G5</xm:sqref>
            </x14:sparkline>
            <x14:sparkline>
              <xm:f>Songs!H6:P6</xm:f>
              <xm:sqref>G6</xm:sqref>
            </x14:sparkline>
            <x14:sparkline>
              <xm:f>Songs!H7:P7</xm:f>
              <xm:sqref>G7</xm:sqref>
            </x14:sparkline>
            <x14:sparkline>
              <xm:f>Songs!H8:P8</xm:f>
              <xm:sqref>G8</xm:sqref>
            </x14:sparkline>
            <x14:sparkline>
              <xm:f>Songs!H9:P9</xm:f>
              <xm:sqref>G9</xm:sqref>
            </x14:sparkline>
            <x14:sparkline>
              <xm:f>Songs!H10:P10</xm:f>
              <xm:sqref>G10</xm:sqref>
            </x14:sparkline>
            <x14:sparkline>
              <xm:f>Songs!H11:P11</xm:f>
              <xm:sqref>G11</xm:sqref>
            </x14:sparkline>
            <x14:sparkline>
              <xm:f>Songs!H12:P12</xm:f>
              <xm:sqref>G12</xm:sqref>
            </x14:sparkline>
            <x14:sparkline>
              <xm:f>Songs!H13:P13</xm:f>
              <xm:sqref>G13</xm:sqref>
            </x14:sparkline>
            <x14:sparkline>
              <xm:f>Songs!H14:P14</xm:f>
              <xm:sqref>G14</xm:sqref>
            </x14:sparkline>
            <x14:sparkline>
              <xm:f>Songs!H15:P15</xm:f>
              <xm:sqref>G15</xm:sqref>
            </x14:sparkline>
            <x14:sparkline>
              <xm:f>Songs!H16:P16</xm:f>
              <xm:sqref>G16</xm:sqref>
            </x14:sparkline>
            <x14:sparkline>
              <xm:f>Songs!H17:P17</xm:f>
              <xm:sqref>G17</xm:sqref>
            </x14:sparkline>
            <x14:sparkline>
              <xm:f>Songs!H18:P18</xm:f>
              <xm:sqref>G18</xm:sqref>
            </x14:sparkline>
            <x14:sparkline>
              <xm:f>Songs!H19:P19</xm:f>
              <xm:sqref>G19</xm:sqref>
            </x14:sparkline>
            <x14:sparkline>
              <xm:f>Songs!H20:P20</xm:f>
              <xm:sqref>G20</xm:sqref>
            </x14:sparkline>
            <x14:sparkline>
              <xm:f>Songs!H21:P21</xm:f>
              <xm:sqref>G21</xm:sqref>
            </x14:sparkline>
            <x14:sparkline>
              <xm:f>Songs!H22:P22</xm:f>
              <xm:sqref>G22</xm:sqref>
            </x14:sparkline>
            <x14:sparkline>
              <xm:f>Songs!H23:P23</xm:f>
              <xm:sqref>G23</xm:sqref>
            </x14:sparkline>
            <x14:sparkline>
              <xm:f>Songs!H24:P24</xm:f>
              <xm:sqref>G24</xm:sqref>
            </x14:sparkline>
            <x14:sparkline>
              <xm:f>Songs!H25:P25</xm:f>
              <xm:sqref>G25</xm:sqref>
            </x14:sparkline>
            <x14:sparkline>
              <xm:f>Songs!H26:P26</xm:f>
              <xm:sqref>G26</xm:sqref>
            </x14:sparkline>
            <x14:sparkline>
              <xm:f>Songs!H27:P27</xm:f>
              <xm:sqref>G27</xm:sqref>
            </x14:sparkline>
            <x14:sparkline>
              <xm:f>Songs!H28:P28</xm:f>
              <xm:sqref>G28</xm:sqref>
            </x14:sparkline>
            <x14:sparkline>
              <xm:f>Songs!H29:P29</xm:f>
              <xm:sqref>G29</xm:sqref>
            </x14:sparkline>
            <x14:sparkline>
              <xm:f>Songs!H30:P30</xm:f>
              <xm:sqref>G30</xm:sqref>
            </x14:sparkline>
            <x14:sparkline>
              <xm:f>Songs!H31:P31</xm:f>
              <xm:sqref>G31</xm:sqref>
            </x14:sparkline>
            <x14:sparkline>
              <xm:f>Songs!H32:P32</xm:f>
              <xm:sqref>G32</xm:sqref>
            </x14:sparkline>
            <x14:sparkline>
              <xm:f>Songs!H33:P33</xm:f>
              <xm:sqref>G33</xm:sqref>
            </x14:sparkline>
            <x14:sparkline>
              <xm:f>Songs!H34:P34</xm:f>
              <xm:sqref>G34</xm:sqref>
            </x14:sparkline>
            <x14:sparkline>
              <xm:f>Songs!H35:P35</xm:f>
              <xm:sqref>G35</xm:sqref>
            </x14:sparkline>
            <x14:sparkline>
              <xm:f>Songs!H36:P36</xm:f>
              <xm:sqref>G36</xm:sqref>
            </x14:sparkline>
            <x14:sparkline>
              <xm:f>Songs!H37:P37</xm:f>
              <xm:sqref>G37</xm:sqref>
            </x14:sparkline>
            <x14:sparkline>
              <xm:f>Songs!H38:P38</xm:f>
              <xm:sqref>G38</xm:sqref>
            </x14:sparkline>
            <x14:sparkline>
              <xm:f>Songs!H39:P39</xm:f>
              <xm:sqref>G39</xm:sqref>
            </x14:sparkline>
            <x14:sparkline>
              <xm:f>Songs!H40:P40</xm:f>
              <xm:sqref>G40</xm:sqref>
            </x14:sparkline>
            <x14:sparkline>
              <xm:f>Songs!H41:P41</xm:f>
              <xm:sqref>G41</xm:sqref>
            </x14:sparkline>
            <x14:sparkline>
              <xm:f>Songs!H42:P42</xm:f>
              <xm:sqref>G42</xm:sqref>
            </x14:sparkline>
            <x14:sparkline>
              <xm:f>Songs!H43:P43</xm:f>
              <xm:sqref>G43</xm:sqref>
            </x14:sparkline>
            <x14:sparkline>
              <xm:f>Songs!H44:P44</xm:f>
              <xm:sqref>G44</xm:sqref>
            </x14:sparkline>
            <x14:sparkline>
              <xm:f>Songs!H45:P45</xm:f>
              <xm:sqref>G45</xm:sqref>
            </x14:sparkline>
            <x14:sparkline>
              <xm:f>Songs!H46:P46</xm:f>
              <xm:sqref>G46</xm:sqref>
            </x14:sparkline>
            <x14:sparkline>
              <xm:f>Songs!H47:P47</xm:f>
              <xm:sqref>G47</xm:sqref>
            </x14:sparkline>
            <x14:sparkline>
              <xm:f>Songs!H48:P48</xm:f>
              <xm:sqref>G48</xm:sqref>
            </x14:sparkline>
            <x14:sparkline>
              <xm:f>Songs!H49:P49</xm:f>
              <xm:sqref>G49</xm:sqref>
            </x14:sparkline>
            <x14:sparkline>
              <xm:f>Songs!H50:P50</xm:f>
              <xm:sqref>G50</xm:sqref>
            </x14:sparkline>
            <x14:sparkline>
              <xm:f>Songs!H51:P51</xm:f>
              <xm:sqref>G51</xm:sqref>
            </x14:sparkline>
            <x14:sparkline>
              <xm:f>Songs!H52:P52</xm:f>
              <xm:sqref>G52</xm:sqref>
            </x14:sparkline>
            <x14:sparkline>
              <xm:f>Songs!H53:P53</xm:f>
              <xm:sqref>G53</xm:sqref>
            </x14:sparkline>
            <x14:sparkline>
              <xm:f>Songs!H54:P54</xm:f>
              <xm:sqref>G54</xm:sqref>
            </x14:sparkline>
            <x14:sparkline>
              <xm:f>Songs!H55:P55</xm:f>
              <xm:sqref>G55</xm:sqref>
            </x14:sparkline>
            <x14:sparkline>
              <xm:f>Songs!H56:P56</xm:f>
              <xm:sqref>G56</xm:sqref>
            </x14:sparkline>
            <x14:sparkline>
              <xm:f>Songs!H57:P57</xm:f>
              <xm:sqref>G57</xm:sqref>
            </x14:sparkline>
            <x14:sparkline>
              <xm:f>Songs!H58:P58</xm:f>
              <xm:sqref>G58</xm:sqref>
            </x14:sparkline>
            <x14:sparkline>
              <xm:f>Songs!H59:P59</xm:f>
              <xm:sqref>G59</xm:sqref>
            </x14:sparkline>
            <x14:sparkline>
              <xm:f>Songs!H60:P60</xm:f>
              <xm:sqref>G60</xm:sqref>
            </x14:sparkline>
            <x14:sparkline>
              <xm:f>Songs!H61:P61</xm:f>
              <xm:sqref>G61</xm:sqref>
            </x14:sparkline>
            <x14:sparkline>
              <xm:f>Songs!H62:P62</xm:f>
              <xm:sqref>G62</xm:sqref>
            </x14:sparkline>
            <x14:sparkline>
              <xm:f>Songs!H63:P63</xm:f>
              <xm:sqref>G63</xm:sqref>
            </x14:sparkline>
            <x14:sparkline>
              <xm:f>Songs!H64:P64</xm:f>
              <xm:sqref>G64</xm:sqref>
            </x14:sparkline>
            <x14:sparkline>
              <xm:f>Songs!H65:P65</xm:f>
              <xm:sqref>G65</xm:sqref>
            </x14:sparkline>
            <x14:sparkline>
              <xm:f>Songs!H66:P66</xm:f>
              <xm:sqref>G66</xm:sqref>
            </x14:sparkline>
            <x14:sparkline>
              <xm:f>Songs!H67:P67</xm:f>
              <xm:sqref>G67</xm:sqref>
            </x14:sparkline>
            <x14:sparkline>
              <xm:f>Songs!H68:P68</xm:f>
              <xm:sqref>G68</xm:sqref>
            </x14:sparkline>
            <x14:sparkline>
              <xm:f>Songs!H69:P69</xm:f>
              <xm:sqref>G69</xm:sqref>
            </x14:sparkline>
            <x14:sparkline>
              <xm:f>Songs!H70:P70</xm:f>
              <xm:sqref>G70</xm:sqref>
            </x14:sparkline>
            <x14:sparkline>
              <xm:f>Songs!H71:P71</xm:f>
              <xm:sqref>G71</xm:sqref>
            </x14:sparkline>
            <x14:sparkline>
              <xm:f>Songs!H72:P72</xm:f>
              <xm:sqref>G72</xm:sqref>
            </x14:sparkline>
            <x14:sparkline>
              <xm:f>Songs!H73:P73</xm:f>
              <xm:sqref>G73</xm:sqref>
            </x14:sparkline>
            <x14:sparkline>
              <xm:f>Songs!H74:P74</xm:f>
              <xm:sqref>G74</xm:sqref>
            </x14:sparkline>
            <x14:sparkline>
              <xm:f>Songs!H75:P75</xm:f>
              <xm:sqref>G75</xm:sqref>
            </x14:sparkline>
            <x14:sparkline>
              <xm:f>Songs!H76:P76</xm:f>
              <xm:sqref>G76</xm:sqref>
            </x14:sparkline>
            <x14:sparkline>
              <xm:f>Songs!H77:P77</xm:f>
              <xm:sqref>G77</xm:sqref>
            </x14:sparkline>
            <x14:sparkline>
              <xm:f>Songs!H78:P78</xm:f>
              <xm:sqref>G78</xm:sqref>
            </x14:sparkline>
            <x14:sparkline>
              <xm:f>Songs!H79:P79</xm:f>
              <xm:sqref>G79</xm:sqref>
            </x14:sparkline>
            <x14:sparkline>
              <xm:f>Songs!H80:P80</xm:f>
              <xm:sqref>G80</xm:sqref>
            </x14:sparkline>
            <x14:sparkline>
              <xm:f>Songs!H81:P81</xm:f>
              <xm:sqref>G81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I64"/>
  <sheetViews>
    <sheetView topLeftCell="B1" workbookViewId="0">
      <selection activeCell="D49" sqref="D1:D1048576"/>
    </sheetView>
  </sheetViews>
  <sheetFormatPr defaultColWidth="12.6640625" defaultRowHeight="15.75" customHeight="1" x14ac:dyDescent="0.25"/>
  <cols>
    <col min="1" max="1" width="8.109375" style="10" hidden="1" customWidth="1"/>
    <col min="2" max="2" width="21.44140625" bestFit="1" customWidth="1"/>
    <col min="4" max="4" width="23.44140625" bestFit="1" customWidth="1"/>
    <col min="6" max="6" width="25" bestFit="1" customWidth="1"/>
    <col min="7" max="7" width="25" customWidth="1"/>
    <col min="8" max="8" width="15.77734375" bestFit="1" customWidth="1"/>
    <col min="9" max="9" width="27.21875" bestFit="1" customWidth="1"/>
  </cols>
  <sheetData>
    <row r="1" spans="1:9" s="11" customFormat="1" ht="15.75" customHeight="1" x14ac:dyDescent="0.25">
      <c r="A1" s="10" t="s">
        <v>167</v>
      </c>
      <c r="B1" s="11" t="s">
        <v>168</v>
      </c>
      <c r="C1" s="11" t="s">
        <v>170</v>
      </c>
      <c r="D1" s="11" t="s">
        <v>176</v>
      </c>
      <c r="E1" s="11" t="s">
        <v>169</v>
      </c>
      <c r="F1" s="11" t="s">
        <v>177</v>
      </c>
      <c r="G1" s="11" t="s">
        <v>175</v>
      </c>
      <c r="H1" s="11" t="s">
        <v>171</v>
      </c>
      <c r="I1" s="11" t="s">
        <v>172</v>
      </c>
    </row>
    <row r="2" spans="1:9" ht="15.75" customHeight="1" x14ac:dyDescent="0.25">
      <c r="A2" s="10">
        <v>1</v>
      </c>
      <c r="B2" s="6" t="s">
        <v>74</v>
      </c>
      <c r="C2">
        <f>COUNTIF(Songs!$B:$B,Artists!$B2)</f>
        <v>5</v>
      </c>
      <c r="D2">
        <f ca="1">SUMIF(Songs!$B:$B,Artists!$B2,Songs!$F:$F)-SUMIF(Songs!$B:$B,Artists!$B2,Songs!$E:$E)</f>
        <v>22</v>
      </c>
      <c r="E2" s="12" t="s">
        <v>173</v>
      </c>
      <c r="H2">
        <f>COUNTIF(Songs!$D:$D,Artists!$B2)</f>
        <v>0</v>
      </c>
      <c r="I2">
        <f>SUMIF(Songs!$D:$D,Artists!$B2,Songs!$F:$F)-SUMIF(Songs!$D:$D,Artists!$B2,Songs!$E:$E)</f>
        <v>0</v>
      </c>
    </row>
    <row r="3" spans="1:9" ht="15.75" customHeight="1" x14ac:dyDescent="0.25">
      <c r="B3" s="6" t="s">
        <v>174</v>
      </c>
      <c r="C3">
        <f>COUNTIF(Songs!$B:$B,Artists!$B3)</f>
        <v>5</v>
      </c>
      <c r="D3">
        <f ca="1">SUMIF(Songs!$B:$B,Artists!$B3,Songs!$F:$F)-SUMIF(Songs!$B:$B,Artists!$B3,Songs!$E:$E)</f>
        <v>8</v>
      </c>
      <c r="H3">
        <f>COUNTIF(Songs!$D:$D,Artists!$B3)</f>
        <v>0</v>
      </c>
      <c r="I3">
        <f>SUMIF(Songs!$D:$D,Artists!$B3,Songs!$F:$F)-SUMIF(Songs!$D:$D,Artists!$B3,Songs!$E:$E)</f>
        <v>0</v>
      </c>
    </row>
    <row r="4" spans="1:9" ht="15.75" customHeight="1" x14ac:dyDescent="0.25">
      <c r="A4" s="10">
        <v>2</v>
      </c>
      <c r="B4" s="6" t="s">
        <v>76</v>
      </c>
      <c r="C4">
        <f>COUNTIF(Songs!$B:$B,Artists!$B4)</f>
        <v>4</v>
      </c>
      <c r="D4">
        <f ca="1">SUMIF(Songs!$B:$B,Artists!$B4,Songs!$F:$F)-SUMIF(Songs!$B:$B,Artists!$B4,Songs!$E:$E)</f>
        <v>34</v>
      </c>
      <c r="H4">
        <f>COUNTIF(Songs!$D:$D,Artists!$B4)</f>
        <v>1</v>
      </c>
      <c r="I4">
        <f ca="1">SUMIF(Songs!$D:$D,Artists!$B4,Songs!$F:$F)-SUMIF(Songs!$D:$D,Artists!$B4,Songs!$E:$E)</f>
        <v>9</v>
      </c>
    </row>
    <row r="5" spans="1:9" ht="15.75" customHeight="1" x14ac:dyDescent="0.25">
      <c r="A5" s="10">
        <v>5</v>
      </c>
      <c r="B5" s="6" t="s">
        <v>80</v>
      </c>
      <c r="C5">
        <f>COUNTIF(Songs!$B:$B,Artists!$B5)</f>
        <v>3</v>
      </c>
      <c r="D5">
        <f ca="1">SUMIF(Songs!$B:$B,Artists!$B5,Songs!$F:$F)-SUMIF(Songs!$B:$B,Artists!$B5,Songs!$E:$E)</f>
        <v>12</v>
      </c>
      <c r="H5">
        <f>COUNTIF(Songs!$D:$D,Artists!$B5)</f>
        <v>1</v>
      </c>
      <c r="I5">
        <f ca="1">SUMIF(Songs!$D:$D,Artists!$B5,Songs!$F:$F)-SUMIF(Songs!$D:$D,Artists!$B5,Songs!$E:$E)</f>
        <v>2</v>
      </c>
    </row>
    <row r="6" spans="1:9" ht="15.75" customHeight="1" x14ac:dyDescent="0.25">
      <c r="A6" s="10">
        <v>3</v>
      </c>
      <c r="B6" s="6" t="s">
        <v>77</v>
      </c>
      <c r="C6">
        <f>COUNTIF(Songs!$B:$B,Artists!$B6)</f>
        <v>2</v>
      </c>
      <c r="D6">
        <f ca="1">SUMIF(Songs!$B:$B,Artists!$B6,Songs!$F:$F)-SUMIF(Songs!$B:$B,Artists!$B6,Songs!$E:$E)</f>
        <v>18</v>
      </c>
      <c r="H6">
        <f>COUNTIF(Songs!$D:$D,Artists!$B6)</f>
        <v>1</v>
      </c>
      <c r="I6">
        <f ca="1">SUMIF(Songs!$D:$D,Artists!$B6,Songs!$F:$F)-SUMIF(Songs!$D:$D,Artists!$B6,Songs!$E:$E)</f>
        <v>5</v>
      </c>
    </row>
    <row r="7" spans="1:9" ht="15.75" customHeight="1" x14ac:dyDescent="0.25">
      <c r="A7" s="10">
        <v>4</v>
      </c>
      <c r="B7" s="2" t="s">
        <v>86</v>
      </c>
      <c r="C7">
        <f>COUNTIF(Songs!$B:$B,Artists!$B7)</f>
        <v>2</v>
      </c>
      <c r="D7">
        <f ca="1">SUMIF(Songs!$B:$B,Artists!$B7,Songs!$F:$F)-SUMIF(Songs!$B:$B,Artists!$B7,Songs!$E:$E)</f>
        <v>18</v>
      </c>
      <c r="H7">
        <f>COUNTIF(Songs!$D:$D,Artists!$B7)</f>
        <v>0</v>
      </c>
      <c r="I7">
        <f>SUMIF(Songs!$D:$D,Artists!$B7,Songs!$F:$F)-SUMIF(Songs!$D:$D,Artists!$B7,Songs!$E:$E)</f>
        <v>0</v>
      </c>
    </row>
    <row r="8" spans="1:9" ht="15.75" customHeight="1" x14ac:dyDescent="0.25">
      <c r="A8" s="10">
        <v>6</v>
      </c>
      <c r="B8" s="2" t="s">
        <v>106</v>
      </c>
      <c r="C8">
        <f>COUNTIF(Songs!$B:$B,Artists!$B8)</f>
        <v>2</v>
      </c>
      <c r="D8">
        <f ca="1">SUMIF(Songs!$B:$B,Artists!$B8,Songs!$F:$F)-SUMIF(Songs!$B:$B,Artists!$B8,Songs!$E:$E)</f>
        <v>17</v>
      </c>
      <c r="H8">
        <f>COUNTIF(Songs!$D:$D,Artists!$B8)</f>
        <v>0</v>
      </c>
      <c r="I8">
        <f>SUMIF(Songs!$D:$D,Artists!$B8,Songs!$F:$F)-SUMIF(Songs!$D:$D,Artists!$B8,Songs!$E:$E)</f>
        <v>0</v>
      </c>
    </row>
    <row r="9" spans="1:9" ht="15.75" customHeight="1" x14ac:dyDescent="0.25">
      <c r="A9" s="10">
        <v>7</v>
      </c>
      <c r="B9" s="2" t="s">
        <v>78</v>
      </c>
      <c r="C9">
        <f>COUNTIF(Songs!$B:$B,Artists!$B9)</f>
        <v>2</v>
      </c>
      <c r="D9">
        <f ca="1">SUMIF(Songs!$B:$B,Artists!$B9,Songs!$F:$F)-SUMIF(Songs!$B:$B,Artists!$B9,Songs!$E:$E)</f>
        <v>12</v>
      </c>
      <c r="H9">
        <f>COUNTIF(Songs!$D:$D,Artists!$B9)</f>
        <v>1</v>
      </c>
      <c r="I9">
        <f ca="1">SUMIF(Songs!$D:$D,Artists!$B9,Songs!$F:$F)-SUMIF(Songs!$D:$D,Artists!$B9,Songs!$E:$E)</f>
        <v>9</v>
      </c>
    </row>
    <row r="10" spans="1:9" ht="15.75" customHeight="1" x14ac:dyDescent="0.25">
      <c r="A10" s="10">
        <v>34</v>
      </c>
      <c r="B10" s="2" t="s">
        <v>81</v>
      </c>
      <c r="C10">
        <f>COUNTIF(Songs!$B:$B,Artists!$B10)</f>
        <v>2</v>
      </c>
      <c r="D10">
        <f ca="1">SUMIF(Songs!$B:$B,Artists!$B10,Songs!$F:$F)-SUMIF(Songs!$B:$B,Artists!$B10,Songs!$E:$E)</f>
        <v>11</v>
      </c>
      <c r="H10">
        <f>COUNTIF(Songs!$D:$D,Artists!$B10)</f>
        <v>0</v>
      </c>
      <c r="I10">
        <f>SUMIF(Songs!$D:$D,Artists!$B10,Songs!$F:$F)-SUMIF(Songs!$D:$D,Artists!$B10,Songs!$E:$E)</f>
        <v>0</v>
      </c>
    </row>
    <row r="11" spans="1:9" ht="15.75" customHeight="1" x14ac:dyDescent="0.25">
      <c r="A11" s="10">
        <v>8</v>
      </c>
      <c r="B11" s="2" t="s">
        <v>126</v>
      </c>
      <c r="C11">
        <f>COUNTIF(Songs!$B:$B,Artists!$B11)</f>
        <v>2</v>
      </c>
      <c r="D11">
        <f ca="1">SUMIF(Songs!$B:$B,Artists!$B11,Songs!$F:$F)-SUMIF(Songs!$B:$B,Artists!$B11,Songs!$E:$E)</f>
        <v>10</v>
      </c>
      <c r="H11">
        <f>COUNTIF(Songs!$D:$D,Artists!$B11)</f>
        <v>0</v>
      </c>
      <c r="I11">
        <f>SUMIF(Songs!$D:$D,Artists!$B11,Songs!$F:$F)-SUMIF(Songs!$D:$D,Artists!$B11,Songs!$E:$E)</f>
        <v>0</v>
      </c>
    </row>
    <row r="12" spans="1:9" ht="15.75" customHeight="1" x14ac:dyDescent="0.25">
      <c r="A12" s="10">
        <v>9</v>
      </c>
      <c r="B12" s="2" t="s">
        <v>79</v>
      </c>
      <c r="C12">
        <f>COUNTIF(Songs!$B:$B,Artists!$B12)</f>
        <v>2</v>
      </c>
      <c r="D12">
        <f ca="1">SUMIF(Songs!$B:$B,Artists!$B12,Songs!$F:$F)-SUMIF(Songs!$B:$B,Artists!$B12,Songs!$E:$E)</f>
        <v>10</v>
      </c>
      <c r="H12">
        <f>COUNTIF(Songs!$D:$D,Artists!$B12)</f>
        <v>0</v>
      </c>
      <c r="I12">
        <f>SUMIF(Songs!$D:$D,Artists!$B12,Songs!$F:$F)-SUMIF(Songs!$D:$D,Artists!$B12,Songs!$E:$E)</f>
        <v>0</v>
      </c>
    </row>
    <row r="13" spans="1:9" ht="15.75" customHeight="1" x14ac:dyDescent="0.25">
      <c r="A13" s="10">
        <v>10</v>
      </c>
      <c r="B13" s="2" t="s">
        <v>75</v>
      </c>
      <c r="C13">
        <f>COUNTIF(Songs!$B:$B,Artists!$B13)</f>
        <v>2</v>
      </c>
      <c r="D13">
        <f ca="1">SUMIF(Songs!$B:$B,Artists!$B13,Songs!$F:$F)-SUMIF(Songs!$B:$B,Artists!$B13,Songs!$E:$E)</f>
        <v>6</v>
      </c>
      <c r="H13">
        <f>COUNTIF(Songs!$D:$D,Artists!$B13)</f>
        <v>1</v>
      </c>
      <c r="I13">
        <f ca="1">SUMIF(Songs!$D:$D,Artists!$B13,Songs!$F:$F)-SUMIF(Songs!$D:$D,Artists!$B13,Songs!$E:$E)</f>
        <v>9</v>
      </c>
    </row>
    <row r="14" spans="1:9" ht="15.75" customHeight="1" x14ac:dyDescent="0.25">
      <c r="A14" s="10">
        <v>11</v>
      </c>
      <c r="B14" s="2" t="s">
        <v>119</v>
      </c>
      <c r="C14">
        <f>COUNTIF(Songs!$B:$B,Artists!$B14)</f>
        <v>2</v>
      </c>
      <c r="D14">
        <f ca="1">SUMIF(Songs!$B:$B,Artists!$B14,Songs!$F:$F)-SUMIF(Songs!$B:$B,Artists!$B14,Songs!$E:$E)</f>
        <v>2</v>
      </c>
      <c r="H14">
        <f>COUNTIF(Songs!$D:$D,Artists!$B14)</f>
        <v>0</v>
      </c>
      <c r="I14">
        <f>SUMIF(Songs!$D:$D,Artists!$B14,Songs!$F:$F)-SUMIF(Songs!$D:$D,Artists!$B14,Songs!$E:$E)</f>
        <v>0</v>
      </c>
    </row>
    <row r="15" spans="1:9" ht="15.75" customHeight="1" x14ac:dyDescent="0.25">
      <c r="A15" s="10">
        <v>12</v>
      </c>
      <c r="B15" s="2" t="s">
        <v>115</v>
      </c>
      <c r="C15">
        <f>COUNTIF(Songs!$B:$B,Artists!$B15)</f>
        <v>1</v>
      </c>
      <c r="D15">
        <f ca="1">SUMIF(Songs!$B:$B,Artists!$B15,Songs!$F:$F)-SUMIF(Songs!$B:$B,Artists!$B15,Songs!$E:$E)</f>
        <v>9</v>
      </c>
      <c r="H15">
        <f>COUNTIF(Songs!$D:$D,Artists!$B15)</f>
        <v>0</v>
      </c>
      <c r="I15">
        <f>SUMIF(Songs!$D:$D,Artists!$B15,Songs!$F:$F)-SUMIF(Songs!$D:$D,Artists!$B15,Songs!$E:$E)</f>
        <v>0</v>
      </c>
    </row>
    <row r="16" spans="1:9" ht="15.75" customHeight="1" x14ac:dyDescent="0.25">
      <c r="A16" s="10">
        <v>13</v>
      </c>
      <c r="B16" s="2" t="s">
        <v>103</v>
      </c>
      <c r="C16">
        <f>COUNTIF(Songs!$B:$B,Artists!$B16)</f>
        <v>1</v>
      </c>
      <c r="D16">
        <f ca="1">SUMIF(Songs!$B:$B,Artists!$B16,Songs!$F:$F)-SUMIF(Songs!$B:$B,Artists!$B16,Songs!$E:$E)</f>
        <v>9</v>
      </c>
      <c r="H16">
        <f>COUNTIF(Songs!$D:$D,Artists!$B16)</f>
        <v>0</v>
      </c>
      <c r="I16">
        <f>SUMIF(Songs!$D:$D,Artists!$B16,Songs!$F:$F)-SUMIF(Songs!$D:$D,Artists!$B16,Songs!$E:$E)</f>
        <v>0</v>
      </c>
    </row>
    <row r="17" spans="1:9" ht="15.75" customHeight="1" x14ac:dyDescent="0.25">
      <c r="A17" s="10">
        <v>14</v>
      </c>
      <c r="B17" s="2" t="s">
        <v>94</v>
      </c>
      <c r="C17">
        <f>COUNTIF(Songs!$B:$B,Artists!$B17)</f>
        <v>1</v>
      </c>
      <c r="D17">
        <f ca="1">SUMIF(Songs!$B:$B,Artists!$B17,Songs!$F:$F)-SUMIF(Songs!$B:$B,Artists!$B17,Songs!$E:$E)</f>
        <v>9</v>
      </c>
      <c r="H17">
        <f>COUNTIF(Songs!$D:$D,Artists!$B17)</f>
        <v>0</v>
      </c>
      <c r="I17">
        <f>SUMIF(Songs!$D:$D,Artists!$B17,Songs!$F:$F)-SUMIF(Songs!$D:$D,Artists!$B17,Songs!$E:$E)</f>
        <v>0</v>
      </c>
    </row>
    <row r="18" spans="1:9" ht="15.75" customHeight="1" x14ac:dyDescent="0.25">
      <c r="A18" s="10">
        <v>15</v>
      </c>
      <c r="B18" s="2" t="s">
        <v>117</v>
      </c>
      <c r="C18">
        <f>COUNTIF(Songs!$B:$B,Artists!$B18)</f>
        <v>1</v>
      </c>
      <c r="D18">
        <f ca="1">SUMIF(Songs!$B:$B,Artists!$B18,Songs!$F:$F)-SUMIF(Songs!$B:$B,Artists!$B18,Songs!$E:$E)</f>
        <v>9</v>
      </c>
      <c r="H18">
        <f>COUNTIF(Songs!$D:$D,Artists!$B18)</f>
        <v>0</v>
      </c>
      <c r="I18">
        <f>SUMIF(Songs!$D:$D,Artists!$B18,Songs!$F:$F)-SUMIF(Songs!$D:$D,Artists!$B18,Songs!$E:$E)</f>
        <v>0</v>
      </c>
    </row>
    <row r="19" spans="1:9" ht="15.75" customHeight="1" x14ac:dyDescent="0.25">
      <c r="A19" s="10">
        <v>16</v>
      </c>
      <c r="B19" s="2" t="s">
        <v>93</v>
      </c>
      <c r="C19">
        <f>COUNTIF(Songs!$B:$B,Artists!$B19)</f>
        <v>1</v>
      </c>
      <c r="D19">
        <f ca="1">SUMIF(Songs!$B:$B,Artists!$B19,Songs!$F:$F)-SUMIF(Songs!$B:$B,Artists!$B19,Songs!$E:$E)</f>
        <v>9</v>
      </c>
      <c r="H19">
        <f>COUNTIF(Songs!$D:$D,Artists!$B19)</f>
        <v>0</v>
      </c>
      <c r="I19">
        <f>SUMIF(Songs!$D:$D,Artists!$B19,Songs!$F:$F)-SUMIF(Songs!$D:$D,Artists!$B19,Songs!$E:$E)</f>
        <v>0</v>
      </c>
    </row>
    <row r="20" spans="1:9" ht="15.75" customHeight="1" x14ac:dyDescent="0.25">
      <c r="A20" s="10">
        <v>17</v>
      </c>
      <c r="B20" s="2" t="s">
        <v>104</v>
      </c>
      <c r="C20">
        <f>COUNTIF(Songs!$B:$B,Artists!$B20)</f>
        <v>1</v>
      </c>
      <c r="D20">
        <f ca="1">SUMIF(Songs!$B:$B,Artists!$B20,Songs!$F:$F)-SUMIF(Songs!$B:$B,Artists!$B20,Songs!$E:$E)</f>
        <v>9</v>
      </c>
      <c r="H20">
        <f>COUNTIF(Songs!$D:$D,Artists!$B20)</f>
        <v>0</v>
      </c>
      <c r="I20">
        <f>SUMIF(Songs!$D:$D,Artists!$B20,Songs!$F:$F)-SUMIF(Songs!$D:$D,Artists!$B20,Songs!$E:$E)</f>
        <v>0</v>
      </c>
    </row>
    <row r="21" spans="1:9" ht="15.75" customHeight="1" x14ac:dyDescent="0.25">
      <c r="A21" s="10">
        <v>18</v>
      </c>
      <c r="B21" s="2" t="s">
        <v>98</v>
      </c>
      <c r="C21">
        <f>COUNTIF(Songs!$B:$B,Artists!$B21)</f>
        <v>1</v>
      </c>
      <c r="D21">
        <f ca="1">SUMIF(Songs!$B:$B,Artists!$B21,Songs!$F:$F)-SUMIF(Songs!$B:$B,Artists!$B21,Songs!$E:$E)</f>
        <v>9</v>
      </c>
      <c r="H21">
        <f>COUNTIF(Songs!$D:$D,Artists!$B21)</f>
        <v>0</v>
      </c>
      <c r="I21">
        <f>SUMIF(Songs!$D:$D,Artists!$B21,Songs!$F:$F)-SUMIF(Songs!$D:$D,Artists!$B21,Songs!$E:$E)</f>
        <v>0</v>
      </c>
    </row>
    <row r="22" spans="1:9" ht="15.75" customHeight="1" x14ac:dyDescent="0.25">
      <c r="A22" s="10">
        <v>19</v>
      </c>
      <c r="B22" s="2" t="s">
        <v>112</v>
      </c>
      <c r="C22">
        <f>COUNTIF(Songs!$B:$B,Artists!$B22)</f>
        <v>1</v>
      </c>
      <c r="D22">
        <f ca="1">SUMIF(Songs!$B:$B,Artists!$B22,Songs!$F:$F)-SUMIF(Songs!$B:$B,Artists!$B22,Songs!$E:$E)</f>
        <v>9</v>
      </c>
      <c r="H22">
        <f>COUNTIF(Songs!$D:$D,Artists!$B22)</f>
        <v>0</v>
      </c>
      <c r="I22">
        <f>SUMIF(Songs!$D:$D,Artists!$B22,Songs!$F:$F)-SUMIF(Songs!$D:$D,Artists!$B22,Songs!$E:$E)</f>
        <v>0</v>
      </c>
    </row>
    <row r="23" spans="1:9" ht="15.75" customHeight="1" x14ac:dyDescent="0.25">
      <c r="A23" s="10">
        <v>20</v>
      </c>
      <c r="B23" s="2" t="s">
        <v>116</v>
      </c>
      <c r="C23">
        <f>COUNTIF(Songs!$B:$B,Artists!$B23)</f>
        <v>1</v>
      </c>
      <c r="D23">
        <f ca="1">SUMIF(Songs!$B:$B,Artists!$B23,Songs!$F:$F)-SUMIF(Songs!$B:$B,Artists!$B23,Songs!$E:$E)</f>
        <v>9</v>
      </c>
      <c r="H23">
        <f>COUNTIF(Songs!$D:$D,Artists!$B23)</f>
        <v>0</v>
      </c>
      <c r="I23">
        <f>SUMIF(Songs!$D:$D,Artists!$B23,Songs!$F:$F)-SUMIF(Songs!$D:$D,Artists!$B23,Songs!$E:$E)</f>
        <v>0</v>
      </c>
    </row>
    <row r="24" spans="1:9" ht="15.75" customHeight="1" x14ac:dyDescent="0.25">
      <c r="A24" s="10">
        <v>21</v>
      </c>
      <c r="B24" s="2" t="s">
        <v>85</v>
      </c>
      <c r="C24">
        <f>COUNTIF(Songs!$B:$B,Artists!$B24)</f>
        <v>1</v>
      </c>
      <c r="D24">
        <f ca="1">SUMIF(Songs!$B:$B,Artists!$B24,Songs!$F:$F)-SUMIF(Songs!$B:$B,Artists!$B24,Songs!$E:$E)</f>
        <v>9</v>
      </c>
      <c r="H24">
        <f>COUNTIF(Songs!$D:$D,Artists!$B24)</f>
        <v>0</v>
      </c>
      <c r="I24">
        <f>SUMIF(Songs!$D:$D,Artists!$B24,Songs!$F:$F)-SUMIF(Songs!$D:$D,Artists!$B24,Songs!$E:$E)</f>
        <v>0</v>
      </c>
    </row>
    <row r="25" spans="1:9" ht="15.75" customHeight="1" x14ac:dyDescent="0.25">
      <c r="A25" s="10">
        <v>22</v>
      </c>
      <c r="B25" s="2" t="s">
        <v>107</v>
      </c>
      <c r="C25">
        <f>COUNTIF(Songs!$B:$B,Artists!$B25)</f>
        <v>1</v>
      </c>
      <c r="D25">
        <f ca="1">SUMIF(Songs!$B:$B,Artists!$B25,Songs!$F:$F)-SUMIF(Songs!$B:$B,Artists!$B25,Songs!$E:$E)</f>
        <v>9</v>
      </c>
      <c r="H25">
        <f>COUNTIF(Songs!$D:$D,Artists!$B25)</f>
        <v>0</v>
      </c>
      <c r="I25">
        <f>SUMIF(Songs!$D:$D,Artists!$B25,Songs!$F:$F)-SUMIF(Songs!$D:$D,Artists!$B25,Songs!$E:$E)</f>
        <v>0</v>
      </c>
    </row>
    <row r="26" spans="1:9" ht="15.75" customHeight="1" x14ac:dyDescent="0.25">
      <c r="A26" s="10">
        <v>23</v>
      </c>
      <c r="B26" s="2" t="s">
        <v>120</v>
      </c>
      <c r="C26">
        <f>COUNTIF(Songs!$B:$B,Artists!$B26)</f>
        <v>1</v>
      </c>
      <c r="D26">
        <f ca="1">SUMIF(Songs!$B:$B,Artists!$B26,Songs!$F:$F)-SUMIF(Songs!$B:$B,Artists!$B26,Songs!$E:$E)</f>
        <v>9</v>
      </c>
      <c r="H26">
        <f>COUNTIF(Songs!$D:$D,Artists!$B26)</f>
        <v>0</v>
      </c>
      <c r="I26">
        <f>SUMIF(Songs!$D:$D,Artists!$B26,Songs!$F:$F)-SUMIF(Songs!$D:$D,Artists!$B26,Songs!$E:$E)</f>
        <v>0</v>
      </c>
    </row>
    <row r="27" spans="1:9" ht="15.75" customHeight="1" x14ac:dyDescent="0.25">
      <c r="A27" s="10">
        <v>24</v>
      </c>
      <c r="B27" s="2" t="s">
        <v>83</v>
      </c>
      <c r="C27">
        <f>COUNTIF(Songs!$B:$B,Artists!$B27)</f>
        <v>1</v>
      </c>
      <c r="D27">
        <f ca="1">SUMIF(Songs!$B:$B,Artists!$B27,Songs!$F:$F)-SUMIF(Songs!$B:$B,Artists!$B27,Songs!$E:$E)</f>
        <v>9</v>
      </c>
      <c r="H27">
        <f>COUNTIF(Songs!$D:$D,Artists!$B27)</f>
        <v>0</v>
      </c>
      <c r="I27">
        <f>SUMIF(Songs!$D:$D,Artists!$B27,Songs!$F:$F)-SUMIF(Songs!$D:$D,Artists!$B27,Songs!$E:$E)</f>
        <v>0</v>
      </c>
    </row>
    <row r="28" spans="1:9" ht="15.75" customHeight="1" x14ac:dyDescent="0.25">
      <c r="A28" s="10">
        <v>25</v>
      </c>
      <c r="B28" s="2" t="s">
        <v>105</v>
      </c>
      <c r="C28">
        <f>COUNTIF(Songs!$B:$B,Artists!$B28)</f>
        <v>1</v>
      </c>
      <c r="D28">
        <f ca="1">SUMIF(Songs!$B:$B,Artists!$B28,Songs!$F:$F)-SUMIF(Songs!$B:$B,Artists!$B28,Songs!$E:$E)</f>
        <v>9</v>
      </c>
      <c r="H28">
        <f>COUNTIF(Songs!$D:$D,Artists!$B28)</f>
        <v>0</v>
      </c>
      <c r="I28">
        <f>SUMIF(Songs!$D:$D,Artists!$B28,Songs!$F:$F)-SUMIF(Songs!$D:$D,Artists!$B28,Songs!$E:$E)</f>
        <v>0</v>
      </c>
    </row>
    <row r="29" spans="1:9" ht="15.75" customHeight="1" x14ac:dyDescent="0.25">
      <c r="A29" s="10">
        <v>26</v>
      </c>
      <c r="B29" s="2" t="s">
        <v>91</v>
      </c>
      <c r="C29">
        <f>COUNTIF(Songs!$B:$B,Artists!$B29)</f>
        <v>1</v>
      </c>
      <c r="D29">
        <f ca="1">SUMIF(Songs!$B:$B,Artists!$B29,Songs!$F:$F)-SUMIF(Songs!$B:$B,Artists!$B29,Songs!$E:$E)</f>
        <v>9</v>
      </c>
      <c r="H29">
        <f>COUNTIF(Songs!$D:$D,Artists!$B29)</f>
        <v>0</v>
      </c>
      <c r="I29">
        <f>SUMIF(Songs!$D:$D,Artists!$B29,Songs!$F:$F)-SUMIF(Songs!$D:$D,Artists!$B29,Songs!$E:$E)</f>
        <v>0</v>
      </c>
    </row>
    <row r="30" spans="1:9" ht="15.75" customHeight="1" x14ac:dyDescent="0.25">
      <c r="A30" s="10">
        <v>27</v>
      </c>
      <c r="B30" s="2" t="s">
        <v>100</v>
      </c>
      <c r="C30">
        <f>COUNTIF(Songs!$B:$B,Artists!$B30)</f>
        <v>1</v>
      </c>
      <c r="D30">
        <f ca="1">SUMIF(Songs!$B:$B,Artists!$B30,Songs!$F:$F)-SUMIF(Songs!$B:$B,Artists!$B30,Songs!$E:$E)</f>
        <v>9</v>
      </c>
      <c r="H30">
        <f>COUNTIF(Songs!$D:$D,Artists!$B30)</f>
        <v>0</v>
      </c>
      <c r="I30">
        <f>SUMIF(Songs!$D:$D,Artists!$B30,Songs!$F:$F)-SUMIF(Songs!$D:$D,Artists!$B30,Songs!$E:$E)</f>
        <v>0</v>
      </c>
    </row>
    <row r="31" spans="1:9" ht="15.75" customHeight="1" x14ac:dyDescent="0.25">
      <c r="A31" s="10">
        <v>28</v>
      </c>
      <c r="B31" s="2" t="s">
        <v>87</v>
      </c>
      <c r="C31">
        <f>COUNTIF(Songs!$B:$B,Artists!$B31)</f>
        <v>1</v>
      </c>
      <c r="D31">
        <f ca="1">SUMIF(Songs!$B:$B,Artists!$B31,Songs!$F:$F)-SUMIF(Songs!$B:$B,Artists!$B31,Songs!$E:$E)</f>
        <v>9</v>
      </c>
      <c r="H31">
        <f>COUNTIF(Songs!$D:$D,Artists!$B31)</f>
        <v>0</v>
      </c>
      <c r="I31">
        <f>SUMIF(Songs!$D:$D,Artists!$B31,Songs!$F:$F)-SUMIF(Songs!$D:$D,Artists!$B31,Songs!$E:$E)</f>
        <v>0</v>
      </c>
    </row>
    <row r="32" spans="1:9" ht="15.75" customHeight="1" x14ac:dyDescent="0.25">
      <c r="A32" s="10">
        <v>29</v>
      </c>
      <c r="B32" s="2" t="s">
        <v>118</v>
      </c>
      <c r="C32">
        <f>COUNTIF(Songs!$B:$B,Artists!$B32)</f>
        <v>1</v>
      </c>
      <c r="D32">
        <f ca="1">SUMIF(Songs!$B:$B,Artists!$B32,Songs!$F:$F)-SUMIF(Songs!$B:$B,Artists!$B32,Songs!$E:$E)</f>
        <v>9</v>
      </c>
      <c r="H32">
        <f>COUNTIF(Songs!$D:$D,Artists!$B32)</f>
        <v>0</v>
      </c>
      <c r="I32">
        <f>SUMIF(Songs!$D:$D,Artists!$B32,Songs!$F:$F)-SUMIF(Songs!$D:$D,Artists!$B32,Songs!$E:$E)</f>
        <v>0</v>
      </c>
    </row>
    <row r="33" spans="1:9" ht="15.75" customHeight="1" x14ac:dyDescent="0.25">
      <c r="A33" s="10">
        <v>30</v>
      </c>
      <c r="B33" s="2" t="s">
        <v>95</v>
      </c>
      <c r="C33">
        <f>COUNTIF(Songs!$B:$B,Artists!$B33)</f>
        <v>1</v>
      </c>
      <c r="D33">
        <f ca="1">SUMIF(Songs!$B:$B,Artists!$B33,Songs!$F:$F)-SUMIF(Songs!$B:$B,Artists!$B33,Songs!$E:$E)</f>
        <v>9</v>
      </c>
      <c r="H33">
        <f>COUNTIF(Songs!$D:$D,Artists!$B33)</f>
        <v>0</v>
      </c>
      <c r="I33">
        <f>SUMIF(Songs!$D:$D,Artists!$B33,Songs!$F:$F)-SUMIF(Songs!$D:$D,Artists!$B33,Songs!$E:$E)</f>
        <v>0</v>
      </c>
    </row>
    <row r="34" spans="1:9" ht="15.75" customHeight="1" x14ac:dyDescent="0.25">
      <c r="A34" s="10">
        <v>31</v>
      </c>
      <c r="B34" s="2" t="s">
        <v>97</v>
      </c>
      <c r="C34">
        <f>COUNTIF(Songs!$B:$B,Artists!$B34)</f>
        <v>1</v>
      </c>
      <c r="D34">
        <f ca="1">SUMIF(Songs!$B:$B,Artists!$B34,Songs!$F:$F)-SUMIF(Songs!$B:$B,Artists!$B34,Songs!$E:$E)</f>
        <v>9</v>
      </c>
      <c r="H34">
        <f>COUNTIF(Songs!$D:$D,Artists!$B34)</f>
        <v>0</v>
      </c>
      <c r="I34">
        <f>SUMIF(Songs!$D:$D,Artists!$B34,Songs!$F:$F)-SUMIF(Songs!$D:$D,Artists!$B34,Songs!$E:$E)</f>
        <v>0</v>
      </c>
    </row>
    <row r="35" spans="1:9" ht="15.75" customHeight="1" x14ac:dyDescent="0.25">
      <c r="A35" s="10">
        <v>32</v>
      </c>
      <c r="B35" s="2" t="s">
        <v>102</v>
      </c>
      <c r="C35">
        <f>COUNTIF(Songs!$B:$B,Artists!$B35)</f>
        <v>1</v>
      </c>
      <c r="D35">
        <f ca="1">SUMIF(Songs!$B:$B,Artists!$B35,Songs!$F:$F)-SUMIF(Songs!$B:$B,Artists!$B35,Songs!$E:$E)</f>
        <v>9</v>
      </c>
      <c r="H35">
        <f>COUNTIF(Songs!$D:$D,Artists!$B35)</f>
        <v>0</v>
      </c>
      <c r="I35">
        <f>SUMIF(Songs!$D:$D,Artists!$B35,Songs!$F:$F)-SUMIF(Songs!$D:$D,Artists!$B35,Songs!$E:$E)</f>
        <v>0</v>
      </c>
    </row>
    <row r="36" spans="1:9" ht="15.75" customHeight="1" x14ac:dyDescent="0.25">
      <c r="A36" s="10">
        <v>33</v>
      </c>
      <c r="B36" s="2" t="s">
        <v>114</v>
      </c>
      <c r="C36">
        <f>COUNTIF(Songs!$B:$B,Artists!$B36)</f>
        <v>1</v>
      </c>
      <c r="D36">
        <f ca="1">SUMIF(Songs!$B:$B,Artists!$B36,Songs!$F:$F)-SUMIF(Songs!$B:$B,Artists!$B36,Songs!$E:$E)</f>
        <v>9</v>
      </c>
      <c r="H36">
        <f>COUNTIF(Songs!$D:$D,Artists!$B36)</f>
        <v>0</v>
      </c>
      <c r="I36">
        <f>SUMIF(Songs!$D:$D,Artists!$B36,Songs!$F:$F)-SUMIF(Songs!$D:$D,Artists!$B36,Songs!$E:$E)</f>
        <v>0</v>
      </c>
    </row>
    <row r="37" spans="1:9" ht="15.75" customHeight="1" x14ac:dyDescent="0.25">
      <c r="A37" s="10">
        <v>35</v>
      </c>
      <c r="B37" s="2" t="s">
        <v>110</v>
      </c>
      <c r="C37">
        <f>COUNTIF(Songs!$B:$B,Artists!$B37)</f>
        <v>1</v>
      </c>
      <c r="D37">
        <f ca="1">SUMIF(Songs!$B:$B,Artists!$B37,Songs!$F:$F)-SUMIF(Songs!$B:$B,Artists!$B37,Songs!$E:$E)</f>
        <v>8</v>
      </c>
      <c r="H37">
        <f>COUNTIF(Songs!$D:$D,Artists!$B37)</f>
        <v>0</v>
      </c>
      <c r="I37">
        <f>SUMIF(Songs!$D:$D,Artists!$B37,Songs!$F:$F)-SUMIF(Songs!$D:$D,Artists!$B37,Songs!$E:$E)</f>
        <v>0</v>
      </c>
    </row>
    <row r="38" spans="1:9" ht="15.75" customHeight="1" x14ac:dyDescent="0.25">
      <c r="A38" s="10">
        <v>36</v>
      </c>
      <c r="B38" s="2" t="s">
        <v>109</v>
      </c>
      <c r="C38">
        <f>COUNTIF(Songs!$B:$B,Artists!$B38)</f>
        <v>1</v>
      </c>
      <c r="D38">
        <f ca="1">SUMIF(Songs!$B:$B,Artists!$B38,Songs!$F:$F)-SUMIF(Songs!$B:$B,Artists!$B38,Songs!$E:$E)</f>
        <v>7</v>
      </c>
      <c r="H38">
        <f>COUNTIF(Songs!$D:$D,Artists!$B38)</f>
        <v>0</v>
      </c>
      <c r="I38">
        <f>SUMIF(Songs!$D:$D,Artists!$B38,Songs!$F:$F)-SUMIF(Songs!$D:$D,Artists!$B38,Songs!$E:$E)</f>
        <v>0</v>
      </c>
    </row>
    <row r="39" spans="1:9" ht="15.75" customHeight="1" x14ac:dyDescent="0.25">
      <c r="A39" s="10">
        <v>37</v>
      </c>
      <c r="B39" s="2" t="s">
        <v>99</v>
      </c>
      <c r="C39">
        <f>COUNTIF(Songs!$B:$B,Artists!$B39)</f>
        <v>1</v>
      </c>
      <c r="D39">
        <f ca="1">SUMIF(Songs!$B:$B,Artists!$B39,Songs!$F:$F)-SUMIF(Songs!$B:$B,Artists!$B39,Songs!$E:$E)</f>
        <v>7</v>
      </c>
      <c r="H39">
        <f>COUNTIF(Songs!$D:$D,Artists!$B39)</f>
        <v>0</v>
      </c>
      <c r="I39">
        <f>SUMIF(Songs!$D:$D,Artists!$B39,Songs!$F:$F)-SUMIF(Songs!$D:$D,Artists!$B39,Songs!$E:$E)</f>
        <v>0</v>
      </c>
    </row>
    <row r="40" spans="1:9" ht="15.75" customHeight="1" x14ac:dyDescent="0.25">
      <c r="A40" s="10">
        <v>38</v>
      </c>
      <c r="B40" s="2" t="s">
        <v>121</v>
      </c>
      <c r="C40">
        <f>COUNTIF(Songs!$B:$B,Artists!$B40)</f>
        <v>1</v>
      </c>
      <c r="D40">
        <f ca="1">SUMIF(Songs!$B:$B,Artists!$B40,Songs!$F:$F)-SUMIF(Songs!$B:$B,Artists!$B40,Songs!$E:$E)</f>
        <v>6</v>
      </c>
      <c r="H40">
        <f>COUNTIF(Songs!$D:$D,Artists!$B40)</f>
        <v>0</v>
      </c>
      <c r="I40">
        <f>SUMIF(Songs!$D:$D,Artists!$B40,Songs!$F:$F)-SUMIF(Songs!$D:$D,Artists!$B40,Songs!$E:$E)</f>
        <v>0</v>
      </c>
    </row>
    <row r="41" spans="1:9" ht="15.75" customHeight="1" x14ac:dyDescent="0.25">
      <c r="A41" s="10">
        <v>39</v>
      </c>
      <c r="B41" s="2" t="s">
        <v>111</v>
      </c>
      <c r="C41">
        <f>COUNTIF(Songs!$B:$B,Artists!$B41)</f>
        <v>1</v>
      </c>
      <c r="D41">
        <f ca="1">SUMIF(Songs!$B:$B,Artists!$B41,Songs!$F:$F)-SUMIF(Songs!$B:$B,Artists!$B41,Songs!$E:$E)</f>
        <v>6</v>
      </c>
      <c r="H41">
        <f>COUNTIF(Songs!$D:$D,Artists!$B41)</f>
        <v>0</v>
      </c>
      <c r="I41">
        <f>SUMIF(Songs!$D:$D,Artists!$B41,Songs!$F:$F)-SUMIF(Songs!$D:$D,Artists!$B41,Songs!$E:$E)</f>
        <v>0</v>
      </c>
    </row>
    <row r="42" spans="1:9" ht="15.75" customHeight="1" x14ac:dyDescent="0.25">
      <c r="A42" s="10">
        <v>40</v>
      </c>
      <c r="B42" s="2" t="s">
        <v>88</v>
      </c>
      <c r="C42">
        <f>COUNTIF(Songs!$B:$B,Artists!$B42)</f>
        <v>1</v>
      </c>
      <c r="D42">
        <f ca="1">SUMIF(Songs!$B:$B,Artists!$B42,Songs!$F:$F)-SUMIF(Songs!$B:$B,Artists!$B42,Songs!$E:$E)</f>
        <v>5</v>
      </c>
      <c r="H42">
        <f>COUNTIF(Songs!$D:$D,Artists!$B42)</f>
        <v>0</v>
      </c>
      <c r="I42">
        <f>SUMIF(Songs!$D:$D,Artists!$B42,Songs!$F:$F)-SUMIF(Songs!$D:$D,Artists!$B42,Songs!$E:$E)</f>
        <v>0</v>
      </c>
    </row>
    <row r="43" spans="1:9" ht="15.75" customHeight="1" x14ac:dyDescent="0.25">
      <c r="A43" s="10">
        <v>41</v>
      </c>
      <c r="B43" s="2" t="s">
        <v>101</v>
      </c>
      <c r="C43">
        <f>COUNTIF(Songs!$B:$B,Artists!$B43)</f>
        <v>1</v>
      </c>
      <c r="D43">
        <f ca="1">SUMIF(Songs!$B:$B,Artists!$B43,Songs!$F:$F)-SUMIF(Songs!$B:$B,Artists!$B43,Songs!$E:$E)</f>
        <v>4</v>
      </c>
      <c r="H43">
        <f>COUNTIF(Songs!$D:$D,Artists!$B43)</f>
        <v>0</v>
      </c>
      <c r="I43">
        <f>SUMIF(Songs!$D:$D,Artists!$B43,Songs!$F:$F)-SUMIF(Songs!$D:$D,Artists!$B43,Songs!$E:$E)</f>
        <v>0</v>
      </c>
    </row>
    <row r="44" spans="1:9" ht="15.75" customHeight="1" x14ac:dyDescent="0.25">
      <c r="A44" s="10">
        <v>42</v>
      </c>
      <c r="B44" s="6" t="s">
        <v>136</v>
      </c>
      <c r="C44">
        <f>COUNTIF(Songs!$B:$B,Artists!$B44)</f>
        <v>1</v>
      </c>
      <c r="D44">
        <f ca="1">SUMIF(Songs!$B:$B,Artists!$B44,Songs!$F:$F)-SUMIF(Songs!$B:$B,Artists!$B44,Songs!$E:$E)</f>
        <v>4</v>
      </c>
      <c r="H44">
        <f>COUNTIF(Songs!$D:$D,Artists!$B44)</f>
        <v>0</v>
      </c>
      <c r="I44">
        <f>SUMIF(Songs!$D:$D,Artists!$B44,Songs!$F:$F)-SUMIF(Songs!$D:$D,Artists!$B44,Songs!$E:$E)</f>
        <v>0</v>
      </c>
    </row>
    <row r="45" spans="1:9" ht="15.75" customHeight="1" x14ac:dyDescent="0.25">
      <c r="A45" s="10">
        <v>43</v>
      </c>
      <c r="B45" s="6" t="s">
        <v>148</v>
      </c>
      <c r="C45">
        <f>COUNTIF(Songs!$B:$B,Artists!$B45)</f>
        <v>1</v>
      </c>
      <c r="D45">
        <f ca="1">SUMIF(Songs!$B:$B,Artists!$B45,Songs!$F:$F)-SUMIF(Songs!$B:$B,Artists!$B45,Songs!$E:$E)</f>
        <v>3</v>
      </c>
      <c r="H45">
        <f>COUNTIF(Songs!$D:$D,Artists!$B45)</f>
        <v>0</v>
      </c>
      <c r="I45">
        <f>SUMIF(Songs!$D:$D,Artists!$B45,Songs!$F:$F)-SUMIF(Songs!$D:$D,Artists!$B45,Songs!$E:$E)</f>
        <v>0</v>
      </c>
    </row>
    <row r="46" spans="1:9" ht="15.75" customHeight="1" x14ac:dyDescent="0.25">
      <c r="A46" s="10">
        <v>44</v>
      </c>
      <c r="B46" s="2" t="s">
        <v>123</v>
      </c>
      <c r="C46">
        <f>COUNTIF(Songs!$B:$B,Artists!$B46)</f>
        <v>1</v>
      </c>
      <c r="D46">
        <f ca="1">SUMIF(Songs!$B:$B,Artists!$B46,Songs!$F:$F)-SUMIF(Songs!$B:$B,Artists!$B46,Songs!$E:$E)</f>
        <v>3</v>
      </c>
      <c r="H46">
        <f>COUNTIF(Songs!$D:$D,Artists!$B46)</f>
        <v>0</v>
      </c>
      <c r="I46">
        <f>SUMIF(Songs!$D:$D,Artists!$B46,Songs!$F:$F)-SUMIF(Songs!$D:$D,Artists!$B46,Songs!$E:$E)</f>
        <v>0</v>
      </c>
    </row>
    <row r="47" spans="1:9" ht="15.75" customHeight="1" x14ac:dyDescent="0.25">
      <c r="A47" s="10">
        <v>45</v>
      </c>
      <c r="B47" s="6" t="s">
        <v>149</v>
      </c>
      <c r="C47">
        <f>COUNTIF(Songs!$B:$B,Artists!$B47)</f>
        <v>1</v>
      </c>
      <c r="D47">
        <f ca="1">SUMIF(Songs!$B:$B,Artists!$B47,Songs!$F:$F)-SUMIF(Songs!$B:$B,Artists!$B47,Songs!$E:$E)</f>
        <v>3</v>
      </c>
      <c r="H47">
        <f>COUNTIF(Songs!$D:$D,Artists!$B47)</f>
        <v>0</v>
      </c>
      <c r="I47">
        <f>SUMIF(Songs!$D:$D,Artists!$B47,Songs!$F:$F)-SUMIF(Songs!$D:$D,Artists!$B47,Songs!$E:$E)</f>
        <v>0</v>
      </c>
    </row>
    <row r="48" spans="1:9" ht="15.75" customHeight="1" x14ac:dyDescent="0.25">
      <c r="A48" s="10">
        <v>46</v>
      </c>
      <c r="B48" s="2" t="s">
        <v>92</v>
      </c>
      <c r="C48">
        <f>COUNTIF(Songs!$B:$B,Artists!$B48)</f>
        <v>1</v>
      </c>
      <c r="D48">
        <f ca="1">SUMIF(Songs!$B:$B,Artists!$B48,Songs!$F:$F)-SUMIF(Songs!$B:$B,Artists!$B48,Songs!$E:$E)</f>
        <v>2</v>
      </c>
      <c r="H48">
        <f>COUNTIF(Songs!$D:$D,Artists!$B48)</f>
        <v>0</v>
      </c>
      <c r="I48">
        <f>SUMIF(Songs!$D:$D,Artists!$B48,Songs!$F:$F)-SUMIF(Songs!$D:$D,Artists!$B48,Songs!$E:$E)</f>
        <v>0</v>
      </c>
    </row>
    <row r="49" spans="1:9" ht="15.75" customHeight="1" x14ac:dyDescent="0.25">
      <c r="A49" s="10">
        <v>47</v>
      </c>
      <c r="B49" s="6" t="s">
        <v>155</v>
      </c>
      <c r="C49">
        <f>COUNTIF(Songs!$B:$B,Artists!$B49)</f>
        <v>1</v>
      </c>
      <c r="D49">
        <f ca="1">SUMIF(Songs!$B:$B,Artists!$B49,Songs!$F:$F)-SUMIF(Songs!$B:$B,Artists!$B49,Songs!$E:$E)</f>
        <v>2</v>
      </c>
      <c r="H49">
        <f>COUNTIF(Songs!$D:$D,Artists!$B49)</f>
        <v>0</v>
      </c>
      <c r="I49">
        <f>SUMIF(Songs!$D:$D,Artists!$B49,Songs!$F:$F)-SUMIF(Songs!$D:$D,Artists!$B49,Songs!$E:$E)</f>
        <v>0</v>
      </c>
    </row>
    <row r="50" spans="1:9" ht="15.75" customHeight="1" x14ac:dyDescent="0.25">
      <c r="A50" s="10">
        <v>48</v>
      </c>
      <c r="B50" s="6" t="s">
        <v>137</v>
      </c>
      <c r="C50">
        <f>COUNTIF(Songs!$B:$B,Artists!$B50)</f>
        <v>1</v>
      </c>
      <c r="D50">
        <f ca="1">SUMIF(Songs!$B:$B,Artists!$B50,Songs!$F:$F)-SUMIF(Songs!$B:$B,Artists!$B50,Songs!$E:$E)</f>
        <v>2</v>
      </c>
      <c r="H50">
        <f>COUNTIF(Songs!$D:$D,Artists!$B50)</f>
        <v>0</v>
      </c>
      <c r="I50">
        <f>SUMIF(Songs!$D:$D,Artists!$B50,Songs!$F:$F)-SUMIF(Songs!$D:$D,Artists!$B50,Songs!$E:$E)</f>
        <v>0</v>
      </c>
    </row>
    <row r="51" spans="1:9" ht="15.75" customHeight="1" x14ac:dyDescent="0.25">
      <c r="A51" s="10">
        <v>49</v>
      </c>
      <c r="B51" s="2" t="s">
        <v>96</v>
      </c>
      <c r="C51">
        <f>COUNTIF(Songs!$B:$B,Artists!$B51)</f>
        <v>1</v>
      </c>
      <c r="D51">
        <f ca="1">SUMIF(Songs!$B:$B,Artists!$B51,Songs!$F:$F)-SUMIF(Songs!$B:$B,Artists!$B51,Songs!$E:$E)</f>
        <v>2</v>
      </c>
      <c r="H51">
        <f>COUNTIF(Songs!$D:$D,Artists!$B51)</f>
        <v>0</v>
      </c>
      <c r="I51">
        <f>SUMIF(Songs!$D:$D,Artists!$B51,Songs!$F:$F)-SUMIF(Songs!$D:$D,Artists!$B51,Songs!$E:$E)</f>
        <v>0</v>
      </c>
    </row>
    <row r="52" spans="1:9" ht="15.75" customHeight="1" x14ac:dyDescent="0.25">
      <c r="A52" s="10">
        <v>50</v>
      </c>
      <c r="B52" s="6" t="s">
        <v>158</v>
      </c>
      <c r="C52">
        <f>COUNTIF(Songs!$B:$B,Artists!$B52)</f>
        <v>1</v>
      </c>
      <c r="D52">
        <f ca="1">SUMIF(Songs!$B:$B,Artists!$B52,Songs!$F:$F)-SUMIF(Songs!$B:$B,Artists!$B52,Songs!$E:$E)</f>
        <v>1</v>
      </c>
      <c r="H52">
        <f>COUNTIF(Songs!$D:$D,Artists!$B52)</f>
        <v>0</v>
      </c>
      <c r="I52">
        <f>SUMIF(Songs!$D:$D,Artists!$B52,Songs!$F:$F)-SUMIF(Songs!$D:$D,Artists!$B52,Songs!$E:$E)</f>
        <v>0</v>
      </c>
    </row>
    <row r="53" spans="1:9" ht="15.75" customHeight="1" x14ac:dyDescent="0.25">
      <c r="A53" s="10">
        <v>51</v>
      </c>
      <c r="B53" s="6" t="s">
        <v>150</v>
      </c>
      <c r="C53">
        <f>COUNTIF(Songs!$B:$B,Artists!$B53)</f>
        <v>1</v>
      </c>
      <c r="D53">
        <f ca="1">SUMIF(Songs!$B:$B,Artists!$B53,Songs!$F:$F)-SUMIF(Songs!$B:$B,Artists!$B53,Songs!$E:$E)</f>
        <v>1</v>
      </c>
      <c r="H53">
        <f>COUNTIF(Songs!$D:$D,Artists!$B53)</f>
        <v>0</v>
      </c>
      <c r="I53">
        <f>SUMIF(Songs!$D:$D,Artists!$B53,Songs!$F:$F)-SUMIF(Songs!$D:$D,Artists!$B53,Songs!$E:$E)</f>
        <v>0</v>
      </c>
    </row>
    <row r="54" spans="1:9" ht="15.75" customHeight="1" x14ac:dyDescent="0.25">
      <c r="A54" s="10">
        <v>52</v>
      </c>
      <c r="B54" s="2" t="s">
        <v>127</v>
      </c>
      <c r="C54">
        <f>COUNTIF(Songs!$B:$B,Artists!$B54)</f>
        <v>1</v>
      </c>
      <c r="D54">
        <f ca="1">SUMIF(Songs!$B:$B,Artists!$B54,Songs!$F:$F)-SUMIF(Songs!$B:$B,Artists!$B54,Songs!$E:$E)</f>
        <v>1</v>
      </c>
      <c r="H54">
        <f>COUNTIF(Songs!$D:$D,Artists!$B54)</f>
        <v>0</v>
      </c>
      <c r="I54">
        <f>SUMIF(Songs!$D:$D,Artists!$B54,Songs!$F:$F)-SUMIF(Songs!$D:$D,Artists!$B54,Songs!$E:$E)</f>
        <v>0</v>
      </c>
    </row>
    <row r="55" spans="1:9" ht="15.75" customHeight="1" x14ac:dyDescent="0.25">
      <c r="A55" s="10">
        <v>53</v>
      </c>
      <c r="B55" s="2" t="s">
        <v>124</v>
      </c>
      <c r="C55">
        <f>COUNTIF(Songs!$B:$B,Artists!$B55)</f>
        <v>1</v>
      </c>
      <c r="D55">
        <f ca="1">SUMIF(Songs!$B:$B,Artists!$B55,Songs!$F:$F)-SUMIF(Songs!$B:$B,Artists!$B55,Songs!$E:$E)</f>
        <v>1</v>
      </c>
      <c r="H55">
        <f>COUNTIF(Songs!$D:$D,Artists!$B55)</f>
        <v>0</v>
      </c>
      <c r="I55">
        <f>SUMIF(Songs!$D:$D,Artists!$B55,Songs!$F:$F)-SUMIF(Songs!$D:$D,Artists!$B55,Songs!$E:$E)</f>
        <v>0</v>
      </c>
    </row>
    <row r="56" spans="1:9" ht="15.75" customHeight="1" x14ac:dyDescent="0.25">
      <c r="A56" s="10">
        <v>54</v>
      </c>
      <c r="B56" s="6" t="s">
        <v>157</v>
      </c>
      <c r="C56">
        <f>COUNTIF(Songs!$B:$B,Artists!$B56)</f>
        <v>1</v>
      </c>
      <c r="D56">
        <f ca="1">SUMIF(Songs!$B:$B,Artists!$B56,Songs!$F:$F)-SUMIF(Songs!$B:$B,Artists!$B56,Songs!$E:$E)</f>
        <v>1</v>
      </c>
      <c r="H56">
        <f>COUNTIF(Songs!$D:$D,Artists!$B56)</f>
        <v>0</v>
      </c>
      <c r="I56">
        <f>SUMIF(Songs!$D:$D,Artists!$B56,Songs!$F:$F)-SUMIF(Songs!$D:$D,Artists!$B56,Songs!$E:$E)</f>
        <v>0</v>
      </c>
    </row>
    <row r="57" spans="1:9" ht="15.75" customHeight="1" x14ac:dyDescent="0.25">
      <c r="A57" s="10">
        <v>55</v>
      </c>
      <c r="B57" s="6" t="s">
        <v>156</v>
      </c>
      <c r="C57">
        <f>COUNTIF(Songs!$B:$B,Artists!$B57)</f>
        <v>1</v>
      </c>
      <c r="D57">
        <f ca="1">SUMIF(Songs!$B:$B,Artists!$B57,Songs!$F:$F)-SUMIF(Songs!$B:$B,Artists!$B57,Songs!$E:$E)</f>
        <v>1</v>
      </c>
      <c r="H57">
        <f>COUNTIF(Songs!$D:$D,Artists!$B57)</f>
        <v>0</v>
      </c>
      <c r="I57">
        <f>SUMIF(Songs!$D:$D,Artists!$B57,Songs!$F:$F)-SUMIF(Songs!$D:$D,Artists!$B57,Songs!$E:$E)</f>
        <v>0</v>
      </c>
    </row>
    <row r="58" spans="1:9" ht="15.75" customHeight="1" x14ac:dyDescent="0.25">
      <c r="A58" s="10">
        <v>56</v>
      </c>
      <c r="B58" s="6" t="s">
        <v>164</v>
      </c>
      <c r="C58">
        <f>COUNTIF(Songs!$B:$B,Artists!$B58)</f>
        <v>1</v>
      </c>
      <c r="D58">
        <f ca="1">SUMIF(Songs!$B:$B,Artists!$B58,Songs!$F:$F)-SUMIF(Songs!$B:$B,Artists!$B58,Songs!$E:$E)</f>
        <v>1</v>
      </c>
      <c r="H58">
        <f>COUNTIF(Songs!$D:$D,Artists!$B58)</f>
        <v>0</v>
      </c>
      <c r="I58">
        <f>SUMIF(Songs!$D:$D,Artists!$B58,Songs!$F:$F)-SUMIF(Songs!$D:$D,Artists!$B58,Songs!$E:$E)</f>
        <v>0</v>
      </c>
    </row>
    <row r="59" spans="1:9" ht="15.75" customHeight="1" x14ac:dyDescent="0.25">
      <c r="A59" s="10">
        <v>57</v>
      </c>
      <c r="B59" s="6" t="s">
        <v>165</v>
      </c>
      <c r="C59">
        <f>COUNTIF(Songs!$B:$B,Artists!$B59)</f>
        <v>1</v>
      </c>
      <c r="D59">
        <f ca="1">SUMIF(Songs!$B:$B,Artists!$B59,Songs!$F:$F)-SUMIF(Songs!$B:$B,Artists!$B59,Songs!$E:$E)</f>
        <v>1</v>
      </c>
      <c r="H59">
        <f>COUNTIF(Songs!$D:$D,Artists!$B59)</f>
        <v>0</v>
      </c>
      <c r="I59">
        <f>SUMIF(Songs!$D:$D,Artists!$B59,Songs!$F:$F)-SUMIF(Songs!$D:$D,Artists!$B59,Songs!$E:$E)</f>
        <v>0</v>
      </c>
    </row>
    <row r="60" spans="1:9" ht="15.75" customHeight="1" x14ac:dyDescent="0.25">
      <c r="A60" s="10">
        <v>58</v>
      </c>
      <c r="B60" s="2" t="s">
        <v>89</v>
      </c>
      <c r="C60">
        <f>COUNTIF(Songs!$B:$B,Artists!$B60)</f>
        <v>0</v>
      </c>
      <c r="D60">
        <f>SUMIF(Songs!$B:$B,Artists!$B60,Songs!$F:$F)-SUMIF(Songs!$B:$B,Artists!$B60,Songs!$E:$E)</f>
        <v>0</v>
      </c>
      <c r="H60">
        <f>COUNTIF(Songs!$D:$D,Artists!$B60)</f>
        <v>1</v>
      </c>
      <c r="I60">
        <f ca="1">SUMIF(Songs!$D:$D,Artists!$B60,Songs!$F:$F)-SUMIF(Songs!$D:$D,Artists!$B60,Songs!$E:$E)</f>
        <v>9</v>
      </c>
    </row>
    <row r="61" spans="1:9" ht="15.75" customHeight="1" x14ac:dyDescent="0.25">
      <c r="A61" s="10">
        <v>59</v>
      </c>
      <c r="B61" s="2" t="s">
        <v>90</v>
      </c>
      <c r="C61">
        <f>COUNTIF(Songs!$B:$B,Artists!$B61)</f>
        <v>0</v>
      </c>
      <c r="D61">
        <f>SUMIF(Songs!$B:$B,Artists!$B61,Songs!$F:$F)-SUMIF(Songs!$B:$B,Artists!$B61,Songs!$E:$E)</f>
        <v>0</v>
      </c>
      <c r="H61">
        <f>COUNTIF(Songs!$D:$D,Artists!$B61)</f>
        <v>1</v>
      </c>
      <c r="I61">
        <f ca="1">SUMIF(Songs!$D:$D,Artists!$B61,Songs!$F:$F)-SUMIF(Songs!$D:$D,Artists!$B61,Songs!$E:$E)</f>
        <v>7</v>
      </c>
    </row>
    <row r="62" spans="1:9" ht="15.75" customHeight="1" x14ac:dyDescent="0.25">
      <c r="A62" s="10">
        <v>60</v>
      </c>
      <c r="B62" s="2" t="s">
        <v>108</v>
      </c>
      <c r="C62">
        <f>COUNTIF(Songs!$B:$B,Artists!$B62)</f>
        <v>0</v>
      </c>
      <c r="D62">
        <f>SUMIF(Songs!$B:$B,Artists!$B62,Songs!$F:$F)-SUMIF(Songs!$B:$B,Artists!$B62,Songs!$E:$E)</f>
        <v>0</v>
      </c>
      <c r="H62">
        <f>COUNTIF(Songs!$D:$D,Artists!$B62)</f>
        <v>1</v>
      </c>
      <c r="I62">
        <f ca="1">SUMIF(Songs!$D:$D,Artists!$B62,Songs!$F:$F)-SUMIF(Songs!$D:$D,Artists!$B62,Songs!$E:$E)</f>
        <v>4</v>
      </c>
    </row>
    <row r="63" spans="1:9" ht="15.75" customHeight="1" x14ac:dyDescent="0.25">
      <c r="B63" s="6" t="s">
        <v>178</v>
      </c>
      <c r="C63">
        <f>COUNTIF(Songs!$B:$B,Artists!$B63)</f>
        <v>0</v>
      </c>
      <c r="D63">
        <f>SUMIF(Songs!$B:$B,Artists!$B63,Songs!$F:$F)-SUMIF(Songs!$B:$B,Artists!$B63,Songs!$E:$E)</f>
        <v>0</v>
      </c>
      <c r="H63">
        <f>COUNTIF(Songs!$D:$D,Artists!$B63)</f>
        <v>0</v>
      </c>
      <c r="I63">
        <f>SUMIF(Songs!$D:$D,Artists!$B63,Songs!$F:$F)-SUMIF(Songs!$D:$D,Artists!$B63,Songs!$E:$E)</f>
        <v>0</v>
      </c>
    </row>
    <row r="64" spans="1:9" ht="15.75" customHeight="1" x14ac:dyDescent="0.25">
      <c r="B64" s="6" t="s">
        <v>179</v>
      </c>
      <c r="C64">
        <f>COUNTIF(Songs!$B:$B,Artists!$B64)</f>
        <v>0</v>
      </c>
      <c r="D64">
        <f>SUMIF(Songs!$B:$B,Artists!$B64,Songs!$F:$F)-SUMIF(Songs!$B:$B,Artists!$B64,Songs!$E:$E)</f>
        <v>0</v>
      </c>
      <c r="H64">
        <f>COUNTIF(Songs!$D:$D,Artists!$B64)</f>
        <v>0</v>
      </c>
      <c r="I64">
        <f>SUMIF(Songs!$D:$D,Artists!$B64,Songs!$F:$F)-SUMIF(Songs!$D:$D,Artists!$B64,Songs!$E:$E)</f>
        <v>0</v>
      </c>
    </row>
  </sheetData>
  <sortState xmlns:xlrd2="http://schemas.microsoft.com/office/spreadsheetml/2017/richdata2" ref="A2:D59">
    <sortCondition descending="1" ref="C2:C59"/>
    <sortCondition descending="1" ref="D2:D59"/>
    <sortCondition ref="B2:B59"/>
  </sortState>
  <conditionalFormatting sqref="C1:C1048576 E1:I1048576">
    <cfRule type="cellIs" dxfId="1" priority="3" operator="equal">
      <formula>0</formula>
    </cfRule>
  </conditionalFormatting>
  <conditionalFormatting sqref="D1:D1048576">
    <cfRule type="colorScale" priority="2">
      <colorScale>
        <cfvo type="num" val="1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E6"/>
  <sheetViews>
    <sheetView workbookViewId="0">
      <selection activeCell="A2" sqref="A2"/>
    </sheetView>
  </sheetViews>
  <sheetFormatPr defaultColWidth="12.6640625" defaultRowHeight="15.75" customHeight="1" x14ac:dyDescent="0.25"/>
  <sheetData>
    <row r="1" spans="1:5" ht="13.2" x14ac:dyDescent="0.25">
      <c r="A1" s="2" t="s">
        <v>129</v>
      </c>
      <c r="B1" s="2" t="s">
        <v>130</v>
      </c>
      <c r="C1" s="2" t="s">
        <v>131</v>
      </c>
      <c r="E1" s="2" t="s">
        <v>132</v>
      </c>
    </row>
    <row r="2" spans="1:5" ht="13.2" x14ac:dyDescent="0.25">
      <c r="A2" s="2">
        <v>1</v>
      </c>
      <c r="B2" s="2">
        <v>3</v>
      </c>
      <c r="C2" s="2">
        <v>9999</v>
      </c>
      <c r="E2" s="2" t="s">
        <v>133</v>
      </c>
    </row>
    <row r="3" spans="1:5" ht="13.2" x14ac:dyDescent="0.25">
      <c r="A3" s="2">
        <v>4</v>
      </c>
      <c r="B3" s="2">
        <v>5</v>
      </c>
      <c r="C3" s="2">
        <v>78</v>
      </c>
      <c r="E3" t="s">
        <v>144</v>
      </c>
    </row>
    <row r="4" spans="1:5" ht="13.2" x14ac:dyDescent="0.25">
      <c r="A4" s="2">
        <v>6</v>
      </c>
      <c r="B4" s="2">
        <v>10</v>
      </c>
      <c r="C4" s="2">
        <v>52</v>
      </c>
      <c r="E4" t="s">
        <v>145</v>
      </c>
    </row>
    <row r="5" spans="1:5" ht="13.2" x14ac:dyDescent="0.25">
      <c r="A5" s="2">
        <v>11</v>
      </c>
      <c r="B5" s="2">
        <v>25</v>
      </c>
      <c r="C5" s="2">
        <v>26</v>
      </c>
      <c r="E5" t="s">
        <v>147</v>
      </c>
    </row>
    <row r="6" spans="1:5" ht="13.2" x14ac:dyDescent="0.25">
      <c r="A6" s="2">
        <v>26</v>
      </c>
      <c r="B6" s="2">
        <v>50</v>
      </c>
      <c r="C6" s="2">
        <v>20</v>
      </c>
      <c r="E6" t="s">
        <v>160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BE38C-EA0A-4BE9-A4B1-CC03963F5B0E}">
  <sheetPr codeName="Sheet5"/>
  <dimension ref="A1:A4"/>
  <sheetViews>
    <sheetView tabSelected="1" workbookViewId="0">
      <selection activeCell="B10" sqref="B10"/>
    </sheetView>
  </sheetViews>
  <sheetFormatPr defaultRowHeight="13.2" x14ac:dyDescent="0.25"/>
  <sheetData>
    <row r="1" spans="1:1" x14ac:dyDescent="0.25">
      <c r="A1" s="8" t="s">
        <v>138</v>
      </c>
    </row>
    <row r="2" spans="1:1" x14ac:dyDescent="0.25">
      <c r="A2" s="8" t="s">
        <v>139</v>
      </c>
    </row>
    <row r="3" spans="1:1" x14ac:dyDescent="0.25">
      <c r="A3" s="8" t="s">
        <v>140</v>
      </c>
    </row>
    <row r="4" spans="1:1" x14ac:dyDescent="0.25">
      <c r="A4" s="8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4EFDB-940B-4FA0-BC89-75FB9E6EF8E1}">
  <dimension ref="A1:B4"/>
  <sheetViews>
    <sheetView workbookViewId="0">
      <selection activeCell="B4" sqref="B4"/>
    </sheetView>
  </sheetViews>
  <sheetFormatPr defaultRowHeight="13.2" x14ac:dyDescent="0.25"/>
  <sheetData>
    <row r="1" spans="1:2" x14ac:dyDescent="0.25">
      <c r="A1">
        <f ca="1">(SUM(Songs!F:F)-SUM(Songs!E:E))/A3/A4</f>
        <v>1</v>
      </c>
      <c r="B1" s="8" t="s">
        <v>188</v>
      </c>
    </row>
    <row r="2" spans="1:2" x14ac:dyDescent="0.25">
      <c r="A2">
        <f ca="1">SUM(Artists!D:D)/A3/A4</f>
        <v>1</v>
      </c>
      <c r="B2" s="8" t="s">
        <v>187</v>
      </c>
    </row>
    <row r="3" spans="1:2" x14ac:dyDescent="0.25">
      <c r="A3">
        <f>COUNTA(Data!1:1)</f>
        <v>9</v>
      </c>
      <c r="B3" s="8" t="s">
        <v>185</v>
      </c>
    </row>
    <row r="4" spans="1:2" x14ac:dyDescent="0.25">
      <c r="A4">
        <v>50</v>
      </c>
      <c r="B4" s="8" t="s">
        <v>186</v>
      </c>
    </row>
  </sheetData>
  <conditionalFormatting sqref="A1:A2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Current Chart</vt:lpstr>
      <vt:lpstr>Songs</vt:lpstr>
      <vt:lpstr>Artists</vt:lpstr>
      <vt:lpstr>Rules</vt:lpstr>
      <vt:lpstr>Ideas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 MO</cp:lastModifiedBy>
  <dcterms:created xsi:type="dcterms:W3CDTF">2024-03-23T23:47:24Z</dcterms:created>
  <dcterms:modified xsi:type="dcterms:W3CDTF">2024-03-24T01:30:34Z</dcterms:modified>
</cp:coreProperties>
</file>