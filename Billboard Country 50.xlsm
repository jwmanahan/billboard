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E50CF047-266A-49E8-9384-2CAB3F7B75EE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Data" sheetId="1" r:id="rId1"/>
    <sheet name="Current Chart" sheetId="7" r:id="rId2"/>
    <sheet name="Songs" sheetId="2" r:id="rId3"/>
    <sheet name="Artists" sheetId="3" r:id="rId4"/>
    <sheet name="Rules" sheetId="4" r:id="rId5"/>
    <sheet name="Ideas" sheetId="5" r:id="rId6"/>
    <sheet name="% Female" sheetId="8" r:id="rId7"/>
    <sheet name="Validation" sheetId="6" r:id="rId8"/>
  </sheets>
  <functionGroups builtInGroupCount="19"/>
  <calcPr calcId="191029" calcMode="manual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3" l="1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3" i="3"/>
  <c r="K91" i="3"/>
  <c r="K92" i="3"/>
  <c r="K94" i="3"/>
  <c r="K95" i="3"/>
  <c r="K96" i="3"/>
  <c r="I87" i="3"/>
  <c r="G87" i="3" a="1"/>
  <c r="G87" i="3" s="1"/>
  <c r="E87" i="3"/>
  <c r="C87" i="3" a="1"/>
  <c r="C87" i="3" s="1"/>
  <c r="I95" i="3"/>
  <c r="G95" i="3" a="1"/>
  <c r="G95" i="3" s="1"/>
  <c r="F95" i="3"/>
  <c r="E95" i="3"/>
  <c r="C95" i="3" a="1"/>
  <c r="C95" i="3" s="1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AI142" i="2"/>
  <c r="AH142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AI141" i="2"/>
  <c r="AH141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AI140" i="2"/>
  <c r="AH140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AI138" i="2"/>
  <c r="AH138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AI137" i="2"/>
  <c r="AH137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AI135" i="2"/>
  <c r="AH135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AI131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AI129" i="2"/>
  <c r="AH129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AI128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AI124" i="2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AI123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177" i="2"/>
  <c r="K176" i="2"/>
  <c r="K175" i="2"/>
  <c r="J175" i="2" s="1" a="1"/>
  <c r="J175" i="2" s="1"/>
  <c r="I74" i="3" s="1"/>
  <c r="K174" i="2"/>
  <c r="J174" i="2" s="1" a="1"/>
  <c r="J174" i="2" s="1"/>
  <c r="K173" i="2"/>
  <c r="J173" i="2" s="1" a="1"/>
  <c r="J173" i="2" s="1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77" i="2" a="1"/>
  <c r="J177" i="2" s="1"/>
  <c r="J176" i="2"/>
  <c r="J176" i="2" a="1"/>
  <c r="G74" i="3" a="1"/>
  <c r="G74" i="3" s="1"/>
  <c r="E74" i="3"/>
  <c r="C74" i="3" a="1"/>
  <c r="C74" i="3" s="1"/>
  <c r="J172" i="2" a="1"/>
  <c r="J172" i="2" s="1"/>
  <c r="J171" i="2" a="1"/>
  <c r="J171" i="2" s="1"/>
  <c r="G177" i="2"/>
  <c r="G176" i="2"/>
  <c r="G172" i="2"/>
  <c r="G173" i="2"/>
  <c r="G174" i="2"/>
  <c r="G175" i="2"/>
  <c r="G171" i="2"/>
  <c r="F87" i="3" l="1"/>
  <c r="F74" i="3"/>
  <c r="C11" i="3" a="1"/>
  <c r="C11" i="3" s="1"/>
  <c r="E11" i="3"/>
  <c r="G11" i="3" a="1"/>
  <c r="G11" i="3" s="1"/>
  <c r="J170" i="2" a="1"/>
  <c r="J170" i="2" s="1"/>
  <c r="I96" i="3"/>
  <c r="I92" i="3"/>
  <c r="I91" i="3"/>
  <c r="F96" i="3"/>
  <c r="E96" i="3"/>
  <c r="C96" i="3" s="1" a="1"/>
  <c r="C96" i="3" s="1"/>
  <c r="F92" i="3"/>
  <c r="E92" i="3"/>
  <c r="C92" i="3" a="1"/>
  <c r="C92" i="3" s="1"/>
  <c r="F91" i="3"/>
  <c r="E91" i="3"/>
  <c r="C91" i="3" a="1"/>
  <c r="C91" i="3" s="1"/>
  <c r="K7" i="3"/>
  <c r="K6" i="3"/>
  <c r="K5" i="3"/>
  <c r="K4" i="3"/>
  <c r="K3" i="3"/>
  <c r="K2" i="3"/>
  <c r="G96" i="3" a="1"/>
  <c r="G96" i="3" s="1"/>
  <c r="G92" i="3" a="1"/>
  <c r="G92" i="3" s="1"/>
  <c r="G91" i="3" a="1"/>
  <c r="G91" i="3" s="1"/>
  <c r="J162" i="2" a="1"/>
  <c r="J162" i="2" s="1"/>
  <c r="J161" i="2" a="1"/>
  <c r="J161" i="2" s="1"/>
  <c r="J157" i="2" a="1"/>
  <c r="J157" i="2" s="1"/>
  <c r="J153" i="2" a="1"/>
  <c r="J153" i="2" s="1"/>
  <c r="J145" i="2" a="1"/>
  <c r="J145" i="2" s="1"/>
  <c r="J137" i="2" a="1"/>
  <c r="J137" i="2" s="1"/>
  <c r="J129" i="2" a="1"/>
  <c r="J129" i="2" s="1"/>
  <c r="J105" i="2" a="1"/>
  <c r="J105" i="2" s="1"/>
  <c r="J97" i="2" a="1"/>
  <c r="J97" i="2" s="1"/>
  <c r="J81" i="2" a="1"/>
  <c r="J81" i="2" s="1"/>
  <c r="J74" i="2" a="1"/>
  <c r="J74" i="2" s="1"/>
  <c r="J73" i="2" a="1"/>
  <c r="J73" i="2" s="1"/>
  <c r="J72" i="2" a="1"/>
  <c r="J72" i="2" s="1"/>
  <c r="J71" i="2" a="1"/>
  <c r="J71" i="2" s="1"/>
  <c r="J70" i="2" a="1"/>
  <c r="J70" i="2" s="1"/>
  <c r="J69" i="2" a="1"/>
  <c r="J69" i="2" s="1"/>
  <c r="J68" i="2" a="1"/>
  <c r="J68" i="2" s="1"/>
  <c r="J67" i="2" a="1"/>
  <c r="J67" i="2" s="1"/>
  <c r="J66" i="2" a="1"/>
  <c r="J66" i="2" s="1"/>
  <c r="J65" i="2" a="1"/>
  <c r="J65" i="2" s="1"/>
  <c r="J64" i="2" a="1"/>
  <c r="J64" i="2" s="1"/>
  <c r="J63" i="2" a="1"/>
  <c r="J63" i="2" s="1"/>
  <c r="J62" i="2" a="1"/>
  <c r="J62" i="2" s="1"/>
  <c r="J61" i="2" a="1"/>
  <c r="J61" i="2" s="1"/>
  <c r="J60" i="2" a="1"/>
  <c r="J60" i="2" s="1"/>
  <c r="J59" i="2" a="1"/>
  <c r="J59" i="2" s="1"/>
  <c r="J56" i="2" a="1"/>
  <c r="J56" i="2" s="1"/>
  <c r="J55" i="2" a="1"/>
  <c r="J55" i="2" s="1"/>
  <c r="J54" i="2" a="1"/>
  <c r="J54" i="2" s="1"/>
  <c r="J53" i="2" a="1"/>
  <c r="J53" i="2" s="1"/>
  <c r="J52" i="2" a="1"/>
  <c r="J52" i="2" s="1"/>
  <c r="J51" i="2" a="1"/>
  <c r="J51" i="2" s="1"/>
  <c r="J50" i="2" a="1"/>
  <c r="J50" i="2" s="1"/>
  <c r="J49" i="2" a="1"/>
  <c r="J49" i="2" s="1"/>
  <c r="J48" i="2" a="1"/>
  <c r="J48" i="2" s="1"/>
  <c r="J46" i="2" a="1"/>
  <c r="J46" i="2" s="1"/>
  <c r="J45" i="2" a="1"/>
  <c r="J45" i="2" s="1"/>
  <c r="J44" i="2" a="1"/>
  <c r="J44" i="2" s="1"/>
  <c r="J43" i="2" a="1"/>
  <c r="J43" i="2" s="1"/>
  <c r="J42" i="2" a="1"/>
  <c r="J42" i="2" s="1"/>
  <c r="J41" i="2" a="1"/>
  <c r="J41" i="2" s="1"/>
  <c r="J40" i="2" a="1"/>
  <c r="J40" i="2" s="1"/>
  <c r="J39" i="2" a="1"/>
  <c r="J39" i="2" s="1"/>
  <c r="J38" i="2" a="1"/>
  <c r="J38" i="2" s="1"/>
  <c r="J37" i="2" a="1"/>
  <c r="J37" i="2" s="1"/>
  <c r="J36" i="2" a="1"/>
  <c r="J36" i="2" s="1"/>
  <c r="J35" i="2" a="1"/>
  <c r="J35" i="2" s="1"/>
  <c r="J34" i="2" a="1"/>
  <c r="J34" i="2" s="1"/>
  <c r="J33" i="2" a="1"/>
  <c r="J33" i="2" s="1"/>
  <c r="J32" i="2" a="1"/>
  <c r="J32" i="2" s="1"/>
  <c r="J31" i="2" a="1"/>
  <c r="J31" i="2" s="1"/>
  <c r="J30" i="2" a="1"/>
  <c r="J30" i="2" s="1"/>
  <c r="J29" i="2" a="1"/>
  <c r="J29" i="2" s="1"/>
  <c r="J28" i="2" a="1"/>
  <c r="J28" i="2" s="1"/>
  <c r="J27" i="2" a="1"/>
  <c r="J27" i="2" s="1"/>
  <c r="J26" i="2" a="1"/>
  <c r="J26" i="2" s="1"/>
  <c r="J24" i="2" a="1"/>
  <c r="J24" i="2" s="1"/>
  <c r="J23" i="2" a="1"/>
  <c r="J23" i="2" s="1"/>
  <c r="J22" i="2" a="1"/>
  <c r="J22" i="2" s="1"/>
  <c r="J21" i="2" a="1"/>
  <c r="J21" i="2" s="1"/>
  <c r="J20" i="2" a="1"/>
  <c r="J20" i="2" s="1"/>
  <c r="J19" i="2" a="1"/>
  <c r="J19" i="2" s="1"/>
  <c r="J18" i="2" a="1"/>
  <c r="J18" i="2" s="1"/>
  <c r="J17" i="2" a="1"/>
  <c r="J17" i="2" s="1"/>
  <c r="J16" i="2" a="1"/>
  <c r="J16" i="2" s="1"/>
  <c r="J15" i="2" a="1"/>
  <c r="J15" i="2" s="1"/>
  <c r="J14" i="2" a="1"/>
  <c r="J14" i="2" s="1"/>
  <c r="I11" i="3" s="1"/>
  <c r="J13" i="2" a="1"/>
  <c r="J13" i="2" s="1"/>
  <c r="J12" i="2" a="1"/>
  <c r="J12" i="2" s="1"/>
  <c r="J11" i="2" a="1"/>
  <c r="J11" i="2" s="1"/>
  <c r="J10" i="2" a="1"/>
  <c r="J10" i="2" s="1"/>
  <c r="J9" i="2" a="1"/>
  <c r="J9" i="2" s="1"/>
  <c r="J8" i="2" a="1"/>
  <c r="J8" i="2" s="1"/>
  <c r="J7" i="2" a="1"/>
  <c r="J7" i="2" s="1"/>
  <c r="J6" i="2" a="1"/>
  <c r="J6" i="2" s="1"/>
  <c r="J5" i="2" a="1"/>
  <c r="J5" i="2" s="1"/>
  <c r="J4" i="2" a="1"/>
  <c r="J4" i="2" s="1"/>
  <c r="J3" i="2" a="1"/>
  <c r="J3" i="2" s="1"/>
  <c r="J121" i="2" a="1"/>
  <c r="J121" i="2" s="1"/>
  <c r="J113" i="2" a="1"/>
  <c r="J113" i="2" s="1"/>
  <c r="J89" i="2" a="1"/>
  <c r="J89" i="2" s="1"/>
  <c r="J57" i="2" a="1"/>
  <c r="J57" i="2" s="1"/>
  <c r="J25" i="2" a="1"/>
  <c r="J25" i="2" s="1"/>
  <c r="G60" i="3" a="1"/>
  <c r="G60" i="3" s="1"/>
  <c r="E60" i="3"/>
  <c r="C60" i="3" s="1" a="1"/>
  <c r="C60" i="3" s="1"/>
  <c r="G70" i="3" a="1"/>
  <c r="G70" i="3" s="1"/>
  <c r="E70" i="3"/>
  <c r="C70" i="3" s="1" a="1"/>
  <c r="C70" i="3" s="1"/>
  <c r="G54" i="3" a="1"/>
  <c r="G54" i="3" s="1"/>
  <c r="E54" i="3"/>
  <c r="C54" i="3" s="1" a="1"/>
  <c r="C54" i="3" s="1"/>
  <c r="E51" i="3"/>
  <c r="C51" i="3" s="1" a="1"/>
  <c r="C51" i="3" s="1"/>
  <c r="G51" i="3" a="1"/>
  <c r="G51" i="3" s="1"/>
  <c r="I58" i="3"/>
  <c r="G58" i="3" a="1"/>
  <c r="G58" i="3" s="1"/>
  <c r="F58" i="3"/>
  <c r="E58" i="3"/>
  <c r="C58" i="3" s="1" a="1"/>
  <c r="C58" i="3" s="1"/>
  <c r="G61" i="3" a="1"/>
  <c r="G61" i="3" s="1"/>
  <c r="E61" i="3"/>
  <c r="C61" i="3" s="1" a="1"/>
  <c r="C61" i="3" s="1"/>
  <c r="I93" i="3"/>
  <c r="G93" i="3" a="1"/>
  <c r="G93" i="3" s="1"/>
  <c r="F93" i="3"/>
  <c r="E93" i="3"/>
  <c r="C93" i="3" s="1" a="1"/>
  <c r="C93" i="3" s="1"/>
  <c r="G55" i="3" a="1"/>
  <c r="G55" i="3" s="1"/>
  <c r="E55" i="3"/>
  <c r="C55" i="3" s="1" a="1"/>
  <c r="C55" i="3" s="1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E1" i="8"/>
  <c r="D1" i="8"/>
  <c r="C1" i="8"/>
  <c r="B1" i="8"/>
  <c r="I94" i="3"/>
  <c r="G94" i="3" a="1"/>
  <c r="G94" i="3" s="1"/>
  <c r="F94" i="3"/>
  <c r="E94" i="3"/>
  <c r="C94" i="3" s="1" a="1"/>
  <c r="C94" i="3" s="1"/>
  <c r="G86" i="3" a="1"/>
  <c r="G86" i="3" s="1"/>
  <c r="E86" i="3"/>
  <c r="C86" i="3" s="1" a="1"/>
  <c r="C86" i="3" s="1"/>
  <c r="G81" i="3" a="1"/>
  <c r="G81" i="3" s="1"/>
  <c r="E81" i="3"/>
  <c r="C81" i="3" s="1" a="1"/>
  <c r="C81" i="3" s="1"/>
  <c r="G73" i="3" a="1"/>
  <c r="G73" i="3" s="1"/>
  <c r="E73" i="3"/>
  <c r="C73" i="3" s="1" a="1"/>
  <c r="C73" i="3" s="1"/>
  <c r="G43" i="3" a="1"/>
  <c r="G43" i="3" s="1"/>
  <c r="E43" i="3"/>
  <c r="C43" i="3" s="1" a="1"/>
  <c r="C43" i="3" s="1"/>
  <c r="I59" i="3"/>
  <c r="I90" i="3"/>
  <c r="I89" i="3"/>
  <c r="I80" i="3"/>
  <c r="I79" i="3"/>
  <c r="I78" i="3"/>
  <c r="I67" i="3"/>
  <c r="I66" i="3"/>
  <c r="I65" i="3"/>
  <c r="I64" i="3"/>
  <c r="I63" i="3"/>
  <c r="I50" i="3"/>
  <c r="G59" i="3" a="1"/>
  <c r="G59" i="3" s="1"/>
  <c r="F59" i="3"/>
  <c r="E59" i="3"/>
  <c r="C59" i="3" s="1" a="1"/>
  <c r="C59" i="3" s="1"/>
  <c r="G90" i="3" a="1"/>
  <c r="G90" i="3" s="1"/>
  <c r="F90" i="3"/>
  <c r="E90" i="3"/>
  <c r="C90" i="3" s="1" a="1"/>
  <c r="C90" i="3" s="1"/>
  <c r="G89" i="3" a="1"/>
  <c r="G89" i="3" s="1"/>
  <c r="F89" i="3"/>
  <c r="E89" i="3"/>
  <c r="C89" i="3" s="1" a="1"/>
  <c r="C89" i="3" s="1"/>
  <c r="G80" i="3" a="1"/>
  <c r="G80" i="3" s="1"/>
  <c r="F80" i="3"/>
  <c r="E80" i="3"/>
  <c r="C80" i="3" s="1" a="1"/>
  <c r="C80" i="3" s="1"/>
  <c r="G52" i="3" a="1"/>
  <c r="G52" i="3" s="1"/>
  <c r="E52" i="3"/>
  <c r="C52" i="3" s="1" a="1"/>
  <c r="C52" i="3" s="1"/>
  <c r="G83" i="3" a="1"/>
  <c r="G83" i="3" s="1"/>
  <c r="E83" i="3"/>
  <c r="C83" i="3" s="1" a="1"/>
  <c r="C83" i="3" s="1"/>
  <c r="G82" i="3" a="1"/>
  <c r="G82" i="3" s="1"/>
  <c r="E82" i="3"/>
  <c r="C82" i="3" s="1" a="1"/>
  <c r="C82" i="3" s="1"/>
  <c r="G75" i="3" a="1"/>
  <c r="G75" i="3" s="1"/>
  <c r="E75" i="3"/>
  <c r="C75" i="3" s="1" a="1"/>
  <c r="C75" i="3" s="1"/>
  <c r="G88" i="3" a="1"/>
  <c r="G88" i="3" s="1"/>
  <c r="E88" i="3"/>
  <c r="C88" i="3" s="1" a="1"/>
  <c r="C88" i="3" s="1"/>
  <c r="G85" i="3" a="1"/>
  <c r="G85" i="3" s="1"/>
  <c r="E85" i="3"/>
  <c r="C85" i="3" s="1" a="1"/>
  <c r="C85" i="3" s="1"/>
  <c r="G84" i="3" a="1"/>
  <c r="G84" i="3" s="1"/>
  <c r="E84" i="3"/>
  <c r="C84" i="3" s="1" a="1"/>
  <c r="C84" i="3" s="1"/>
  <c r="G79" i="3" a="1"/>
  <c r="G79" i="3" s="1"/>
  <c r="F79" i="3"/>
  <c r="E79" i="3"/>
  <c r="C79" i="3" s="1" a="1"/>
  <c r="C79" i="3" s="1"/>
  <c r="G78" i="3" a="1"/>
  <c r="G78" i="3" s="1"/>
  <c r="F78" i="3"/>
  <c r="E78" i="3"/>
  <c r="C78" i="3" s="1" a="1"/>
  <c r="C78" i="3" s="1"/>
  <c r="G76" i="3" a="1"/>
  <c r="G76" i="3" s="1"/>
  <c r="E76" i="3"/>
  <c r="C76" i="3" s="1" a="1"/>
  <c r="C76" i="3" s="1"/>
  <c r="G77" i="3" a="1"/>
  <c r="G77" i="3" s="1"/>
  <c r="E77" i="3"/>
  <c r="C77" i="3" s="1" a="1"/>
  <c r="C77" i="3" s="1"/>
  <c r="G72" i="3" a="1"/>
  <c r="G72" i="3" s="1"/>
  <c r="E72" i="3"/>
  <c r="C72" i="3" s="1" a="1"/>
  <c r="C72" i="3" s="1"/>
  <c r="G40" i="3" a="1"/>
  <c r="G40" i="3" s="1"/>
  <c r="E40" i="3"/>
  <c r="C40" i="3" s="1" a="1"/>
  <c r="C40" i="3" s="1"/>
  <c r="G26" i="3" a="1"/>
  <c r="G26" i="3" s="1"/>
  <c r="E26" i="3"/>
  <c r="C26" i="3" s="1" a="1"/>
  <c r="C26" i="3" s="1"/>
  <c r="G17" i="3" a="1"/>
  <c r="G17" i="3" s="1"/>
  <c r="E17" i="3"/>
  <c r="C17" i="3" s="1" a="1"/>
  <c r="C17" i="3" s="1"/>
  <c r="G71" i="3" a="1"/>
  <c r="G71" i="3" s="1"/>
  <c r="E71" i="3"/>
  <c r="C71" i="3" s="1" a="1"/>
  <c r="C71" i="3" s="1"/>
  <c r="G68" i="3" a="1"/>
  <c r="G68" i="3" s="1"/>
  <c r="E68" i="3"/>
  <c r="C68" i="3" s="1" a="1"/>
  <c r="C68" i="3" s="1"/>
  <c r="G41" i="3" a="1"/>
  <c r="G41" i="3" s="1"/>
  <c r="E41" i="3"/>
  <c r="C41" i="3" s="1" a="1"/>
  <c r="C41" i="3" s="1"/>
  <c r="G69" i="3" a="1"/>
  <c r="G69" i="3" s="1"/>
  <c r="E69" i="3"/>
  <c r="C69" i="3" s="1" a="1"/>
  <c r="C69" i="3" s="1"/>
  <c r="G67" i="3" a="1"/>
  <c r="G67" i="3" s="1"/>
  <c r="F67" i="3"/>
  <c r="E67" i="3"/>
  <c r="C67" i="3" s="1" a="1"/>
  <c r="C67" i="3" s="1"/>
  <c r="G66" i="3" a="1"/>
  <c r="G66" i="3" s="1"/>
  <c r="F66" i="3"/>
  <c r="E66" i="3"/>
  <c r="C66" i="3" s="1" a="1"/>
  <c r="C66" i="3" s="1"/>
  <c r="G65" i="3" a="1"/>
  <c r="G65" i="3" s="1"/>
  <c r="F65" i="3"/>
  <c r="E65" i="3"/>
  <c r="C65" i="3" s="1" a="1"/>
  <c r="C65" i="3" s="1"/>
  <c r="G64" i="3" a="1"/>
  <c r="G64" i="3" s="1"/>
  <c r="F64" i="3"/>
  <c r="E64" i="3"/>
  <c r="C64" i="3" s="1" a="1"/>
  <c r="C64" i="3" s="1"/>
  <c r="G63" i="3" a="1"/>
  <c r="G63" i="3" s="1"/>
  <c r="F63" i="3"/>
  <c r="E63" i="3"/>
  <c r="C63" i="3" s="1" a="1"/>
  <c r="C63" i="3" s="1"/>
  <c r="G50" i="3" a="1"/>
  <c r="G50" i="3" s="1"/>
  <c r="F50" i="3"/>
  <c r="E50" i="3"/>
  <c r="C50" i="3" s="1" a="1"/>
  <c r="C50" i="3" s="1"/>
  <c r="G35" i="3" a="1"/>
  <c r="G35" i="3" s="1"/>
  <c r="E35" i="3"/>
  <c r="C35" i="3" s="1" a="1"/>
  <c r="C35" i="3" s="1"/>
  <c r="G62" i="3" a="1"/>
  <c r="G62" i="3" s="1"/>
  <c r="E62" i="3"/>
  <c r="C62" i="3" s="1" a="1"/>
  <c r="C62" i="3" s="1"/>
  <c r="G16" i="3" a="1"/>
  <c r="G16" i="3" s="1"/>
  <c r="E16" i="3"/>
  <c r="C16" i="3" s="1" a="1"/>
  <c r="C16" i="3" s="1"/>
  <c r="G32" i="3" a="1"/>
  <c r="G32" i="3" s="1"/>
  <c r="E32" i="3"/>
  <c r="C32" i="3" s="1" a="1"/>
  <c r="C32" i="3" s="1"/>
  <c r="G56" i="3" a="1"/>
  <c r="G56" i="3" s="1"/>
  <c r="E56" i="3"/>
  <c r="C56" i="3" s="1" a="1"/>
  <c r="C56" i="3" s="1"/>
  <c r="G57" i="3" a="1"/>
  <c r="G57" i="3" s="1"/>
  <c r="E57" i="3"/>
  <c r="C57" i="3" s="1" a="1"/>
  <c r="C57" i="3" s="1"/>
  <c r="G39" i="3" a="1"/>
  <c r="G39" i="3" s="1"/>
  <c r="E39" i="3"/>
  <c r="C39" i="3" s="1" a="1"/>
  <c r="C39" i="3" s="1"/>
  <c r="G30" i="3" a="1"/>
  <c r="G30" i="3" s="1"/>
  <c r="E30" i="3"/>
  <c r="C30" i="3" s="1" a="1"/>
  <c r="C30" i="3" s="1"/>
  <c r="G53" i="3" a="1"/>
  <c r="G53" i="3" s="1"/>
  <c r="E53" i="3"/>
  <c r="C53" i="3" s="1" a="1"/>
  <c r="C53" i="3" s="1"/>
  <c r="G27" i="3" a="1"/>
  <c r="G27" i="3" s="1"/>
  <c r="E27" i="3"/>
  <c r="C27" i="3" s="1" a="1"/>
  <c r="C27" i="3" s="1"/>
  <c r="G46" i="3" a="1"/>
  <c r="G46" i="3" s="1"/>
  <c r="E46" i="3"/>
  <c r="C46" i="3" s="1" a="1"/>
  <c r="C46" i="3" s="1"/>
  <c r="G34" i="3" a="1"/>
  <c r="G34" i="3" s="1"/>
  <c r="E34" i="3"/>
  <c r="C34" i="3" s="1" a="1"/>
  <c r="C34" i="3" s="1"/>
  <c r="G23" i="3" a="1"/>
  <c r="G23" i="3" s="1"/>
  <c r="E23" i="3"/>
  <c r="C23" i="3" s="1" a="1"/>
  <c r="C23" i="3" s="1"/>
  <c r="G48" i="3" a="1"/>
  <c r="G48" i="3" s="1"/>
  <c r="E48" i="3"/>
  <c r="C48" i="3" s="1" a="1"/>
  <c r="C48" i="3" s="1"/>
  <c r="G49" i="3" a="1"/>
  <c r="G49" i="3" s="1"/>
  <c r="E49" i="3"/>
  <c r="C49" i="3" s="1" a="1"/>
  <c r="C49" i="3" s="1"/>
  <c r="G21" i="3" a="1"/>
  <c r="G21" i="3" s="1"/>
  <c r="E21" i="3"/>
  <c r="C21" i="3" s="1" a="1"/>
  <c r="C21" i="3" s="1"/>
  <c r="G29" i="3" a="1"/>
  <c r="G29" i="3" s="1"/>
  <c r="E29" i="3"/>
  <c r="C29" i="3" s="1" a="1"/>
  <c r="C29" i="3" s="1"/>
  <c r="G47" i="3" a="1"/>
  <c r="G47" i="3" s="1"/>
  <c r="E47" i="3"/>
  <c r="C47" i="3" s="1" a="1"/>
  <c r="C47" i="3" s="1"/>
  <c r="G25" i="3" a="1"/>
  <c r="G25" i="3" s="1"/>
  <c r="E25" i="3"/>
  <c r="C25" i="3" s="1" a="1"/>
  <c r="C25" i="3" s="1"/>
  <c r="G44" i="3" a="1"/>
  <c r="G44" i="3" s="1"/>
  <c r="E44" i="3"/>
  <c r="C44" i="3" s="1" a="1"/>
  <c r="C44" i="3" s="1"/>
  <c r="G45" i="3" a="1"/>
  <c r="G45" i="3" s="1"/>
  <c r="E45" i="3"/>
  <c r="C45" i="3" s="1" a="1"/>
  <c r="C45" i="3" s="1"/>
  <c r="G9" i="3" a="1"/>
  <c r="G9" i="3" s="1"/>
  <c r="E9" i="3"/>
  <c r="C9" i="3" s="1" a="1"/>
  <c r="C9" i="3" s="1"/>
  <c r="G19" i="3" a="1"/>
  <c r="G19" i="3" s="1"/>
  <c r="E19" i="3"/>
  <c r="C19" i="3" s="1" a="1"/>
  <c r="C19" i="3" s="1"/>
  <c r="G38" i="3" a="1"/>
  <c r="G38" i="3" s="1"/>
  <c r="E38" i="3"/>
  <c r="C38" i="3" s="1" a="1"/>
  <c r="C38" i="3" s="1"/>
  <c r="G10" i="3" a="1"/>
  <c r="G10" i="3" s="1"/>
  <c r="E10" i="3"/>
  <c r="C10" i="3" s="1" a="1"/>
  <c r="C10" i="3" s="1"/>
  <c r="G31" i="3" a="1"/>
  <c r="G31" i="3" s="1"/>
  <c r="E31" i="3"/>
  <c r="C31" i="3" s="1" a="1"/>
  <c r="C31" i="3" s="1"/>
  <c r="G18" i="3" a="1"/>
  <c r="G18" i="3" s="1"/>
  <c r="E18" i="3"/>
  <c r="C18" i="3" s="1" a="1"/>
  <c r="C18" i="3" s="1"/>
  <c r="G36" i="3" a="1"/>
  <c r="G36" i="3" s="1"/>
  <c r="E36" i="3"/>
  <c r="C36" i="3" s="1" a="1"/>
  <c r="C36" i="3" s="1"/>
  <c r="G33" i="3" a="1"/>
  <c r="G33" i="3" s="1"/>
  <c r="E33" i="3"/>
  <c r="C33" i="3" s="1" a="1"/>
  <c r="C33" i="3" s="1"/>
  <c r="G14" i="3" a="1"/>
  <c r="G14" i="3" s="1"/>
  <c r="E14" i="3"/>
  <c r="C14" i="3" s="1" a="1"/>
  <c r="C14" i="3" s="1"/>
  <c r="G22" i="3" a="1"/>
  <c r="G22" i="3" s="1"/>
  <c r="E22" i="3"/>
  <c r="C22" i="3" s="1" a="1"/>
  <c r="C22" i="3" s="1"/>
  <c r="G42" i="3" a="1"/>
  <c r="G42" i="3" s="1"/>
  <c r="E42" i="3"/>
  <c r="C42" i="3" s="1" a="1"/>
  <c r="C42" i="3" s="1"/>
  <c r="G24" i="3" a="1"/>
  <c r="G24" i="3" s="1"/>
  <c r="E24" i="3"/>
  <c r="C24" i="3" s="1" a="1"/>
  <c r="C24" i="3" s="1"/>
  <c r="G20" i="3" a="1"/>
  <c r="G20" i="3" s="1"/>
  <c r="E20" i="3"/>
  <c r="C20" i="3" s="1" a="1"/>
  <c r="C20" i="3" s="1"/>
  <c r="G28" i="3" a="1"/>
  <c r="G28" i="3" s="1"/>
  <c r="E28" i="3"/>
  <c r="C28" i="3" s="1" a="1"/>
  <c r="C28" i="3" s="1"/>
  <c r="G12" i="3" a="1"/>
  <c r="G12" i="3" s="1"/>
  <c r="E12" i="3"/>
  <c r="C12" i="3" s="1" a="1"/>
  <c r="C12" i="3" s="1"/>
  <c r="G15" i="3" a="1"/>
  <c r="G15" i="3" s="1"/>
  <c r="E15" i="3"/>
  <c r="C15" i="3" s="1" a="1"/>
  <c r="C15" i="3" s="1"/>
  <c r="G37" i="3" a="1"/>
  <c r="G37" i="3" s="1"/>
  <c r="E37" i="3"/>
  <c r="C37" i="3" s="1" a="1"/>
  <c r="C37" i="3" s="1"/>
  <c r="G13" i="3" a="1"/>
  <c r="G13" i="3" s="1"/>
  <c r="E13" i="3"/>
  <c r="C13" i="3" s="1" a="1"/>
  <c r="C13" i="3" s="1"/>
  <c r="G7" i="3" a="1"/>
  <c r="G7" i="3" s="1"/>
  <c r="E7" i="3"/>
  <c r="C7" i="3" s="1" a="1"/>
  <c r="C7" i="3" s="1"/>
  <c r="G8" i="3" a="1"/>
  <c r="G8" i="3" s="1"/>
  <c r="E8" i="3"/>
  <c r="C8" i="3" s="1" a="1"/>
  <c r="C8" i="3" s="1"/>
  <c r="G2" i="3" a="1"/>
  <c r="G2" i="3" s="1"/>
  <c r="E2" i="3"/>
  <c r="C2" i="3" s="1" a="1"/>
  <c r="C2" i="3" s="1"/>
  <c r="G6" i="3" a="1"/>
  <c r="G6" i="3" s="1"/>
  <c r="E6" i="3"/>
  <c r="C6" i="3" s="1" a="1"/>
  <c r="C6" i="3" s="1"/>
  <c r="G5" i="3" a="1"/>
  <c r="G5" i="3" s="1"/>
  <c r="E5" i="3"/>
  <c r="C5" i="3" s="1" a="1"/>
  <c r="C5" i="3" s="1"/>
  <c r="G3" i="3" a="1"/>
  <c r="G3" i="3" s="1"/>
  <c r="E3" i="3"/>
  <c r="C3" i="3" s="1" a="1"/>
  <c r="C3" i="3" s="1"/>
  <c r="G4" i="3" a="1"/>
  <c r="G4" i="3" s="1"/>
  <c r="E4" i="3"/>
  <c r="A3" i="6"/>
  <c r="A2" i="7"/>
  <c r="D2" i="7" s="1"/>
  <c r="G153" i="2"/>
  <c r="G2" i="2"/>
  <c r="G141" i="2"/>
  <c r="G169" i="2"/>
  <c r="G170" i="2"/>
  <c r="G69" i="2"/>
  <c r="G26" i="2"/>
  <c r="G156" i="2"/>
  <c r="G41" i="2"/>
  <c r="G64" i="2"/>
  <c r="G55" i="2"/>
  <c r="G33" i="2"/>
  <c r="G61" i="2"/>
  <c r="G39" i="2"/>
  <c r="G17" i="2"/>
  <c r="G14" i="2"/>
  <c r="G110" i="2"/>
  <c r="G4" i="2"/>
  <c r="G117" i="2"/>
  <c r="G145" i="2"/>
  <c r="G108" i="2"/>
  <c r="G75" i="2"/>
  <c r="G125" i="2"/>
  <c r="G34" i="2"/>
  <c r="G159" i="2"/>
  <c r="G25" i="2"/>
  <c r="G3" i="2"/>
  <c r="G138" i="2"/>
  <c r="G37" i="2"/>
  <c r="G30" i="2"/>
  <c r="G53" i="2"/>
  <c r="G38" i="2"/>
  <c r="G152" i="2"/>
  <c r="G150" i="2"/>
  <c r="G72" i="2"/>
  <c r="G129" i="2"/>
  <c r="G51" i="2"/>
  <c r="G135" i="2"/>
  <c r="G127" i="2"/>
  <c r="G6" i="2"/>
  <c r="G164" i="2"/>
  <c r="G44" i="2"/>
  <c r="G20" i="2"/>
  <c r="G120" i="2"/>
  <c r="G115" i="2"/>
  <c r="G42" i="2"/>
  <c r="G113" i="2"/>
  <c r="G134" i="2"/>
  <c r="G161" i="2"/>
  <c r="G82" i="2"/>
  <c r="G46" i="2"/>
  <c r="G146" i="2"/>
  <c r="G162" i="2"/>
  <c r="G84" i="2"/>
  <c r="G48" i="2"/>
  <c r="G89" i="2"/>
  <c r="G47" i="2"/>
  <c r="G16" i="2"/>
  <c r="G167" i="2"/>
  <c r="G144" i="2"/>
  <c r="G163" i="2"/>
  <c r="G137" i="2"/>
  <c r="G68" i="2"/>
  <c r="G18" i="2"/>
  <c r="G158" i="2"/>
  <c r="G29" i="2"/>
  <c r="G92" i="2"/>
  <c r="G94" i="2"/>
  <c r="G157" i="2"/>
  <c r="G133" i="2"/>
  <c r="G126" i="2"/>
  <c r="G28" i="2"/>
  <c r="G31" i="2"/>
  <c r="G12" i="2"/>
  <c r="G11" i="2"/>
  <c r="G140" i="2"/>
  <c r="G60" i="2"/>
  <c r="G10" i="2"/>
  <c r="G154" i="2"/>
  <c r="G147" i="2"/>
  <c r="G96" i="2"/>
  <c r="G109" i="2"/>
  <c r="G116" i="2"/>
  <c r="G88" i="2"/>
  <c r="G91" i="2"/>
  <c r="G85" i="2"/>
  <c r="G130" i="2"/>
  <c r="G52" i="2"/>
  <c r="G71" i="2"/>
  <c r="G132" i="2"/>
  <c r="G73" i="2"/>
  <c r="G24" i="2"/>
  <c r="G9" i="2"/>
  <c r="G131" i="2"/>
  <c r="G54" i="2"/>
  <c r="G57" i="2"/>
  <c r="G166" i="2"/>
  <c r="G101" i="2"/>
  <c r="G5" i="2"/>
  <c r="G114" i="2"/>
  <c r="G77" i="2"/>
  <c r="G136" i="2"/>
  <c r="G19" i="2"/>
  <c r="G124" i="2"/>
  <c r="G123" i="2"/>
  <c r="G74" i="2"/>
  <c r="G107" i="2"/>
  <c r="G65" i="2"/>
  <c r="G118" i="2"/>
  <c r="G40" i="2"/>
  <c r="G151" i="2"/>
  <c r="G100" i="2"/>
  <c r="G142" i="2"/>
  <c r="G50" i="2"/>
  <c r="G149" i="2"/>
  <c r="G79" i="2"/>
  <c r="G70" i="2"/>
  <c r="G155" i="2"/>
  <c r="G21" i="2"/>
  <c r="G78" i="2"/>
  <c r="G56" i="2"/>
  <c r="G106" i="2"/>
  <c r="G63" i="2"/>
  <c r="G58" i="2"/>
  <c r="G67" i="2"/>
  <c r="G139" i="2"/>
  <c r="G98" i="2"/>
  <c r="G81" i="2"/>
  <c r="G36" i="2"/>
  <c r="G32" i="2"/>
  <c r="G49" i="2"/>
  <c r="G148" i="2"/>
  <c r="G99" i="2"/>
  <c r="G43" i="2"/>
  <c r="G45" i="2"/>
  <c r="G15" i="2"/>
  <c r="G121" i="2"/>
  <c r="G7" i="2"/>
  <c r="G22" i="2"/>
  <c r="G13" i="2"/>
  <c r="G128" i="2"/>
  <c r="G105" i="2"/>
  <c r="G86" i="2"/>
  <c r="G27" i="2"/>
  <c r="G62" i="2"/>
  <c r="G160" i="2"/>
  <c r="G112" i="2"/>
  <c r="G90" i="2"/>
  <c r="G102" i="2"/>
  <c r="G80" i="2"/>
  <c r="G87" i="2"/>
  <c r="G168" i="2"/>
  <c r="G97" i="2"/>
  <c r="G76" i="2"/>
  <c r="G59" i="2"/>
  <c r="G95" i="2"/>
  <c r="G111" i="2"/>
  <c r="G66" i="2"/>
  <c r="G119" i="2"/>
  <c r="G104" i="2"/>
  <c r="G8" i="2"/>
  <c r="G103" i="2"/>
  <c r="G143" i="2"/>
  <c r="G122" i="2"/>
  <c r="G35" i="2"/>
  <c r="G165" i="2"/>
  <c r="G83" i="2"/>
  <c r="G23" i="2"/>
  <c r="G93" i="2"/>
  <c r="D87" i="3" l="1" a="1"/>
  <c r="D87" i="3" s="1"/>
  <c r="H87" i="3" a="1"/>
  <c r="H87" i="3" s="1"/>
  <c r="D95" i="3" a="1"/>
  <c r="D95" i="3" s="1"/>
  <c r="H95" i="3" a="1"/>
  <c r="H95" i="3" s="1"/>
  <c r="H74" i="3" a="1"/>
  <c r="H74" i="3" s="1"/>
  <c r="D74" i="3" a="1"/>
  <c r="D74" i="3" s="1"/>
  <c r="J154" i="2" a="1"/>
  <c r="J154" i="2" s="1"/>
  <c r="J167" i="2" a="1"/>
  <c r="J167" i="2" s="1"/>
  <c r="J165" i="2" a="1"/>
  <c r="J165" i="2" s="1"/>
  <c r="J80" i="2" a="1"/>
  <c r="J80" i="2" s="1"/>
  <c r="J82" i="2" a="1"/>
  <c r="J82" i="2" s="1"/>
  <c r="J83" i="2" a="1"/>
  <c r="J83" i="2" s="1"/>
  <c r="J84" i="2" a="1"/>
  <c r="J84" i="2" s="1"/>
  <c r="J85" i="2" a="1"/>
  <c r="J85" i="2" s="1"/>
  <c r="J86" i="2" a="1"/>
  <c r="J86" i="2" s="1"/>
  <c r="J87" i="2" a="1"/>
  <c r="J87" i="2" s="1"/>
  <c r="J88" i="2" a="1"/>
  <c r="J88" i="2" s="1"/>
  <c r="J90" i="2" a="1"/>
  <c r="J90" i="2" s="1"/>
  <c r="J91" i="2" a="1"/>
  <c r="J91" i="2" s="1"/>
  <c r="J92" i="2" a="1"/>
  <c r="J92" i="2" s="1"/>
  <c r="J93" i="2" a="1"/>
  <c r="J93" i="2" s="1"/>
  <c r="J94" i="2" a="1"/>
  <c r="J94" i="2" s="1"/>
  <c r="J95" i="2" a="1"/>
  <c r="J95" i="2" s="1"/>
  <c r="J96" i="2" a="1"/>
  <c r="J96" i="2" s="1"/>
  <c r="J98" i="2" a="1"/>
  <c r="J98" i="2" s="1"/>
  <c r="J99" i="2" a="1"/>
  <c r="J99" i="2" s="1"/>
  <c r="J100" i="2" a="1"/>
  <c r="J100" i="2" s="1"/>
  <c r="J101" i="2" a="1"/>
  <c r="J101" i="2" s="1"/>
  <c r="J102" i="2" a="1"/>
  <c r="J102" i="2" s="1"/>
  <c r="J103" i="2" a="1"/>
  <c r="J103" i="2" s="1"/>
  <c r="J104" i="2" a="1"/>
  <c r="J104" i="2" s="1"/>
  <c r="J106" i="2" a="1"/>
  <c r="J106" i="2" s="1"/>
  <c r="J107" i="2" a="1"/>
  <c r="J107" i="2" s="1"/>
  <c r="J108" i="2" a="1"/>
  <c r="J108" i="2" s="1"/>
  <c r="J109" i="2" a="1"/>
  <c r="J109" i="2" s="1"/>
  <c r="J110" i="2" a="1"/>
  <c r="J110" i="2" s="1"/>
  <c r="J111" i="2" a="1"/>
  <c r="J111" i="2" s="1"/>
  <c r="J112" i="2" a="1"/>
  <c r="J112" i="2" s="1"/>
  <c r="J114" i="2" a="1"/>
  <c r="J114" i="2" s="1"/>
  <c r="J115" i="2" a="1"/>
  <c r="J115" i="2" s="1"/>
  <c r="J116" i="2" a="1"/>
  <c r="J116" i="2" s="1"/>
  <c r="J117" i="2" a="1"/>
  <c r="J117" i="2" s="1"/>
  <c r="J118" i="2" a="1"/>
  <c r="J118" i="2" s="1"/>
  <c r="J119" i="2" a="1"/>
  <c r="J119" i="2" s="1"/>
  <c r="J120" i="2" a="1"/>
  <c r="J120" i="2" s="1"/>
  <c r="J122" i="2" a="1"/>
  <c r="J122" i="2" s="1"/>
  <c r="J123" i="2" a="1"/>
  <c r="J123" i="2" s="1"/>
  <c r="J124" i="2" a="1"/>
  <c r="J124" i="2" s="1"/>
  <c r="J125" i="2" a="1"/>
  <c r="J125" i="2" s="1"/>
  <c r="J126" i="2" a="1"/>
  <c r="J126" i="2" s="1"/>
  <c r="J127" i="2" a="1"/>
  <c r="J127" i="2" s="1"/>
  <c r="J128" i="2" a="1"/>
  <c r="J128" i="2" s="1"/>
  <c r="J130" i="2" a="1"/>
  <c r="J130" i="2" s="1"/>
  <c r="J131" i="2" a="1"/>
  <c r="J131" i="2" s="1"/>
  <c r="J132" i="2" a="1"/>
  <c r="J132" i="2" s="1"/>
  <c r="J133" i="2" a="1"/>
  <c r="J133" i="2" s="1"/>
  <c r="J134" i="2" a="1"/>
  <c r="J134" i="2" s="1"/>
  <c r="J135" i="2" a="1"/>
  <c r="J135" i="2" s="1"/>
  <c r="J136" i="2" a="1"/>
  <c r="J136" i="2" s="1"/>
  <c r="J138" i="2" a="1"/>
  <c r="J138" i="2" s="1"/>
  <c r="J139" i="2" a="1"/>
  <c r="J139" i="2" s="1"/>
  <c r="J140" i="2" a="1"/>
  <c r="J140" i="2" s="1"/>
  <c r="J141" i="2" a="1"/>
  <c r="J141" i="2" s="1"/>
  <c r="J142" i="2" a="1"/>
  <c r="J142" i="2" s="1"/>
  <c r="J143" i="2" a="1"/>
  <c r="J143" i="2" s="1"/>
  <c r="J144" i="2" a="1"/>
  <c r="J144" i="2" s="1"/>
  <c r="J146" i="2" a="1"/>
  <c r="J146" i="2" s="1"/>
  <c r="I60" i="3" s="1"/>
  <c r="J147" i="2" a="1"/>
  <c r="J147" i="2" s="1"/>
  <c r="J148" i="2" a="1"/>
  <c r="J148" i="2" s="1"/>
  <c r="I70" i="3" s="1"/>
  <c r="J149" i="2" a="1"/>
  <c r="J149" i="2" s="1"/>
  <c r="J150" i="2" a="1"/>
  <c r="J150" i="2" s="1"/>
  <c r="J151" i="2" a="1"/>
  <c r="J151" i="2" s="1"/>
  <c r="J152" i="2" a="1"/>
  <c r="J152" i="2" s="1"/>
  <c r="J155" i="2" a="1"/>
  <c r="J155" i="2" s="1"/>
  <c r="J156" i="2" a="1"/>
  <c r="J156" i="2" s="1"/>
  <c r="J158" i="2" a="1"/>
  <c r="J158" i="2" s="1"/>
  <c r="J160" i="2" a="1"/>
  <c r="J160" i="2" s="1"/>
  <c r="J169" i="2" a="1"/>
  <c r="J169" i="2" s="1"/>
  <c r="J47" i="2" a="1"/>
  <c r="J47" i="2" s="1"/>
  <c r="J58" i="2" a="1"/>
  <c r="J58" i="2" s="1"/>
  <c r="J75" i="2" a="1"/>
  <c r="J75" i="2" s="1"/>
  <c r="J76" i="2" a="1"/>
  <c r="J76" i="2" s="1"/>
  <c r="J77" i="2" a="1"/>
  <c r="J77" i="2" s="1"/>
  <c r="J78" i="2" a="1"/>
  <c r="J78" i="2" s="1"/>
  <c r="J79" i="2" a="1"/>
  <c r="J79" i="2" s="1"/>
  <c r="B2" i="7" a="1"/>
  <c r="B2" i="7" s="1"/>
  <c r="J159" i="2" a="1"/>
  <c r="J159" i="2" s="1"/>
  <c r="J163" i="2" a="1"/>
  <c r="J163" i="2" s="1"/>
  <c r="J164" i="2" a="1"/>
  <c r="J164" i="2" s="1"/>
  <c r="J166" i="2" a="1"/>
  <c r="J166" i="2" s="1"/>
  <c r="J168" i="2" a="1"/>
  <c r="J168" i="2" s="1"/>
  <c r="H11" i="3" a="1"/>
  <c r="H11" i="3" s="1"/>
  <c r="F11" i="3"/>
  <c r="D11" i="3" s="1" a="1"/>
  <c r="D11" i="3" s="1"/>
  <c r="H92" i="3" a="1"/>
  <c r="H92" i="3" s="1"/>
  <c r="D96" i="3" a="1"/>
  <c r="D96" i="3" s="1"/>
  <c r="H96" i="3" a="1"/>
  <c r="H96" i="3" s="1"/>
  <c r="H91" i="3" a="1"/>
  <c r="H91" i="3" s="1"/>
  <c r="D91" i="3" a="1"/>
  <c r="D91" i="3" s="1"/>
  <c r="D92" i="3" a="1"/>
  <c r="D92" i="3" s="1"/>
  <c r="I52" i="3"/>
  <c r="H60" i="3" a="1"/>
  <c r="H60" i="3" s="1"/>
  <c r="F60" i="3"/>
  <c r="D60" i="3" s="1" a="1"/>
  <c r="D60" i="3" s="1"/>
  <c r="F70" i="3"/>
  <c r="D70" i="3" s="1" a="1"/>
  <c r="D70" i="3" s="1"/>
  <c r="H70" i="3" a="1"/>
  <c r="H70" i="3" s="1"/>
  <c r="F52" i="3"/>
  <c r="I51" i="3"/>
  <c r="I61" i="3"/>
  <c r="I54" i="3"/>
  <c r="H54" i="3" a="1"/>
  <c r="H54" i="3" s="1"/>
  <c r="F54" i="3"/>
  <c r="D54" i="3" s="1" a="1"/>
  <c r="D54" i="3" s="1"/>
  <c r="D51" i="3" a="1"/>
  <c r="D51" i="3" s="1"/>
  <c r="H51" i="3" a="1"/>
  <c r="H51" i="3" s="1"/>
  <c r="F51" i="3"/>
  <c r="D58" i="3" a="1"/>
  <c r="D58" i="3" s="1"/>
  <c r="H58" i="3" a="1"/>
  <c r="H58" i="3" s="1"/>
  <c r="I81" i="3"/>
  <c r="D61" i="3" a="1"/>
  <c r="D61" i="3" s="1"/>
  <c r="H61" i="3" a="1"/>
  <c r="H61" i="3" s="1"/>
  <c r="D93" i="3" a="1"/>
  <c r="D93" i="3" s="1"/>
  <c r="H93" i="3" a="1"/>
  <c r="H93" i="3" s="1"/>
  <c r="F61" i="3"/>
  <c r="I55" i="3"/>
  <c r="I29" i="3"/>
  <c r="I76" i="3"/>
  <c r="H55" i="3" a="1"/>
  <c r="H55" i="3" s="1"/>
  <c r="F55" i="3"/>
  <c r="D55" i="3" s="1" a="1"/>
  <c r="D55" i="3" s="1"/>
  <c r="I39" i="3"/>
  <c r="I73" i="3"/>
  <c r="I49" i="3"/>
  <c r="I69" i="3"/>
  <c r="I57" i="3"/>
  <c r="I28" i="3"/>
  <c r="I46" i="3"/>
  <c r="I88" i="3"/>
  <c r="I83" i="3"/>
  <c r="I68" i="3"/>
  <c r="I13" i="3"/>
  <c r="I24" i="3"/>
  <c r="I38" i="3"/>
  <c r="I44" i="3"/>
  <c r="I71" i="3"/>
  <c r="I34" i="3"/>
  <c r="I84" i="3"/>
  <c r="I7" i="3"/>
  <c r="D94" i="3" a="1"/>
  <c r="D94" i="3" s="1"/>
  <c r="I43" i="3"/>
  <c r="I47" i="3"/>
  <c r="I18" i="3"/>
  <c r="I20" i="3"/>
  <c r="I62" i="3"/>
  <c r="I19" i="3"/>
  <c r="I32" i="3"/>
  <c r="I23" i="3"/>
  <c r="I33" i="3"/>
  <c r="I31" i="3"/>
  <c r="I36" i="3"/>
  <c r="I41" i="3"/>
  <c r="J2" i="2" a="1"/>
  <c r="J2" i="2" s="1"/>
  <c r="I2" i="3" s="1"/>
  <c r="I45" i="3"/>
  <c r="I75" i="3"/>
  <c r="I85" i="3"/>
  <c r="I4" i="3"/>
  <c r="I26" i="3"/>
  <c r="I14" i="3"/>
  <c r="I21" i="3"/>
  <c r="I56" i="3"/>
  <c r="I42" i="3"/>
  <c r="I22" i="3"/>
  <c r="I27" i="3"/>
  <c r="I86" i="3"/>
  <c r="I48" i="3"/>
  <c r="I77" i="3"/>
  <c r="I12" i="3"/>
  <c r="I15" i="3"/>
  <c r="I82" i="3"/>
  <c r="I35" i="3"/>
  <c r="I40" i="3"/>
  <c r="H81" i="3" a="1"/>
  <c r="H81" i="3" s="1"/>
  <c r="H94" i="3" a="1"/>
  <c r="H94" i="3" s="1"/>
  <c r="H73" i="3" a="1"/>
  <c r="H73" i="3" s="1"/>
  <c r="H86" i="3" a="1"/>
  <c r="H86" i="3" s="1"/>
  <c r="H43" i="3" a="1"/>
  <c r="H43" i="3" s="1"/>
  <c r="F73" i="3"/>
  <c r="D73" i="3" s="1" a="1"/>
  <c r="D73" i="3" s="1"/>
  <c r="F86" i="3"/>
  <c r="D86" i="3" s="1" a="1"/>
  <c r="D86" i="3" s="1"/>
  <c r="F43" i="3"/>
  <c r="D43" i="3" s="1" a="1"/>
  <c r="D43" i="3" s="1"/>
  <c r="F81" i="3"/>
  <c r="D81" i="3" s="1" a="1"/>
  <c r="D81" i="3" s="1"/>
  <c r="I6" i="3"/>
  <c r="I30" i="3"/>
  <c r="I9" i="3"/>
  <c r="I25" i="3"/>
  <c r="I37" i="3"/>
  <c r="I10" i="3"/>
  <c r="I72" i="3"/>
  <c r="I16" i="3"/>
  <c r="F39" i="3"/>
  <c r="F23" i="3"/>
  <c r="D23" i="3" s="1" a="1"/>
  <c r="D23" i="3" s="1"/>
  <c r="F76" i="3"/>
  <c r="D76" i="3" s="1" a="1"/>
  <c r="D76" i="3" s="1"/>
  <c r="F7" i="3"/>
  <c r="D7" i="3" s="1" a="1"/>
  <c r="D7" i="3" s="1"/>
  <c r="F8" i="3"/>
  <c r="F71" i="3"/>
  <c r="F27" i="3"/>
  <c r="D27" i="3" s="1" a="1"/>
  <c r="D27" i="3" s="1"/>
  <c r="F30" i="3"/>
  <c r="F34" i="3"/>
  <c r="F10" i="3"/>
  <c r="F44" i="3"/>
  <c r="D44" i="3" s="1" a="1"/>
  <c r="D44" i="3" s="1"/>
  <c r="F56" i="3"/>
  <c r="F83" i="3"/>
  <c r="D83" i="3" s="1" a="1"/>
  <c r="D83" i="3" s="1"/>
  <c r="F48" i="3"/>
  <c r="D48" i="3" s="1" a="1"/>
  <c r="D48" i="3" s="1"/>
  <c r="F21" i="3"/>
  <c r="D21" i="3" s="1" a="1"/>
  <c r="D21" i="3" s="1"/>
  <c r="F38" i="3"/>
  <c r="F18" i="3"/>
  <c r="F22" i="3"/>
  <c r="F53" i="3"/>
  <c r="F72" i="3"/>
  <c r="F5" i="3"/>
  <c r="D5" i="3" s="1" a="1"/>
  <c r="D5" i="3" s="1"/>
  <c r="F15" i="3"/>
  <c r="D15" i="3" s="1" a="1"/>
  <c r="D15" i="3" s="1"/>
  <c r="F12" i="3"/>
  <c r="F31" i="3"/>
  <c r="F24" i="3"/>
  <c r="D24" i="3" s="1" a="1"/>
  <c r="D24" i="3" s="1"/>
  <c r="F36" i="3"/>
  <c r="D36" i="3" s="1" a="1"/>
  <c r="D36" i="3" s="1"/>
  <c r="F37" i="3"/>
  <c r="F75" i="3"/>
  <c r="D75" i="3" s="1" a="1"/>
  <c r="D75" i="3" s="1"/>
  <c r="F35" i="3"/>
  <c r="D35" i="3" s="1" a="1"/>
  <c r="D35" i="3" s="1"/>
  <c r="F28" i="3"/>
  <c r="D28" i="3" s="1" a="1"/>
  <c r="D28" i="3" s="1"/>
  <c r="H59" i="3" a="1"/>
  <c r="H59" i="3" s="1"/>
  <c r="H41" i="3" a="1"/>
  <c r="H41" i="3" s="1"/>
  <c r="H53" i="3" a="1"/>
  <c r="H53" i="3" s="1"/>
  <c r="H27" i="3" a="1"/>
  <c r="H27" i="3" s="1"/>
  <c r="H46" i="3" a="1"/>
  <c r="H46" i="3" s="1"/>
  <c r="H38" i="3" a="1"/>
  <c r="H38" i="3" s="1"/>
  <c r="H31" i="3" a="1"/>
  <c r="H31" i="3" s="1"/>
  <c r="H6" i="3" a="1"/>
  <c r="H6" i="3" s="1"/>
  <c r="H7" i="3" a="1"/>
  <c r="H7" i="3" s="1"/>
  <c r="H5" i="3" a="1"/>
  <c r="H5" i="3" s="1"/>
  <c r="D90" i="3" a="1"/>
  <c r="D90" i="3" s="1"/>
  <c r="H80" i="3" a="1"/>
  <c r="H80" i="3" s="1"/>
  <c r="H85" i="3" a="1"/>
  <c r="H85" i="3" s="1"/>
  <c r="H78" i="3" a="1"/>
  <c r="H78" i="3" s="1"/>
  <c r="H40" i="3" a="1"/>
  <c r="H40" i="3" s="1"/>
  <c r="D65" i="3" a="1"/>
  <c r="D65" i="3" s="1"/>
  <c r="D64" i="3" a="1"/>
  <c r="D64" i="3" s="1"/>
  <c r="H30" i="3" a="1"/>
  <c r="H30" i="3" s="1"/>
  <c r="H19" i="3" a="1"/>
  <c r="H19" i="3" s="1"/>
  <c r="H13" i="3" a="1"/>
  <c r="H13" i="3" s="1"/>
  <c r="F2" i="3"/>
  <c r="D2" i="3" s="1" a="1"/>
  <c r="D2" i="3" s="1"/>
  <c r="H45" i="3" a="1"/>
  <c r="H45" i="3" s="1"/>
  <c r="H15" i="3" a="1"/>
  <c r="H15" i="3" s="1"/>
  <c r="H37" i="3" a="1"/>
  <c r="H37" i="3" s="1"/>
  <c r="D8" i="3" a="1"/>
  <c r="D8" i="3" s="1"/>
  <c r="H82" i="3" a="1"/>
  <c r="H82" i="3" s="1"/>
  <c r="H68" i="3" a="1"/>
  <c r="H68" i="3" s="1"/>
  <c r="D67" i="3" a="1"/>
  <c r="D67" i="3" s="1"/>
  <c r="D66" i="3" a="1"/>
  <c r="D66" i="3" s="1"/>
  <c r="D63" i="3" a="1"/>
  <c r="D63" i="3" s="1"/>
  <c r="D50" i="3" a="1"/>
  <c r="D50" i="3" s="1"/>
  <c r="H56" i="3" a="1"/>
  <c r="H56" i="3" s="1"/>
  <c r="H57" i="3" a="1"/>
  <c r="H57" i="3" s="1"/>
  <c r="H39" i="3" a="1"/>
  <c r="H39" i="3" s="1"/>
  <c r="H44" i="3" a="1"/>
  <c r="H44" i="3" s="1"/>
  <c r="H9" i="3" a="1"/>
  <c r="H9" i="3" s="1"/>
  <c r="D22" i="3" a="1"/>
  <c r="D22" i="3" s="1"/>
  <c r="H12" i="3" a="1"/>
  <c r="H12" i="3" s="1"/>
  <c r="D59" i="3" a="1"/>
  <c r="D59" i="3" s="1"/>
  <c r="H89" i="3" a="1"/>
  <c r="H89" i="3" s="1"/>
  <c r="D52" i="3" a="1"/>
  <c r="D52" i="3" s="1"/>
  <c r="H79" i="3" a="1"/>
  <c r="H79" i="3" s="1"/>
  <c r="H72" i="3" a="1"/>
  <c r="H72" i="3" s="1"/>
  <c r="H32" i="3" a="1"/>
  <c r="H32" i="3" s="1"/>
  <c r="D34" i="3" a="1"/>
  <c r="D34" i="3" s="1"/>
  <c r="H25" i="3" a="1"/>
  <c r="H25" i="3" s="1"/>
  <c r="H28" i="3" a="1"/>
  <c r="H28" i="3" s="1"/>
  <c r="H29" i="3" a="1"/>
  <c r="H29" i="3" s="1"/>
  <c r="D31" i="3" a="1"/>
  <c r="D31" i="3" s="1"/>
  <c r="H24" i="3" a="1"/>
  <c r="H24" i="3" s="1"/>
  <c r="H8" i="3" a="1"/>
  <c r="H8" i="3" s="1"/>
  <c r="H3" i="3" a="1"/>
  <c r="H3" i="3" s="1"/>
  <c r="H88" i="3" a="1"/>
  <c r="H88" i="3" s="1"/>
  <c r="H77" i="3" a="1"/>
  <c r="H77" i="3" s="1"/>
  <c r="H71" i="3" a="1"/>
  <c r="H71" i="3" s="1"/>
  <c r="H65" i="3" a="1"/>
  <c r="H65" i="3" s="1"/>
  <c r="H64" i="3" a="1"/>
  <c r="H64" i="3" s="1"/>
  <c r="H35" i="3" a="1"/>
  <c r="H35" i="3" s="1"/>
  <c r="H62" i="3" a="1"/>
  <c r="H62" i="3" s="1"/>
  <c r="H16" i="3" a="1"/>
  <c r="H16" i="3" s="1"/>
  <c r="H21" i="3" a="1"/>
  <c r="H21" i="3" s="1"/>
  <c r="H47" i="3" a="1"/>
  <c r="H47" i="3" s="1"/>
  <c r="D10" i="3" a="1"/>
  <c r="D10" i="3" s="1"/>
  <c r="D18" i="3" a="1"/>
  <c r="D18" i="3" s="1"/>
  <c r="H42" i="3" a="1"/>
  <c r="H42" i="3" s="1"/>
  <c r="H20" i="3" a="1"/>
  <c r="H20" i="3" s="1"/>
  <c r="H90" i="3" a="1"/>
  <c r="H90" i="3" s="1"/>
  <c r="D80" i="3" a="1"/>
  <c r="D80" i="3" s="1"/>
  <c r="H83" i="3" a="1"/>
  <c r="H83" i="3" s="1"/>
  <c r="D78" i="3" a="1"/>
  <c r="D78" i="3" s="1"/>
  <c r="H17" i="3" a="1"/>
  <c r="H17" i="3" s="1"/>
  <c r="H67" i="3" a="1"/>
  <c r="H67" i="3" s="1"/>
  <c r="H66" i="3" a="1"/>
  <c r="H66" i="3" s="1"/>
  <c r="H63" i="3" a="1"/>
  <c r="H63" i="3" s="1"/>
  <c r="H50" i="3" a="1"/>
  <c r="H50" i="3" s="1"/>
  <c r="D53" i="3" a="1"/>
  <c r="D53" i="3" s="1"/>
  <c r="H49" i="3" a="1"/>
  <c r="H49" i="3" s="1"/>
  <c r="D38" i="3" a="1"/>
  <c r="D38" i="3" s="1"/>
  <c r="H22" i="3" a="1"/>
  <c r="H22" i="3" s="1"/>
  <c r="H34" i="3" a="1"/>
  <c r="H34" i="3" s="1"/>
  <c r="H48" i="3" a="1"/>
  <c r="H48" i="3" s="1"/>
  <c r="H36" i="3" a="1"/>
  <c r="H36" i="3" s="1"/>
  <c r="H14" i="3" a="1"/>
  <c r="H14" i="3" s="1"/>
  <c r="H84" i="3" a="1"/>
  <c r="H84" i="3" s="1"/>
  <c r="D72" i="3" a="1"/>
  <c r="D72" i="3" s="1"/>
  <c r="H69" i="3" a="1"/>
  <c r="H69" i="3" s="1"/>
  <c r="D39" i="3" a="1"/>
  <c r="D39" i="3" s="1"/>
  <c r="D30" i="3" a="1"/>
  <c r="D30" i="3" s="1"/>
  <c r="H23" i="3" a="1"/>
  <c r="H23" i="3" s="1"/>
  <c r="H33" i="3" a="1"/>
  <c r="H33" i="3" s="1"/>
  <c r="D37" i="3" a="1"/>
  <c r="D37" i="3" s="1"/>
  <c r="H2" i="3" a="1"/>
  <c r="H2" i="3" s="1"/>
  <c r="D89" i="3" a="1"/>
  <c r="D89" i="3" s="1"/>
  <c r="H52" i="3" a="1"/>
  <c r="H52" i="3" s="1"/>
  <c r="H75" i="3" a="1"/>
  <c r="H75" i="3" s="1"/>
  <c r="D79" i="3" a="1"/>
  <c r="D79" i="3" s="1"/>
  <c r="H76" i="3" a="1"/>
  <c r="H76" i="3" s="1"/>
  <c r="H26" i="3" a="1"/>
  <c r="H26" i="3" s="1"/>
  <c r="D71" i="3" a="1"/>
  <c r="D71" i="3" s="1"/>
  <c r="D56" i="3" a="1"/>
  <c r="D56" i="3" s="1"/>
  <c r="H18" i="3" a="1"/>
  <c r="H18" i="3" s="1"/>
  <c r="D12" i="3" a="1"/>
  <c r="D12" i="3" s="1"/>
  <c r="H10" i="3" a="1"/>
  <c r="H10" i="3" s="1"/>
  <c r="F20" i="3"/>
  <c r="D20" i="3" s="1" a="1"/>
  <c r="D20" i="3" s="1"/>
  <c r="F49" i="3"/>
  <c r="D49" i="3" s="1" a="1"/>
  <c r="D49" i="3" s="1"/>
  <c r="F17" i="3"/>
  <c r="D17" i="3" s="1" a="1"/>
  <c r="D17" i="3" s="1"/>
  <c r="F45" i="3"/>
  <c r="D45" i="3" s="1" a="1"/>
  <c r="D45" i="3" s="1"/>
  <c r="F84" i="3"/>
  <c r="D84" i="3" s="1" a="1"/>
  <c r="D84" i="3" s="1"/>
  <c r="F26" i="3"/>
  <c r="D26" i="3" s="1" a="1"/>
  <c r="D26" i="3" s="1"/>
  <c r="F33" i="3"/>
  <c r="D33" i="3" s="1" a="1"/>
  <c r="D33" i="3" s="1"/>
  <c r="F77" i="3"/>
  <c r="D77" i="3" s="1" a="1"/>
  <c r="D77" i="3" s="1"/>
  <c r="F19" i="3"/>
  <c r="D19" i="3" s="1" a="1"/>
  <c r="D19" i="3" s="1"/>
  <c r="F88" i="3"/>
  <c r="D88" i="3" s="1" a="1"/>
  <c r="D88" i="3" s="1"/>
  <c r="F6" i="3"/>
  <c r="D6" i="3" s="1" a="1"/>
  <c r="D6" i="3" s="1"/>
  <c r="F25" i="3"/>
  <c r="D25" i="3" s="1" a="1"/>
  <c r="D25" i="3" s="1"/>
  <c r="F29" i="3"/>
  <c r="D29" i="3" s="1" a="1"/>
  <c r="D29" i="3" s="1"/>
  <c r="F13" i="3"/>
  <c r="D13" i="3" s="1" a="1"/>
  <c r="D13" i="3" s="1"/>
  <c r="F85" i="3"/>
  <c r="D85" i="3" s="1" a="1"/>
  <c r="D85" i="3" s="1"/>
  <c r="F62" i="3"/>
  <c r="D62" i="3" s="1" a="1"/>
  <c r="D62" i="3" s="1"/>
  <c r="F40" i="3"/>
  <c r="D40" i="3" s="1" a="1"/>
  <c r="D40" i="3" s="1"/>
  <c r="F82" i="3"/>
  <c r="D82" i="3" s="1" a="1"/>
  <c r="D82" i="3" s="1"/>
  <c r="F9" i="3"/>
  <c r="D9" i="3" s="1" a="1"/>
  <c r="D9" i="3" s="1"/>
  <c r="F3" i="3"/>
  <c r="D3" i="3" s="1" a="1"/>
  <c r="D3" i="3" s="1"/>
  <c r="F32" i="3"/>
  <c r="D32" i="3" s="1" a="1"/>
  <c r="D32" i="3" s="1"/>
  <c r="F42" i="3"/>
  <c r="D42" i="3" s="1" a="1"/>
  <c r="D42" i="3" s="1"/>
  <c r="F69" i="3"/>
  <c r="D69" i="3" s="1" a="1"/>
  <c r="D69" i="3" s="1"/>
  <c r="F57" i="3"/>
  <c r="D57" i="3" s="1" a="1"/>
  <c r="D57" i="3" s="1"/>
  <c r="F41" i="3"/>
  <c r="D41" i="3" s="1" a="1"/>
  <c r="D41" i="3" s="1"/>
  <c r="F47" i="3"/>
  <c r="D47" i="3" s="1" a="1"/>
  <c r="D47" i="3" s="1"/>
  <c r="F14" i="3"/>
  <c r="D14" i="3" s="1" a="1"/>
  <c r="D14" i="3" s="1"/>
  <c r="F68" i="3"/>
  <c r="D68" i="3" s="1" a="1"/>
  <c r="D68" i="3" s="1"/>
  <c r="F46" i="3"/>
  <c r="D46" i="3" s="1" a="1"/>
  <c r="D46" i="3" s="1"/>
  <c r="F16" i="3"/>
  <c r="D16" i="3" s="1" a="1"/>
  <c r="D16" i="3" s="1"/>
  <c r="H4" i="3" a="1"/>
  <c r="H4" i="3" s="1"/>
  <c r="C2" i="7"/>
  <c r="A1" i="6"/>
  <c r="A3" i="1"/>
  <c r="I5" i="3" l="1"/>
  <c r="I17" i="3"/>
  <c r="I8" i="3"/>
  <c r="I53" i="3"/>
  <c r="I3" i="3"/>
  <c r="A4" i="1"/>
  <c r="A3" i="7"/>
  <c r="B3" i="7" s="1" a="1"/>
  <c r="B3" i="7" s="1"/>
  <c r="D3" i="7" l="1"/>
  <c r="C3" i="7"/>
  <c r="A5" i="1"/>
  <c r="A4" i="7"/>
  <c r="B4" i="7" s="1" a="1"/>
  <c r="B4" i="7" s="1"/>
  <c r="F4" i="3"/>
  <c r="D4" i="3" l="1" a="1"/>
  <c r="D4" i="3" s="1"/>
  <c r="L2" i="3" s="1"/>
  <c r="C7" i="5"/>
  <c r="D4" i="7"/>
  <c r="C4" i="7"/>
  <c r="A2" i="6"/>
  <c r="A6" i="1"/>
  <c r="A5" i="7"/>
  <c r="B5" i="7" s="1" a="1"/>
  <c r="B5" i="7" s="1"/>
  <c r="C5" i="7" l="1"/>
  <c r="D5" i="7" s="1"/>
  <c r="A7" i="1"/>
  <c r="A6" i="7"/>
  <c r="B6" i="7" s="1" a="1"/>
  <c r="B6" i="7" s="1"/>
  <c r="C6" i="7" l="1"/>
  <c r="D6" i="7" s="1"/>
  <c r="A8" i="1"/>
  <c r="A7" i="7"/>
  <c r="B7" i="7" s="1" a="1"/>
  <c r="B7" i="7" s="1"/>
  <c r="C7" i="7" l="1"/>
  <c r="D7" i="7" s="1"/>
  <c r="A9" i="1"/>
  <c r="A8" i="7"/>
  <c r="B8" i="7" l="1" a="1"/>
  <c r="B8" i="7" s="1"/>
  <c r="C8" i="7" s="1"/>
  <c r="D8" i="7" s="1"/>
  <c r="A10" i="1"/>
  <c r="A11" i="1" s="1"/>
  <c r="A9" i="7"/>
  <c r="B9" i="7" s="1" a="1"/>
  <c r="B9" i="7" s="1"/>
  <c r="C9" i="7" l="1"/>
  <c r="D9" i="7" s="1"/>
  <c r="A10" i="7"/>
  <c r="B10" i="7" s="1" a="1"/>
  <c r="B10" i="7" s="1"/>
  <c r="C10" i="7" l="1"/>
  <c r="D10" i="7" s="1"/>
  <c r="A12" i="1"/>
  <c r="A11" i="7"/>
  <c r="B11" i="7" s="1" a="1"/>
  <c r="B11" i="7" s="1"/>
  <c r="C11" i="7" l="1"/>
  <c r="D11" i="7" s="1"/>
  <c r="A13" i="1"/>
  <c r="A12" i="7"/>
  <c r="B12" i="7" s="1" a="1"/>
  <c r="B12" i="7" s="1"/>
  <c r="C12" i="7" l="1"/>
  <c r="D12" i="7" s="1"/>
  <c r="A14" i="1"/>
  <c r="A13" i="7"/>
  <c r="B13" i="7" s="1" a="1"/>
  <c r="B13" i="7" s="1"/>
  <c r="C13" i="7" l="1"/>
  <c r="D13" i="7" s="1"/>
  <c r="A15" i="1"/>
  <c r="A14" i="7"/>
  <c r="B14" i="7" s="1" a="1"/>
  <c r="B14" i="7" s="1"/>
  <c r="C14" i="7" l="1"/>
  <c r="D14" i="7" s="1"/>
  <c r="A16" i="1"/>
  <c r="A15" i="7"/>
  <c r="B15" i="7" s="1" a="1"/>
  <c r="B15" i="7" s="1"/>
  <c r="C15" i="7" l="1"/>
  <c r="D15" i="7" s="1"/>
  <c r="A17" i="1"/>
  <c r="A16" i="7"/>
  <c r="B16" i="7" s="1" a="1"/>
  <c r="B16" i="7" s="1"/>
  <c r="C16" i="7" l="1"/>
  <c r="D16" i="7" s="1"/>
  <c r="A18" i="1"/>
  <c r="A17" i="7"/>
  <c r="B17" i="7" s="1" a="1"/>
  <c r="B17" i="7" s="1"/>
  <c r="C17" i="7" l="1"/>
  <c r="D17" i="7" s="1"/>
  <c r="A19" i="1"/>
  <c r="A18" i="7"/>
  <c r="B18" i="7" s="1" a="1"/>
  <c r="B18" i="7" s="1"/>
  <c r="C18" i="7" l="1"/>
  <c r="D18" i="7" s="1"/>
  <c r="A20" i="1"/>
  <c r="A19" i="7"/>
  <c r="B19" i="7" s="1" a="1"/>
  <c r="B19" i="7" s="1"/>
  <c r="C19" i="7" l="1"/>
  <c r="D19" i="7" s="1"/>
  <c r="A21" i="1"/>
  <c r="A20" i="7"/>
  <c r="B20" i="7" s="1" a="1"/>
  <c r="B20" i="7" s="1"/>
  <c r="C20" i="7" l="1"/>
  <c r="D20" i="7" s="1"/>
  <c r="A22" i="1"/>
  <c r="A21" i="7"/>
  <c r="B21" i="7" s="1" a="1"/>
  <c r="B21" i="7" s="1"/>
  <c r="C21" i="7" l="1"/>
  <c r="D21" i="7" s="1"/>
  <c r="A23" i="1"/>
  <c r="A22" i="7"/>
  <c r="B22" i="7" s="1" a="1"/>
  <c r="B22" i="7" s="1"/>
  <c r="C22" i="7" l="1"/>
  <c r="D22" i="7" s="1"/>
  <c r="A24" i="1"/>
  <c r="A23" i="7"/>
  <c r="B23" i="7" s="1" a="1"/>
  <c r="B23" i="7" s="1"/>
  <c r="C23" i="7" l="1"/>
  <c r="D23" i="7" s="1"/>
  <c r="A25" i="1"/>
  <c r="A24" i="7"/>
  <c r="B24" i="7" s="1" a="1"/>
  <c r="B24" i="7" s="1"/>
  <c r="C24" i="7" l="1"/>
  <c r="D24" i="7" s="1"/>
  <c r="A26" i="1"/>
  <c r="A25" i="7"/>
  <c r="B25" i="7" s="1" a="1"/>
  <c r="B25" i="7" s="1"/>
  <c r="C25" i="7" l="1"/>
  <c r="D25" i="7" s="1"/>
  <c r="A27" i="1"/>
  <c r="A26" i="7"/>
  <c r="B26" i="7" s="1" a="1"/>
  <c r="B26" i="7" s="1"/>
  <c r="C26" i="7" l="1"/>
  <c r="D26" i="7" s="1"/>
  <c r="A28" i="1"/>
  <c r="A27" i="7"/>
  <c r="B27" i="7" s="1" a="1"/>
  <c r="B27" i="7" s="1"/>
  <c r="C27" i="7" l="1"/>
  <c r="D27" i="7" s="1"/>
  <c r="A29" i="1"/>
  <c r="A28" i="7"/>
  <c r="B28" i="7" s="1" a="1"/>
  <c r="B28" i="7" s="1"/>
  <c r="C28" i="7" l="1"/>
  <c r="D28" i="7" s="1"/>
  <c r="A30" i="1"/>
  <c r="A29" i="7"/>
  <c r="B29" i="7" s="1" a="1"/>
  <c r="B29" i="7" s="1"/>
  <c r="C29" i="7" l="1"/>
  <c r="D29" i="7" s="1"/>
  <c r="A31" i="1"/>
  <c r="A30" i="7"/>
  <c r="B30" i="7" s="1" a="1"/>
  <c r="B30" i="7" s="1"/>
  <c r="C30" i="7" l="1"/>
  <c r="D30" i="7" s="1"/>
  <c r="A32" i="1"/>
  <c r="A31" i="7"/>
  <c r="B31" i="7" s="1" a="1"/>
  <c r="B31" i="7" s="1"/>
  <c r="C31" i="7" l="1"/>
  <c r="D31" i="7" s="1"/>
  <c r="A33" i="1"/>
  <c r="A32" i="7"/>
  <c r="B32" i="7" s="1" a="1"/>
  <c r="B32" i="7" s="1"/>
  <c r="C32" i="7" l="1"/>
  <c r="D32" i="7" s="1"/>
  <c r="A34" i="1"/>
  <c r="A33" i="7"/>
  <c r="B33" i="7" s="1" a="1"/>
  <c r="B33" i="7" s="1"/>
  <c r="C33" i="7" l="1"/>
  <c r="D33" i="7" s="1"/>
  <c r="A35" i="1"/>
  <c r="A34" i="7"/>
  <c r="B34" i="7" s="1" a="1"/>
  <c r="B34" i="7" s="1"/>
  <c r="C34" i="7" l="1"/>
  <c r="D34" i="7" s="1"/>
  <c r="A36" i="1"/>
  <c r="A35" i="7"/>
  <c r="B35" i="7" s="1" a="1"/>
  <c r="B35" i="7" s="1"/>
  <c r="C35" i="7" l="1"/>
  <c r="D35" i="7" s="1"/>
  <c r="A37" i="1"/>
  <c r="A36" i="7"/>
  <c r="B36" i="7" s="1" a="1"/>
  <c r="B36" i="7" s="1"/>
  <c r="C36" i="7" l="1"/>
  <c r="D36" i="7" s="1"/>
  <c r="A38" i="1"/>
  <c r="A37" i="7"/>
  <c r="B37" i="7" s="1" a="1"/>
  <c r="B37" i="7" s="1"/>
  <c r="C37" i="7" l="1"/>
  <c r="D37" i="7" s="1"/>
  <c r="A39" i="1"/>
  <c r="A38" i="7"/>
  <c r="B38" i="7" s="1" a="1"/>
  <c r="B38" i="7" s="1"/>
  <c r="C38" i="7" l="1"/>
  <c r="D38" i="7" s="1"/>
  <c r="A40" i="1"/>
  <c r="A39" i="7"/>
  <c r="B39" i="7" s="1" a="1"/>
  <c r="B39" i="7" s="1"/>
  <c r="C39" i="7" l="1"/>
  <c r="D39" i="7" s="1"/>
  <c r="A41" i="1"/>
  <c r="A40" i="7"/>
  <c r="B40" i="7" s="1" a="1"/>
  <c r="B40" i="7" s="1"/>
  <c r="C40" i="7" l="1"/>
  <c r="D40" i="7" s="1"/>
  <c r="A42" i="1"/>
  <c r="A41" i="7"/>
  <c r="B41" i="7" s="1" a="1"/>
  <c r="B41" i="7" s="1"/>
  <c r="C41" i="7" l="1"/>
  <c r="D41" i="7" s="1"/>
  <c r="A43" i="1"/>
  <c r="A42" i="7"/>
  <c r="B42" i="7" s="1" a="1"/>
  <c r="B42" i="7" s="1"/>
  <c r="C42" i="7" l="1"/>
  <c r="D42" i="7" s="1"/>
  <c r="A44" i="1"/>
  <c r="A43" i="7"/>
  <c r="B43" i="7" s="1" a="1"/>
  <c r="B43" i="7" s="1"/>
  <c r="C43" i="7" l="1"/>
  <c r="D43" i="7" s="1"/>
  <c r="A45" i="1"/>
  <c r="A44" i="7"/>
  <c r="B44" i="7" s="1" a="1"/>
  <c r="B44" i="7" s="1"/>
  <c r="C44" i="7" l="1"/>
  <c r="D44" i="7" s="1"/>
  <c r="A46" i="1"/>
  <c r="A45" i="7"/>
  <c r="B45" i="7" s="1" a="1"/>
  <c r="B45" i="7" s="1"/>
  <c r="C45" i="7" l="1"/>
  <c r="D45" i="7" s="1"/>
  <c r="A47" i="1"/>
  <c r="A46" i="7"/>
  <c r="B46" i="7" s="1" a="1"/>
  <c r="B46" i="7" s="1"/>
  <c r="C46" i="7" l="1"/>
  <c r="D46" i="7" s="1"/>
  <c r="A48" i="1"/>
  <c r="A47" i="7"/>
  <c r="B47" i="7" s="1" a="1"/>
  <c r="B47" i="7" s="1"/>
  <c r="C47" i="7" l="1"/>
  <c r="D47" i="7" s="1"/>
  <c r="A49" i="1"/>
  <c r="A48" i="7"/>
  <c r="B48" i="7" s="1" a="1"/>
  <c r="B48" i="7" s="1"/>
  <c r="C48" i="7" l="1"/>
  <c r="D48" i="7" s="1"/>
  <c r="A50" i="1"/>
  <c r="A49" i="7"/>
  <c r="B49" i="7" s="1" a="1"/>
  <c r="B49" i="7" s="1"/>
  <c r="C49" i="7" l="1"/>
  <c r="D49" i="7" s="1"/>
  <c r="A51" i="1"/>
  <c r="A51" i="7" s="1"/>
  <c r="B51" i="7" s="1" a="1"/>
  <c r="B51" i="7" s="1"/>
  <c r="A50" i="7"/>
  <c r="B50" i="7" s="1" a="1"/>
  <c r="B50" i="7" s="1"/>
  <c r="C50" i="7" l="1"/>
  <c r="D50" i="7" s="1"/>
  <c r="C51" i="7"/>
  <c r="D51" i="7" s="1"/>
  <c r="C4" i="3" l="1" a="1"/>
  <c r="C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tc={170686F7-6728-46CE-A518-A771316123F5}</author>
  </authors>
  <commentList>
    <comment ref="T16" authorId="0" shapeId="0" xr:uid="{170686F7-6728-46CE-A518-A771316123F5}">
      <text>
        <t>[Threaded comment]
Your version of Excel allows you to read this threaded comment; however, any edits to it will get removed if the file is opened in a newer version of Excel. Learn more: https://go.microsoft.com/fwlink/?linkid=870924
Comment:
    Renamed by Billboard "Think I'm In Love With You" -- same song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tc={B5B21C98-5BCD-4725-A3A9-259A8102E35A}</author>
    <author>tc={ED16F660-A4ED-4E43-830F-3DA46108A534}</author>
    <author>tc={74339D18-5F4B-479A-B7DF-FA9118CC8F83}</author>
  </authors>
  <commentList>
    <comment ref="A1" authorId="0" shapeId="0" xr:uid="{B5B21C98-5BCD-4725-A3A9-259A8102E35A}">
      <text>
        <t>[Threaded comment]
Your version of Excel allows you to read this threaded comment; however, any edits to it will get removed if the file is opened in a newer version of Excel. Learn more: https://go.microsoft.com/fwlink/?linkid=870924
Comment:
    A song is defined by name for now, should be name plus artists eventually assuming all versions of a song named exactly the same with exactly the same artists count as the same for the Billboard</t>
      </text>
    </comment>
    <comment ref="E1" authorId="1" shapeId="0" xr:uid="{ED16F660-A4ED-4E43-830F-3DA46108A534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disambiguation between same-named songs</t>
      </text>
    </comment>
    <comment ref="A117" authorId="2" shapeId="0" xr:uid="{74339D18-5F4B-479A-B7DF-FA9118CC8F83}">
      <text>
        <t>[Threaded comment]
Your version of Excel allows you to read this threaded comment; however, any edits to it will get removed if the file is opened in a newer version of Excel. Learn more: https://go.microsoft.com/fwlink/?linkid=870924
Comment:
    (2024) is my addition to differentiate from Toby Keith version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tc={C5AFF4B1-CA15-43E7-8E21-82D997A5DC10}</author>
    <author>tc={22BABF1F-8FCB-4152-B25B-D8807486F95E}</author>
    <author>tc={ED9CD159-1FA2-4D1F-AFC1-B8F0E6441107}</author>
    <author>tc={4059C269-0C9F-4CAA-921B-16EF0FC8F978}</author>
  </authors>
  <commentList>
    <comment ref="A1" authorId="0" shapeId="0" xr:uid="{C5AFF4B1-CA15-43E7-8E21-82D997A5DC10}">
      <text>
        <t>[Threaded comment]
Your version of Excel allows you to read this threaded comment; however, any edits to it will get removed if the file is opened in a newer version of Excel. Learn more: https://go.microsoft.com/fwlink/?linkid=870924
Comment:
    Artist name is working for now to define an artist, but if there is ever a duplicate, will need to switch to Artist ID or dates active or something</t>
      </text>
    </comment>
    <comment ref="G1" authorId="1" shapeId="0" xr:uid="{22BABF1F-8FCB-4152-B25B-D8807486F95E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Needs to switch to list parsing once there is a song featuring multiple artists</t>
      </text>
    </comment>
    <comment ref="B70" authorId="2" shapeId="0" xr:uid="{ED9CD159-1FA2-4D1F-AFC1-B8F0E6441107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Formerly known as Machine Gun Kelly</t>
      </text>
    </comment>
    <comment ref="J83" authorId="3" shapeId="0" xr:uid="{4059C269-0C9F-4CAA-921B-16EF0FC8F978}">
      <text>
        <t>[Threaded comment]
Your version of Excel allows you to read this threaded comment; however, any edits to it will get removed if the file is opened in a newer version of Excel. Learn more: https://go.microsoft.com/fwlink/?linkid=870924
Comment:
    As of 2022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<sst xmlns="http://schemas.openxmlformats.org/spreadsheetml/2006/main" count="2040" uniqueCount="343">
  <si>
    <t>I Remember Everything</t>
  </si>
  <si>
    <t>Texas Hold 'Em</t>
  </si>
  <si>
    <t>Last Night</t>
  </si>
  <si>
    <t>Fast Car</t>
  </si>
  <si>
    <t>Thinkin' Bout Me</t>
  </si>
  <si>
    <t>White Horse</t>
  </si>
  <si>
    <t>Spin You Around (1/24)</t>
  </si>
  <si>
    <t>Pretty Little Poison</t>
  </si>
  <si>
    <t>World On Fire</t>
  </si>
  <si>
    <t>Where The Wild Things Are</t>
  </si>
  <si>
    <t>Need A Favor</t>
  </si>
  <si>
    <t>The Painter</t>
  </si>
  <si>
    <t>Save Me</t>
  </si>
  <si>
    <t>Wild Ones</t>
  </si>
  <si>
    <t>16 Carriages</t>
  </si>
  <si>
    <t>WIld Ones</t>
  </si>
  <si>
    <t>Truck Bed</t>
  </si>
  <si>
    <t>Should've Been A Cowboy</t>
  </si>
  <si>
    <t>No Caller ID</t>
  </si>
  <si>
    <t>Burn It Down</t>
  </si>
  <si>
    <t>Man Made A Bar</t>
  </si>
  <si>
    <t>Different 'Round Here</t>
  </si>
  <si>
    <t>Courtesy Of The Red, White And Blue</t>
  </si>
  <si>
    <t>Hey Driver</t>
  </si>
  <si>
    <t>I Can Feel It</t>
  </si>
  <si>
    <t>23</t>
  </si>
  <si>
    <t>Save Me The Trouble</t>
  </si>
  <si>
    <t>We Don't Fight Anymore</t>
  </si>
  <si>
    <t>As Good As I Once Was</t>
  </si>
  <si>
    <t>Mamaw's House</t>
  </si>
  <si>
    <t>Wondering Why</t>
  </si>
  <si>
    <t>Coal</t>
  </si>
  <si>
    <t>Don't Let The Old Man In</t>
  </si>
  <si>
    <t>Rich Men North Of Richmond</t>
  </si>
  <si>
    <t>Creek Will Rise</t>
  </si>
  <si>
    <t>How Do You Like Me Now?!</t>
  </si>
  <si>
    <t>Wildflowers And Wild Horses</t>
  </si>
  <si>
    <t>Mind On You</t>
  </si>
  <si>
    <t>All I Need Is You</t>
  </si>
  <si>
    <t>Deeper Well</t>
  </si>
  <si>
    <t>In Your Love</t>
  </si>
  <si>
    <t>We Ride</t>
  </si>
  <si>
    <t>Back Then Right Now</t>
  </si>
  <si>
    <t>Bulletproof</t>
  </si>
  <si>
    <t>Tucson Too Late</t>
  </si>
  <si>
    <t>Dirt Cheap</t>
  </si>
  <si>
    <t>I'm Not Pretty</t>
  </si>
  <si>
    <t>Sarah's Place</t>
  </si>
  <si>
    <t>Fearless (The Echo)</t>
  </si>
  <si>
    <t>Glory Days</t>
  </si>
  <si>
    <t>Halfway To Hell</t>
  </si>
  <si>
    <t>Please Don't Go</t>
  </si>
  <si>
    <t>Outskirts</t>
  </si>
  <si>
    <t>I Think I'm In Love With You</t>
  </si>
  <si>
    <t>This Heart</t>
  </si>
  <si>
    <t>Your Place</t>
  </si>
  <si>
    <t>Three Little Birds</t>
  </si>
  <si>
    <t>Boys Back Home</t>
  </si>
  <si>
    <t>This Town's Been Too Good To Us</t>
  </si>
  <si>
    <t>Purple Irises</t>
  </si>
  <si>
    <t>El Dorado</t>
  </si>
  <si>
    <t>Heartbreaker</t>
  </si>
  <si>
    <t>Cab In A Solo</t>
  </si>
  <si>
    <t>Love You Again</t>
  </si>
  <si>
    <t>Strangers</t>
  </si>
  <si>
    <t>Can't Break Up Now</t>
  </si>
  <si>
    <t>Let Your Boys Be Country</t>
  </si>
  <si>
    <t>Something's Gonna Kill Me</t>
  </si>
  <si>
    <t>Out Of That Truck</t>
  </si>
  <si>
    <t>Song name</t>
  </si>
  <si>
    <t>Weeks on chart 1/27/24</t>
  </si>
  <si>
    <t>Lead Main Artist</t>
  </si>
  <si>
    <t>Other Main Artists</t>
  </si>
  <si>
    <t>Featured Artists</t>
  </si>
  <si>
    <t>Zach Bryan</t>
  </si>
  <si>
    <t>Kacey Musgraves</t>
  </si>
  <si>
    <t>Morgan Wallen</t>
  </si>
  <si>
    <t>Luke Combs</t>
  </si>
  <si>
    <t>Chris Stapleton</t>
  </si>
  <si>
    <t>Nate Smith</t>
  </si>
  <si>
    <t>Jelly Roll</t>
  </si>
  <si>
    <t>Warren Zeiders</t>
  </si>
  <si>
    <t>Jessie Murph</t>
  </si>
  <si>
    <t>HARDY</t>
  </si>
  <si>
    <t>Cody Johnson</t>
  </si>
  <si>
    <t>Parker McCollum</t>
  </si>
  <si>
    <t>Riley Green</t>
  </si>
  <si>
    <t>Eric Church</t>
  </si>
  <si>
    <t>The War And The Treaty</t>
  </si>
  <si>
    <t>Kane Brown</t>
  </si>
  <si>
    <t>Dan + Shay</t>
  </si>
  <si>
    <t>Chayce Beckham</t>
  </si>
  <si>
    <t>Carly Pearce</t>
  </si>
  <si>
    <t>The Red Clay Strays</t>
  </si>
  <si>
    <t>Oliver Anthony Music</t>
  </si>
  <si>
    <t>Thomas Rhett</t>
  </si>
  <si>
    <t>Dylan Gossett</t>
  </si>
  <si>
    <t>George Birge</t>
  </si>
  <si>
    <t>Lainey Wilson</t>
  </si>
  <si>
    <t>Chris Janson</t>
  </si>
  <si>
    <t>Tyler Childers</t>
  </si>
  <si>
    <t>Bryan Martin</t>
  </si>
  <si>
    <t>Conner Smith</t>
  </si>
  <si>
    <t>Jordan Davis</t>
  </si>
  <si>
    <t>Megan Moroney</t>
  </si>
  <si>
    <t>Jackson Dean</t>
  </si>
  <si>
    <t>Noah Kahan</t>
  </si>
  <si>
    <t>Gabby Barrett</t>
  </si>
  <si>
    <t>Sam Hunt</t>
  </si>
  <si>
    <t>Wyatt Flores</t>
  </si>
  <si>
    <t>Dylan Marlowe</t>
  </si>
  <si>
    <t>Tyler Hubbard</t>
  </si>
  <si>
    <t>Ashley Cooke</t>
  </si>
  <si>
    <t>Dylan Scott</t>
  </si>
  <si>
    <t>Chase Matthew</t>
  </si>
  <si>
    <t>Scotty McCreery</t>
  </si>
  <si>
    <t>Corey Kent</t>
  </si>
  <si>
    <t>Jason Aldean</t>
  </si>
  <si>
    <t>Old Dominion</t>
  </si>
  <si>
    <t>Carrie Underwood</t>
  </si>
  <si>
    <t>Kameron Marlowe</t>
  </si>
  <si>
    <t>Beyonce</t>
  </si>
  <si>
    <t>Gwen Stefani</t>
  </si>
  <si>
    <t>Rank start</t>
  </si>
  <si>
    <t>Rank end</t>
  </si>
  <si>
    <t>Weeks on chart</t>
  </si>
  <si>
    <t>"Descending songs are removed from Hot Country Songs after..."</t>
  </si>
  <si>
    <t>Weeks on chart is the final eligible week</t>
  </si>
  <si>
    <t>Take Her Home</t>
  </si>
  <si>
    <t>Chevrolet</t>
  </si>
  <si>
    <t>Kenny Chesney</t>
  </si>
  <si>
    <t>Dustin Lynch</t>
  </si>
  <si>
    <t>Sparklines for each song, even better with variable length</t>
  </si>
  <si>
    <t>Song eligibility category (ex. Rising only below rank 20)</t>
  </si>
  <si>
    <t>Artist peak position</t>
  </si>
  <si>
    <t>Artist median charted song weeks on chart (consider not punishing for new songs)</t>
  </si>
  <si>
    <t>Holy Smokes</t>
  </si>
  <si>
    <t>Wine Into Whiskey</t>
  </si>
  <si>
    <t>Ranks can be lost without being considered removed as "descending".  This is true with or without an star icon for "awards"</t>
  </si>
  <si>
    <t>Maybe descending is whether rank or airtime was lost in the previous week (or previous number of weeks)?</t>
  </si>
  <si>
    <t>American Girl</t>
  </si>
  <si>
    <t>See World On Fire and maybe others: descending in rank is insufficient and perhaps not considered</t>
  </si>
  <si>
    <t>Bailey Zimmerman</t>
  </si>
  <si>
    <t>Tucker Wetmore</t>
  </si>
  <si>
    <t>Dierks Bentley</t>
  </si>
  <si>
    <t>Austin</t>
  </si>
  <si>
    <t>Messed Up As Me</t>
  </si>
  <si>
    <t>Too Good To Be True</t>
  </si>
  <si>
    <t>The One (Pero No Como Yo)</t>
  </si>
  <si>
    <t>Dasha</t>
  </si>
  <si>
    <t>Keith Urban</t>
  </si>
  <si>
    <t>Carin Leon</t>
  </si>
  <si>
    <t>See Hey Driver for example of exceeding weeks on chart (twice) while rising in rankings</t>
  </si>
  <si>
    <t>Damn Near Normal</t>
  </si>
  <si>
    <t>Smoke &amp; A Light</t>
  </si>
  <si>
    <t>Nine Ball</t>
  </si>
  <si>
    <t>Koe Wetzel</t>
  </si>
  <si>
    <t>Ole 60</t>
  </si>
  <si>
    <t>Weeks on Chart</t>
  </si>
  <si>
    <t>Artist ID</t>
  </si>
  <si>
    <t>Artist Name</t>
  </si>
  <si>
    <t># Main Artist</t>
  </si>
  <si>
    <t># Lead Artist</t>
  </si>
  <si>
    <t># Featured Artist</t>
  </si>
  <si>
    <t>Toby Keith</t>
  </si>
  <si>
    <t>Total weeks as Lead Artist</t>
  </si>
  <si>
    <t>Total Weeks as a Main Artist</t>
  </si>
  <si>
    <t>Ella Langley</t>
  </si>
  <si>
    <t>Blake Shelton</t>
  </si>
  <si>
    <t>Rank</t>
  </si>
  <si>
    <t>Song</t>
  </si>
  <si>
    <t>Weeks remaining at this rank (if not "rising")</t>
  </si>
  <si>
    <t>Trend</t>
  </si>
  <si>
    <t>Weeks of data</t>
  </si>
  <si>
    <t>Number of ranks</t>
  </si>
  <si>
    <t>Green if all lead artists in data sheet are covered in artists sheet</t>
  </si>
  <si>
    <t>Green if all songs in the data sheet are covered in the songs sheet</t>
  </si>
  <si>
    <t>Cardinal</t>
  </si>
  <si>
    <t>The Architect</t>
  </si>
  <si>
    <t>Tie Up</t>
  </si>
  <si>
    <t>28th Of June</t>
  </si>
  <si>
    <t>Young Love &amp; Saturday Nights</t>
  </si>
  <si>
    <t>Chris Young</t>
  </si>
  <si>
    <t>Zac Brown Band</t>
  </si>
  <si>
    <t>II Most Wanted</t>
  </si>
  <si>
    <t>Jolene</t>
  </si>
  <si>
    <t>Levii's Jeans</t>
  </si>
  <si>
    <t>Blackbiird</t>
  </si>
  <si>
    <t>Ameriican Requiem</t>
  </si>
  <si>
    <t>Daughter</t>
  </si>
  <si>
    <t>Protector</t>
  </si>
  <si>
    <t>Tyrant</t>
  </si>
  <si>
    <t>Riiverdance</t>
  </si>
  <si>
    <t>Alliigator Tears</t>
  </si>
  <si>
    <t>Chart Entry Date</t>
  </si>
  <si>
    <t>My Rose</t>
  </si>
  <si>
    <t>Just For Fun</t>
  </si>
  <si>
    <t>Oh Louisiana</t>
  </si>
  <si>
    <t>Amen</t>
  </si>
  <si>
    <t>Wind Up Missin' You</t>
  </si>
  <si>
    <t>What He'll Never Have</t>
  </si>
  <si>
    <t>[With : Lainey Wilson]</t>
  </si>
  <si>
    <t>[&amp; : Jelly Roll]</t>
  </si>
  <si>
    <t>[&amp; : Dylan Scott]</t>
  </si>
  <si>
    <t>[&amp; : Megan Moroney]</t>
  </si>
  <si>
    <t>[&amp; : Ella Langley]</t>
  </si>
  <si>
    <t>[&amp; : Blake Shelton]</t>
  </si>
  <si>
    <t>[+ : Kane Brown]</t>
  </si>
  <si>
    <t>[&amp; : Miley Cyrus]</t>
  </si>
  <si>
    <t>[&amp; : Post Malone]</t>
  </si>
  <si>
    <t>[&amp; : Tanner Adell, &amp; : Brittney Spencer, &amp; : Tiera Kennedy, &amp; : Reyna Roberts]</t>
  </si>
  <si>
    <t>[&amp; : Rumi Carter]</t>
  </si>
  <si>
    <t>[&amp; : Dolly Parton]</t>
  </si>
  <si>
    <t>[&amp; : Willie Jones]</t>
  </si>
  <si>
    <t>&lt;-- get sparklines dynamically with MATCH</t>
  </si>
  <si>
    <t>Where It Ends</t>
  </si>
  <si>
    <t>Cowgirls</t>
  </si>
  <si>
    <t>Love You, Miss You, Mean It</t>
  </si>
  <si>
    <t>Artist heat L12W, L52W</t>
  </si>
  <si>
    <t>ERNEST</t>
  </si>
  <si>
    <t>Luke Bryan</t>
  </si>
  <si>
    <t>Miley Cyrus</t>
  </si>
  <si>
    <t>Post Malone</t>
  </si>
  <si>
    <t>Tanner Adell</t>
  </si>
  <si>
    <t>Brittney Spencer</t>
  </si>
  <si>
    <t>Tiera Kennedy</t>
  </si>
  <si>
    <t>Reyna Roberts</t>
  </si>
  <si>
    <t>Rumi Carter</t>
  </si>
  <si>
    <t>Dolly Parton</t>
  </si>
  <si>
    <t>Willie Jones</t>
  </si>
  <si>
    <t>A Bar Song (Tipsy)</t>
  </si>
  <si>
    <t>Worst Way</t>
  </si>
  <si>
    <t>Devil You Know</t>
  </si>
  <si>
    <t>Hangin' On</t>
  </si>
  <si>
    <t>Shaboozey</t>
  </si>
  <si>
    <t>Tyler Braden</t>
  </si>
  <si>
    <t>[&amp; : Morgan Wallen]</t>
  </si>
  <si>
    <t>Weekly biggest risers</t>
  </si>
  <si>
    <t>I'm Gonna Miss Her</t>
  </si>
  <si>
    <t>Absolute Trend</t>
  </si>
  <si>
    <t>Relative Trend</t>
  </si>
  <si>
    <t>Max Position</t>
  </si>
  <si>
    <t>Peak Position as Lead Artist</t>
  </si>
  <si>
    <t>Miles On It</t>
  </si>
  <si>
    <t>Indifferent</t>
  </si>
  <si>
    <t>Wranglers</t>
  </si>
  <si>
    <t>Where That Came From</t>
  </si>
  <si>
    <t>I Had Some Help</t>
  </si>
  <si>
    <t>Life With You</t>
  </si>
  <si>
    <t>Should've Been A Cowboy (2024)</t>
  </si>
  <si>
    <t>Marshmello</t>
  </si>
  <si>
    <t>[&amp; : Kane Brown]</t>
  </si>
  <si>
    <t>Miranda Lambert</t>
  </si>
  <si>
    <t>Randy Travis</t>
  </si>
  <si>
    <t>Kelsey Hart</t>
  </si>
  <si>
    <t>T-Pain</t>
  </si>
  <si>
    <t>% female by week</t>
  </si>
  <si>
    <t>% Female</t>
  </si>
  <si>
    <t>&lt;-- Overall</t>
  </si>
  <si>
    <t>Total weeks as Featured Artist</t>
  </si>
  <si>
    <t>Beautiful As You</t>
  </si>
  <si>
    <t>Ain't No Love In Oklahoma</t>
  </si>
  <si>
    <t>The Good I'll Do</t>
  </si>
  <si>
    <t>Make some decisions around how to count</t>
  </si>
  <si>
    <t>I want each song to count once, but what to weight featured and non-lead main artists TBD</t>
  </si>
  <si>
    <t>Also long term, this should be the credited artist, but at the time the song was released.  This is heftier than Excel can prob handle</t>
  </si>
  <si>
    <t>Sweet Dreams</t>
  </si>
  <si>
    <t>Hang Tight Honey</t>
  </si>
  <si>
    <t>Betrayal</t>
  </si>
  <si>
    <t>Pink Skies</t>
  </si>
  <si>
    <t>Hell Or High Water</t>
  </si>
  <si>
    <t>What Would You Do?</t>
  </si>
  <si>
    <t>Wanna Be Loved</t>
  </si>
  <si>
    <t>She's Somebody's Daughter (Reimagined)</t>
  </si>
  <si>
    <t>Drew Baldridge</t>
  </si>
  <si>
    <t>My Fault</t>
  </si>
  <si>
    <t>Maxed Out</t>
  </si>
  <si>
    <t>Noah Cyrus</t>
  </si>
  <si>
    <t>Bayker Blankenship</t>
  </si>
  <si>
    <t>Cumulative %F</t>
  </si>
  <si>
    <t>Weighted %F</t>
  </si>
  <si>
    <t>High Road</t>
  </si>
  <si>
    <t>The Man He Sees In Me</t>
  </si>
  <si>
    <t>Purple Gas</t>
  </si>
  <si>
    <t>I Am Not Okay</t>
  </si>
  <si>
    <t>Relapse</t>
  </si>
  <si>
    <t>[&amp; : Jessie Murph]</t>
  </si>
  <si>
    <t>[&amp; : Noeline Hofmann]</t>
  </si>
  <si>
    <t>Noeline Hofmann</t>
  </si>
  <si>
    <t>Whiskey Whiskey</t>
  </si>
  <si>
    <t>Remember Him That Way</t>
  </si>
  <si>
    <t>Front Door Famous</t>
  </si>
  <si>
    <t>Huntin' By Yourself</t>
  </si>
  <si>
    <t>In Case I Ain't Around</t>
  </si>
  <si>
    <t>Little Country Boys</t>
  </si>
  <si>
    <t>Whoever You Turn Out To Be</t>
  </si>
  <si>
    <t>Moneybagg Yo</t>
  </si>
  <si>
    <t>Pour Me A Drink</t>
  </si>
  <si>
    <t>You Look Like You Love Me</t>
  </si>
  <si>
    <t>Drink Don't Need No Mix</t>
  </si>
  <si>
    <t>Cowboys Cry Too</t>
  </si>
  <si>
    <t>New To Country</t>
  </si>
  <si>
    <t>Sun To Me</t>
  </si>
  <si>
    <t>American Nights</t>
  </si>
  <si>
    <t>Coming Home</t>
  </si>
  <si>
    <t>28</t>
  </si>
  <si>
    <t>Song While You're Away</t>
  </si>
  <si>
    <t>Kelsea Ballerini</t>
  </si>
  <si>
    <t>[&amp; : Noah Kahan]</t>
  </si>
  <si>
    <t>mgk</t>
  </si>
  <si>
    <t>Lies Lies Lies</t>
  </si>
  <si>
    <t>Better Days</t>
  </si>
  <si>
    <t>Oak Island</t>
  </si>
  <si>
    <t>The Way Back</t>
  </si>
  <si>
    <t>The Great American Bar Scene</t>
  </si>
  <si>
    <t>Bass Boat</t>
  </si>
  <si>
    <t>Sandpaper</t>
  </si>
  <si>
    <t>Mechanical Bull</t>
  </si>
  <si>
    <t>Boons</t>
  </si>
  <si>
    <t>Memphis; The Blues</t>
  </si>
  <si>
    <t>Like Ida</t>
  </si>
  <si>
    <t>Northern Thunder</t>
  </si>
  <si>
    <t>Towers</t>
  </si>
  <si>
    <t>Funny Man</t>
  </si>
  <si>
    <t>Lucky Enough (Poem)</t>
  </si>
  <si>
    <t>Bathwater</t>
  </si>
  <si>
    <t>John Mayer</t>
  </si>
  <si>
    <t>Bruce Springsteen</t>
  </si>
  <si>
    <t>John Moreland</t>
  </si>
  <si>
    <t>Am I Okay?</t>
  </si>
  <si>
    <t>Mama I Lied</t>
  </si>
  <si>
    <t>Popularity decay over time.  So 3 songs this week is worth (IDK) 2.7 songs next week on top of the 3 songs again assuming they're all there</t>
  </si>
  <si>
    <t>Might be an okay place to add position to the algorithm</t>
  </si>
  <si>
    <t>Dead End Road</t>
  </si>
  <si>
    <t>Out Of Oklahoma</t>
  </si>
  <si>
    <t>Guy For That</t>
  </si>
  <si>
    <t>Lonely Road</t>
  </si>
  <si>
    <t>This Is My Dirt</t>
  </si>
  <si>
    <t>Justin Moore</t>
  </si>
  <si>
    <t>Liar</t>
  </si>
  <si>
    <t>Just Like Johnny</t>
  </si>
  <si>
    <t>Redferrin</t>
  </si>
  <si>
    <t>BigXthaPlug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</si>
</sst>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0" tint="-0.14999847407452621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8">
    <xf numFmtId="0" fontId="0" fillId="0" borderId="0" xfId="0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0" fontId="1" fillId="0" borderId="0" xfId="0" quotePrefix="1" applyFont="1"/>
    <xf numFmtId="14" fontId="0" fillId="0" borderId="0" xfId="0" applyNumberFormat="1"/>
    <xf numFmtId="0" fontId="3" fillId="0" borderId="0" xfId="0" applyFont="1"/>
    <xf numFmtId="0" fontId="3" fillId="0" borderId="0" xfId="0" quotePrefix="1" applyFont="1"/>
    <xf numFmtId="0" fontId="4" fillId="0" borderId="0" xfId="0" applyFont="1"/>
    <xf numFmtId="14" fontId="2" fillId="0" borderId="0" xfId="0" applyNumberFormat="1" applyFont="1"/>
    <xf numFmtId="0" fontId="5" fillId="0" borderId="0" xfId="0" applyFont="1"/>
    <xf numFmtId="0" fontId="6" fillId="0" borderId="0" xfId="0" applyFont="1"/>
    <xf numFmtId="14" fontId="6" fillId="0" borderId="0" xfId="0" applyNumberFormat="1" applyFont="1"/>
    <xf numFmtId="164" fontId="0" fillId="0" borderId="0" xfId="0" applyNumberFormat="1"/>
    <xf numFmtId="0" fontId="1" fillId="0" borderId="1" xfId="0" applyFont="1" applyBorder="1"/>
    <xf numFmtId="164" fontId="6" fillId="0" borderId="0" xfId="0" applyNumberFormat="1" applyFont="1"/>
    <xf numFmtId="9" fontId="0" fillId="0" borderId="0" xfId="1" applyFont="1"/>
    <xf numFmtId="0" fontId="0" fillId="0" borderId="0" xfId="0" quotePrefix="1"/>
  </cellXfs>
  <cellStyles count="2">
    <cellStyle name="Normal" xfId="0" builtinId="0"/>
    <cellStyle name="Percent" xfId="1" builtinId="5"/>
  </cellStyles>
  <dxfs count="7">
    <dxf>
      <font>
        <color rgb="FF006100"/>
      </font>
      <fill>
        <patternFill>
          <bgColor rgb="FFC6EFCE"/>
        </patternFill>
      </fill>
    </dxf>
    <dxf>
      <fill>
        <patternFill>
          <bgColor theme="2"/>
        </patternFill>
      </fill>
    </dxf>
    <dxf>
      <font>
        <color theme="0"/>
      </font>
    </dxf>
    <dxf>
      <font>
        <b/>
        <i val="0"/>
      </font>
    </dxf>
    <dxf>
      <font>
        <b val="0"/>
        <i/>
        <color rgb="FFFF0000"/>
      </font>
      <fill>
        <patternFill patternType="none"/>
      </fill>
      <border>
        <left/>
        <right/>
        <top/>
        <bottom/>
      </border>
    </dxf>
    <dxf>
      <font>
        <b/>
        <i val="0"/>
      </font>
    </dxf>
    <dxf>
      <font>
        <b val="0"/>
        <i/>
        <color rgb="FFFF0000"/>
      </font>
      <fill>
        <patternFill patternType="none"/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 MO" id="{9C2BE807-745A-4FB9-BC41-6FB4BD8152CD}" userId="ed933e75b407492c" providerId="Windows Live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16" dT="2024-06-12T01:34:07.62" personId="{9C2BE807-745A-4FB9-BC41-6FB4BD8152CD}" id="{170686F7-6728-46CE-A518-A771316123F5}">
    <text>Renamed by Billboard "Think I'm In Love With You" -- same song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4-03-23T23:56:56.62" personId="{9C2BE807-745A-4FB9-BC41-6FB4BD8152CD}" id="{B5B21C98-5BCD-4725-A3A9-259A8102E35A}">
    <text>A song is defined by name for now, should be name plus artists eventually assuming all versions of a song named exactly the same with exactly the same artists count as the same for the Billboard</text>
  </threadedComment>
  <threadedComment ref="E1" dT="2024-04-10T00:40:30.55" personId="{9C2BE807-745A-4FB9-BC41-6FB4BD8152CD}" id="{ED16F660-A4ED-4E43-830F-3DA46108A534}">
    <text>For disambiguation between same-named songs</text>
  </threadedComment>
  <threadedComment ref="A117" dT="2024-05-16T02:56:46.15" personId="{9C2BE807-745A-4FB9-BC41-6FB4BD8152CD}" id="{74339D18-5F4B-479A-B7DF-FA9118CC8F83}">
    <text>(2024) is my addition to differentiate from Toby Keith version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4-03-23T23:58:02.18" personId="{9C2BE807-745A-4FB9-BC41-6FB4BD8152CD}" id="{C5AFF4B1-CA15-43E7-8E21-82D997A5DC10}">
    <text>Artist name is working for now to define an artist, but if there is ever a duplicate, will need to switch to Artist ID or dates active or something</text>
  </threadedComment>
  <threadedComment ref="G1" dT="2024-03-23T23:38:20.24" personId="{9C2BE807-745A-4FB9-BC41-6FB4BD8152CD}" id="{22BABF1F-8FCB-4152-B25B-D8807486F95E}">
    <text>Needs to switch to list parsing once there is a song featuring multiple artists</text>
  </threadedComment>
  <threadedComment ref="B70" dT="2024-07-11T01:15:49.62" personId="{9C2BE807-745A-4FB9-BC41-6FB4BD8152CD}" id="{ED9CD159-1FA2-4D1F-AFC1-B8F0E6441107}">
    <text>Formerly known as Machine Gun Kelly</text>
  </threadedComment>
  <threadedComment ref="J83" dT="2024-05-16T03:12:50.86" personId="{9C2BE807-745A-4FB9-BC41-6FB4BD8152CD}" id="{4059C269-0C9F-4CAA-921B-16EF0FC8F978}">
    <text>As of 2022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E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C58" sqref="AC58"/>
    </sheetView>
  </sheetViews>
  <sheetFormatPr defaultColWidth="12.6640625" defaultRowHeight="15.75" customHeight="1" x14ac:dyDescent="0.25"/>
  <cols>
    <col min="2" max="3" width="25.77734375" customWidth="1"/>
    <col min="4" max="4" width="25.44140625" customWidth="1"/>
    <col min="5" max="5" width="28.6640625" customWidth="1"/>
    <col min="6" max="6" width="32.44140625" bestFit="1" customWidth="1"/>
    <col min="7" max="10" width="29.21875" bestFit="1" customWidth="1"/>
    <col min="11" max="11" width="29.21875" customWidth="1"/>
    <col min="12" max="13" width="29.21875" bestFit="1" customWidth="1"/>
    <col min="14" max="14" width="28.33203125" bestFit="1" customWidth="1"/>
    <col min="15" max="16" width="26.21875" bestFit="1" customWidth="1"/>
    <col min="17" max="17" width="31.88671875" bestFit="1" customWidth="1"/>
    <col min="18" max="18" width="30.44140625" bestFit="1" customWidth="1"/>
    <col min="19" max="19" width="31.88671875" bestFit="1" customWidth="1"/>
    <col min="20" max="20" width="29.21875" bestFit="1" customWidth="1"/>
    <col min="21" max="21" width="26.21875" bestFit="1" customWidth="1"/>
    <col min="22" max="22" width="37.109375" bestFit="1" customWidth="1"/>
    <col min="23" max="23" width="26.21875" bestFit="1" customWidth="1"/>
    <col min="24" max="24" width="27.33203125" bestFit="1" customWidth="1"/>
    <col min="25" max="25" width="25.44140625" bestFit="1" customWidth="1"/>
    <col min="26" max="26" width="26.21875" bestFit="1" customWidth="1"/>
    <col min="27" max="27" width="28.33203125" bestFit="1" customWidth="1"/>
    <col min="28" max="28" width="27" bestFit="1" customWidth="1"/>
    <col min="29" max="31" width="26.21875" bestFit="1" customWidth="1"/>
  </cols>
  <sheetData>
    <row r="1" spans="1:31" x14ac:dyDescent="0.25">
      <c r="B1" s="1">
        <v>45318</v>
      </c>
      <c r="C1" s="1">
        <v>45325</v>
      </c>
      <c r="D1" s="1">
        <v>45332</v>
      </c>
      <c r="E1" s="1">
        <v>45339</v>
      </c>
      <c r="F1" s="1">
        <v>45343</v>
      </c>
      <c r="G1" s="5">
        <v>45349</v>
      </c>
      <c r="H1" s="5">
        <v>45356</v>
      </c>
      <c r="I1" s="5">
        <v>45364</v>
      </c>
      <c r="J1" s="5">
        <v>45370</v>
      </c>
      <c r="K1" s="5">
        <v>45377</v>
      </c>
      <c r="L1" s="5">
        <v>45384</v>
      </c>
      <c r="M1" s="5">
        <v>45391</v>
      </c>
      <c r="N1" s="5">
        <v>45398</v>
      </c>
      <c r="O1" s="5">
        <v>45408</v>
      </c>
      <c r="P1" s="5">
        <v>45412</v>
      </c>
      <c r="Q1" s="5">
        <v>45420</v>
      </c>
      <c r="R1" s="5">
        <v>45427</v>
      </c>
      <c r="S1" s="5">
        <v>45433</v>
      </c>
      <c r="T1" s="5">
        <v>45441</v>
      </c>
      <c r="U1" s="5">
        <v>45447</v>
      </c>
      <c r="V1" s="5">
        <v>45454</v>
      </c>
      <c r="W1" s="5">
        <v>45461</v>
      </c>
      <c r="X1" s="5">
        <v>45468</v>
      </c>
      <c r="Y1" s="5">
        <v>45475</v>
      </c>
      <c r="Z1" s="5">
        <v>45483</v>
      </c>
      <c r="AA1" s="5">
        <v>45489</v>
      </c>
      <c r="AB1" s="5">
        <v>45496</v>
      </c>
      <c r="AC1" s="5">
        <v>45504</v>
      </c>
      <c r="AD1" s="5">
        <v>45511</v>
      </c>
      <c r="AE1" s="5">
        <v>45517</v>
      </c>
    </row>
    <row r="2" spans="1:31" x14ac:dyDescent="0.25">
      <c r="A2" s="2">
        <v>1</v>
      </c>
      <c r="B2" s="2" t="s">
        <v>0</v>
      </c>
      <c r="C2" s="2" t="s">
        <v>0</v>
      </c>
      <c r="D2" s="2" t="s">
        <v>0</v>
      </c>
      <c r="E2" s="2" t="s">
        <v>0</v>
      </c>
      <c r="F2" s="2" t="s">
        <v>1</v>
      </c>
      <c r="G2" s="6" t="s">
        <v>1</v>
      </c>
      <c r="H2" s="2" t="s">
        <v>1</v>
      </c>
      <c r="I2" s="2" t="s">
        <v>1</v>
      </c>
      <c r="J2" s="2" t="s">
        <v>1</v>
      </c>
      <c r="K2" s="2" t="s">
        <v>1</v>
      </c>
      <c r="L2" s="2" t="s">
        <v>1</v>
      </c>
      <c r="M2" s="2" t="s">
        <v>1</v>
      </c>
      <c r="N2" s="2" t="s">
        <v>1</v>
      </c>
      <c r="O2" s="2" t="s">
        <v>1</v>
      </c>
      <c r="P2" s="2" t="s">
        <v>230</v>
      </c>
      <c r="Q2" s="2" t="s">
        <v>230</v>
      </c>
      <c r="R2" s="2" t="s">
        <v>230</v>
      </c>
      <c r="S2" s="2" t="s">
        <v>247</v>
      </c>
      <c r="T2" s="2" t="s">
        <v>247</v>
      </c>
      <c r="U2" s="2" t="s">
        <v>247</v>
      </c>
      <c r="V2" s="2" t="s">
        <v>247</v>
      </c>
      <c r="W2" s="2" t="s">
        <v>247</v>
      </c>
      <c r="X2" s="2" t="s">
        <v>247</v>
      </c>
      <c r="Y2" s="2" t="s">
        <v>247</v>
      </c>
      <c r="Z2" s="2" t="s">
        <v>230</v>
      </c>
      <c r="AA2" s="2" t="s">
        <v>230</v>
      </c>
      <c r="AB2" s="2" t="s">
        <v>230</v>
      </c>
      <c r="AC2" s="2" t="s">
        <v>230</v>
      </c>
      <c r="AD2" s="2" t="s">
        <v>230</v>
      </c>
      <c r="AE2" s="2" t="s">
        <v>230</v>
      </c>
    </row>
    <row r="3" spans="1:31" x14ac:dyDescent="0.25">
      <c r="A3" s="2">
        <f t="shared" ref="A3:A51" si="0">A2+1</f>
        <v>2</v>
      </c>
      <c r="B3" s="2" t="s">
        <v>2</v>
      </c>
      <c r="C3" s="2" t="s">
        <v>2</v>
      </c>
      <c r="D3" s="2" t="s">
        <v>2</v>
      </c>
      <c r="E3" s="2" t="s">
        <v>3</v>
      </c>
      <c r="F3" s="2" t="s">
        <v>0</v>
      </c>
      <c r="G3" s="6" t="s">
        <v>0</v>
      </c>
      <c r="H3" s="2" t="s">
        <v>0</v>
      </c>
      <c r="I3" s="2" t="s">
        <v>0</v>
      </c>
      <c r="J3" s="2" t="s">
        <v>0</v>
      </c>
      <c r="K3" s="2" t="s">
        <v>0</v>
      </c>
      <c r="L3" s="2" t="s">
        <v>0</v>
      </c>
      <c r="M3" s="2" t="s">
        <v>184</v>
      </c>
      <c r="N3" s="2" t="s">
        <v>0</v>
      </c>
      <c r="O3" s="2" t="s">
        <v>0</v>
      </c>
      <c r="P3" s="2" t="s">
        <v>1</v>
      </c>
      <c r="Q3" s="2" t="s">
        <v>0</v>
      </c>
      <c r="R3" s="2" t="s">
        <v>0</v>
      </c>
      <c r="S3" s="2" t="s">
        <v>230</v>
      </c>
      <c r="T3" s="2" t="s">
        <v>230</v>
      </c>
      <c r="U3" s="2" t="s">
        <v>230</v>
      </c>
      <c r="V3" s="2" t="s">
        <v>230</v>
      </c>
      <c r="W3" s="2" t="s">
        <v>230</v>
      </c>
      <c r="X3" s="2" t="s">
        <v>230</v>
      </c>
      <c r="Y3" s="2" t="s">
        <v>230</v>
      </c>
      <c r="Z3" s="2" t="s">
        <v>247</v>
      </c>
      <c r="AA3" s="2" t="s">
        <v>247</v>
      </c>
      <c r="AB3" s="2" t="s">
        <v>247</v>
      </c>
      <c r="AC3" s="2" t="s">
        <v>247</v>
      </c>
      <c r="AD3" s="2" t="s">
        <v>247</v>
      </c>
      <c r="AE3" s="2" t="s">
        <v>247</v>
      </c>
    </row>
    <row r="4" spans="1:31" x14ac:dyDescent="0.25">
      <c r="A4" s="2">
        <f t="shared" si="0"/>
        <v>3</v>
      </c>
      <c r="B4" s="2" t="s">
        <v>4</v>
      </c>
      <c r="C4" s="2" t="s">
        <v>4</v>
      </c>
      <c r="D4" s="2" t="s">
        <v>4</v>
      </c>
      <c r="E4" s="2" t="s">
        <v>2</v>
      </c>
      <c r="F4" s="2" t="s">
        <v>3</v>
      </c>
      <c r="G4" s="6" t="s">
        <v>3</v>
      </c>
      <c r="H4" s="2" t="s">
        <v>3</v>
      </c>
      <c r="I4" s="2" t="s">
        <v>3</v>
      </c>
      <c r="J4" s="2" t="s">
        <v>2</v>
      </c>
      <c r="K4" s="2" t="s">
        <v>2</v>
      </c>
      <c r="L4" s="2" t="s">
        <v>3</v>
      </c>
      <c r="M4" s="2" t="s">
        <v>185</v>
      </c>
      <c r="N4" s="2" t="s">
        <v>20</v>
      </c>
      <c r="O4" s="2" t="s">
        <v>145</v>
      </c>
      <c r="P4" s="2" t="s">
        <v>0</v>
      </c>
      <c r="Q4" s="2" t="s">
        <v>1</v>
      </c>
      <c r="R4" s="2" t="s">
        <v>145</v>
      </c>
      <c r="S4" s="2" t="s">
        <v>0</v>
      </c>
      <c r="T4" s="2" t="s">
        <v>0</v>
      </c>
      <c r="U4" s="2" t="s">
        <v>269</v>
      </c>
      <c r="V4" s="2" t="s">
        <v>269</v>
      </c>
      <c r="W4" s="2" t="s">
        <v>269</v>
      </c>
      <c r="X4" s="2" t="s">
        <v>269</v>
      </c>
      <c r="Y4" s="2" t="s">
        <v>297</v>
      </c>
      <c r="Z4" s="2" t="s">
        <v>216</v>
      </c>
      <c r="AA4" s="2" t="s">
        <v>310</v>
      </c>
      <c r="AB4" s="2" t="s">
        <v>310</v>
      </c>
      <c r="AC4" s="2" t="s">
        <v>310</v>
      </c>
      <c r="AD4" s="2" t="s">
        <v>310</v>
      </c>
      <c r="AE4" s="2" t="s">
        <v>216</v>
      </c>
    </row>
    <row r="5" spans="1:31" x14ac:dyDescent="0.25">
      <c r="A5" s="2">
        <f t="shared" si="0"/>
        <v>4</v>
      </c>
      <c r="B5" s="2" t="s">
        <v>3</v>
      </c>
      <c r="C5" s="2" t="s">
        <v>3</v>
      </c>
      <c r="D5" s="2" t="s">
        <v>3</v>
      </c>
      <c r="E5" s="2" t="s">
        <v>4</v>
      </c>
      <c r="F5" s="2" t="s">
        <v>2</v>
      </c>
      <c r="G5" s="6" t="s">
        <v>2</v>
      </c>
      <c r="H5" s="2" t="s">
        <v>2</v>
      </c>
      <c r="I5" s="2" t="s">
        <v>2</v>
      </c>
      <c r="J5" s="2" t="s">
        <v>3</v>
      </c>
      <c r="K5" s="2" t="s">
        <v>3</v>
      </c>
      <c r="L5" s="2" t="s">
        <v>2</v>
      </c>
      <c r="M5" s="2" t="s">
        <v>0</v>
      </c>
      <c r="N5" s="2" t="s">
        <v>184</v>
      </c>
      <c r="O5" s="2" t="s">
        <v>9</v>
      </c>
      <c r="P5" s="2" t="s">
        <v>145</v>
      </c>
      <c r="Q5" s="2" t="s">
        <v>9</v>
      </c>
      <c r="R5" s="2" t="s">
        <v>1</v>
      </c>
      <c r="S5" s="2" t="s">
        <v>243</v>
      </c>
      <c r="T5" s="2" t="s">
        <v>261</v>
      </c>
      <c r="U5" s="2" t="s">
        <v>0</v>
      </c>
      <c r="V5" s="2" t="s">
        <v>216</v>
      </c>
      <c r="W5" s="2" t="s">
        <v>216</v>
      </c>
      <c r="X5" s="2" t="s">
        <v>216</v>
      </c>
      <c r="Y5" s="2" t="s">
        <v>269</v>
      </c>
      <c r="Z5" s="2" t="s">
        <v>269</v>
      </c>
      <c r="AA5" s="2" t="s">
        <v>269</v>
      </c>
      <c r="AB5" s="2" t="s">
        <v>216</v>
      </c>
      <c r="AC5" s="2" t="s">
        <v>261</v>
      </c>
      <c r="AD5" s="2" t="s">
        <v>261</v>
      </c>
      <c r="AE5" s="2" t="s">
        <v>261</v>
      </c>
    </row>
    <row r="6" spans="1:31" x14ac:dyDescent="0.25">
      <c r="A6" s="2">
        <f t="shared" si="0"/>
        <v>5</v>
      </c>
      <c r="B6" s="2" t="s">
        <v>5</v>
      </c>
      <c r="C6" s="2" t="s">
        <v>5</v>
      </c>
      <c r="D6" s="2" t="s">
        <v>6</v>
      </c>
      <c r="E6" s="2" t="s">
        <v>7</v>
      </c>
      <c r="F6" s="2" t="s">
        <v>4</v>
      </c>
      <c r="G6" s="6" t="s">
        <v>4</v>
      </c>
      <c r="H6" s="2" t="s">
        <v>4</v>
      </c>
      <c r="I6" s="2" t="s">
        <v>4</v>
      </c>
      <c r="J6" s="2" t="s">
        <v>4</v>
      </c>
      <c r="K6" s="2" t="s">
        <v>4</v>
      </c>
      <c r="L6" s="2" t="s">
        <v>4</v>
      </c>
      <c r="M6" s="2" t="s">
        <v>186</v>
      </c>
      <c r="N6" s="2" t="s">
        <v>145</v>
      </c>
      <c r="O6" s="2" t="s">
        <v>20</v>
      </c>
      <c r="P6" s="2" t="s">
        <v>9</v>
      </c>
      <c r="Q6" s="2" t="s">
        <v>145</v>
      </c>
      <c r="R6" s="2" t="s">
        <v>243</v>
      </c>
      <c r="S6" s="2" t="s">
        <v>145</v>
      </c>
      <c r="T6" s="2" t="s">
        <v>216</v>
      </c>
      <c r="U6" s="2" t="s">
        <v>216</v>
      </c>
      <c r="V6" s="2" t="s">
        <v>145</v>
      </c>
      <c r="W6" s="2" t="s">
        <v>145</v>
      </c>
      <c r="X6" s="2" t="s">
        <v>145</v>
      </c>
      <c r="Y6" s="2" t="s">
        <v>216</v>
      </c>
      <c r="Z6" s="2" t="s">
        <v>297</v>
      </c>
      <c r="AA6" s="17" t="s">
        <v>305</v>
      </c>
      <c r="AB6" s="2" t="s">
        <v>269</v>
      </c>
      <c r="AC6" s="2" t="s">
        <v>216</v>
      </c>
      <c r="AD6" s="2" t="s">
        <v>216</v>
      </c>
      <c r="AE6" s="2" t="s">
        <v>310</v>
      </c>
    </row>
    <row r="7" spans="1:31" x14ac:dyDescent="0.25">
      <c r="A7" s="2">
        <f t="shared" si="0"/>
        <v>6</v>
      </c>
      <c r="B7" s="2" t="s">
        <v>8</v>
      </c>
      <c r="C7" s="2" t="s">
        <v>7</v>
      </c>
      <c r="D7" s="2" t="s">
        <v>5</v>
      </c>
      <c r="E7" s="2" t="s">
        <v>9</v>
      </c>
      <c r="F7" s="2" t="s">
        <v>7</v>
      </c>
      <c r="G7" s="6" t="s">
        <v>7</v>
      </c>
      <c r="H7" s="2" t="s">
        <v>7</v>
      </c>
      <c r="I7" s="2" t="s">
        <v>7</v>
      </c>
      <c r="J7" s="2" t="s">
        <v>16</v>
      </c>
      <c r="K7" s="2" t="s">
        <v>16</v>
      </c>
      <c r="L7" s="2" t="s">
        <v>20</v>
      </c>
      <c r="M7" s="2" t="s">
        <v>187</v>
      </c>
      <c r="N7" s="2" t="s">
        <v>9</v>
      </c>
      <c r="O7" s="2" t="s">
        <v>230</v>
      </c>
      <c r="P7" s="2" t="s">
        <v>215</v>
      </c>
      <c r="Q7" s="2" t="s">
        <v>215</v>
      </c>
      <c r="R7" s="2" t="s">
        <v>216</v>
      </c>
      <c r="S7" s="2" t="s">
        <v>216</v>
      </c>
      <c r="T7" s="2" t="s">
        <v>243</v>
      </c>
      <c r="U7" s="2" t="s">
        <v>243</v>
      </c>
      <c r="V7" s="2" t="s">
        <v>0</v>
      </c>
      <c r="W7" s="2" t="s">
        <v>0</v>
      </c>
      <c r="X7" s="2" t="s">
        <v>289</v>
      </c>
      <c r="Y7" s="2" t="s">
        <v>145</v>
      </c>
      <c r="Z7" s="2" t="s">
        <v>0</v>
      </c>
      <c r="AA7" s="2" t="s">
        <v>216</v>
      </c>
      <c r="AB7" s="4" t="s">
        <v>305</v>
      </c>
      <c r="AC7" s="2" t="s">
        <v>269</v>
      </c>
      <c r="AD7" s="2" t="s">
        <v>269</v>
      </c>
      <c r="AE7" s="2" t="s">
        <v>269</v>
      </c>
    </row>
    <row r="8" spans="1:31" x14ac:dyDescent="0.25">
      <c r="A8" s="2">
        <f t="shared" si="0"/>
        <v>7</v>
      </c>
      <c r="B8" s="2" t="s">
        <v>10</v>
      </c>
      <c r="C8" s="2" t="s">
        <v>9</v>
      </c>
      <c r="D8" s="2" t="s">
        <v>7</v>
      </c>
      <c r="E8" s="2" t="s">
        <v>11</v>
      </c>
      <c r="F8" s="2" t="s">
        <v>9</v>
      </c>
      <c r="G8" s="6" t="s">
        <v>9</v>
      </c>
      <c r="H8" s="2" t="s">
        <v>11</v>
      </c>
      <c r="I8" s="2" t="s">
        <v>9</v>
      </c>
      <c r="J8" s="2" t="s">
        <v>7</v>
      </c>
      <c r="K8" s="2" t="s">
        <v>20</v>
      </c>
      <c r="L8" s="2" t="s">
        <v>16</v>
      </c>
      <c r="M8" s="2" t="s">
        <v>188</v>
      </c>
      <c r="N8" s="2" t="s">
        <v>19</v>
      </c>
      <c r="O8" s="2" t="s">
        <v>215</v>
      </c>
      <c r="P8" s="2" t="s">
        <v>13</v>
      </c>
      <c r="Q8" s="2" t="s">
        <v>216</v>
      </c>
      <c r="R8" s="2" t="s">
        <v>9</v>
      </c>
      <c r="S8" s="2" t="s">
        <v>215</v>
      </c>
      <c r="T8" s="2" t="s">
        <v>145</v>
      </c>
      <c r="U8" s="2" t="s">
        <v>145</v>
      </c>
      <c r="V8" s="2" t="s">
        <v>243</v>
      </c>
      <c r="W8" s="2" t="s">
        <v>243</v>
      </c>
      <c r="X8" s="2" t="s">
        <v>0</v>
      </c>
      <c r="Y8" s="2" t="s">
        <v>0</v>
      </c>
      <c r="Z8" s="2" t="s">
        <v>243</v>
      </c>
      <c r="AA8" s="2" t="s">
        <v>243</v>
      </c>
      <c r="AB8" s="2" t="s">
        <v>243</v>
      </c>
      <c r="AC8" s="4" t="s">
        <v>305</v>
      </c>
      <c r="AD8" s="2" t="s">
        <v>335</v>
      </c>
      <c r="AE8" s="2" t="s">
        <v>243</v>
      </c>
    </row>
    <row r="9" spans="1:31" x14ac:dyDescent="0.25">
      <c r="A9" s="2">
        <f t="shared" si="0"/>
        <v>8</v>
      </c>
      <c r="B9" s="2" t="s">
        <v>7</v>
      </c>
      <c r="C9" s="2" t="s">
        <v>10</v>
      </c>
      <c r="D9" s="2" t="s">
        <v>9</v>
      </c>
      <c r="E9" s="2" t="s">
        <v>5</v>
      </c>
      <c r="F9" s="2" t="s">
        <v>11</v>
      </c>
      <c r="G9" s="6" t="s">
        <v>11</v>
      </c>
      <c r="H9" s="2" t="s">
        <v>9</v>
      </c>
      <c r="I9" s="2" t="s">
        <v>16</v>
      </c>
      <c r="J9" s="2" t="s">
        <v>13</v>
      </c>
      <c r="K9" s="2" t="s">
        <v>13</v>
      </c>
      <c r="L9" s="4" t="s">
        <v>25</v>
      </c>
      <c r="M9" s="2" t="s">
        <v>20</v>
      </c>
      <c r="N9" s="2" t="s">
        <v>215</v>
      </c>
      <c r="O9" s="2" t="s">
        <v>13</v>
      </c>
      <c r="P9" s="2" t="s">
        <v>36</v>
      </c>
      <c r="Q9" s="2" t="s">
        <v>36</v>
      </c>
      <c r="R9" s="2" t="s">
        <v>215</v>
      </c>
      <c r="S9" s="2" t="s">
        <v>9</v>
      </c>
      <c r="T9" s="2" t="s">
        <v>215</v>
      </c>
      <c r="U9" s="2" t="s">
        <v>261</v>
      </c>
      <c r="V9" s="2" t="s">
        <v>261</v>
      </c>
      <c r="W9" s="2" t="s">
        <v>281</v>
      </c>
      <c r="X9" s="2" t="s">
        <v>243</v>
      </c>
      <c r="Y9" s="2" t="s">
        <v>289</v>
      </c>
      <c r="Z9" s="2" t="s">
        <v>145</v>
      </c>
      <c r="AA9" s="2" t="s">
        <v>303</v>
      </c>
      <c r="AB9" s="2" t="s">
        <v>145</v>
      </c>
      <c r="AC9" s="2" t="s">
        <v>243</v>
      </c>
      <c r="AD9" s="2" t="s">
        <v>243</v>
      </c>
      <c r="AE9" s="2" t="s">
        <v>145</v>
      </c>
    </row>
    <row r="10" spans="1:31" x14ac:dyDescent="0.25">
      <c r="A10" s="2">
        <f t="shared" si="0"/>
        <v>9</v>
      </c>
      <c r="B10" s="2" t="s">
        <v>12</v>
      </c>
      <c r="C10" s="2" t="s">
        <v>13</v>
      </c>
      <c r="D10" s="2" t="s">
        <v>13</v>
      </c>
      <c r="E10" s="2" t="s">
        <v>13</v>
      </c>
      <c r="F10" s="2" t="s">
        <v>14</v>
      </c>
      <c r="G10" s="6" t="s">
        <v>16</v>
      </c>
      <c r="H10" s="2" t="s">
        <v>16</v>
      </c>
      <c r="I10" s="2" t="s">
        <v>11</v>
      </c>
      <c r="J10" s="2" t="s">
        <v>9</v>
      </c>
      <c r="K10" s="2" t="s">
        <v>7</v>
      </c>
      <c r="L10" s="2" t="s">
        <v>9</v>
      </c>
      <c r="M10" s="2" t="s">
        <v>189</v>
      </c>
      <c r="N10" s="2" t="s">
        <v>13</v>
      </c>
      <c r="O10" s="2" t="s">
        <v>184</v>
      </c>
      <c r="P10" s="2" t="s">
        <v>42</v>
      </c>
      <c r="Q10" s="2" t="s">
        <v>13</v>
      </c>
      <c r="R10" s="2" t="s">
        <v>13</v>
      </c>
      <c r="S10" s="2" t="s">
        <v>1</v>
      </c>
      <c r="T10" s="2" t="s">
        <v>9</v>
      </c>
      <c r="U10" s="2" t="s">
        <v>215</v>
      </c>
      <c r="V10" s="2" t="s">
        <v>215</v>
      </c>
      <c r="W10" s="2" t="s">
        <v>261</v>
      </c>
      <c r="X10" s="2" t="s">
        <v>281</v>
      </c>
      <c r="Y10" s="2" t="s">
        <v>243</v>
      </c>
      <c r="Z10" s="2" t="s">
        <v>289</v>
      </c>
      <c r="AA10" s="2" t="s">
        <v>0</v>
      </c>
      <c r="AB10" s="2" t="s">
        <v>281</v>
      </c>
      <c r="AC10" s="2" t="s">
        <v>281</v>
      </c>
      <c r="AD10" s="4" t="s">
        <v>305</v>
      </c>
      <c r="AE10" s="4" t="s">
        <v>305</v>
      </c>
    </row>
    <row r="11" spans="1:31" x14ac:dyDescent="0.25">
      <c r="A11" s="14">
        <f t="shared" si="0"/>
        <v>10</v>
      </c>
      <c r="B11" s="2" t="s">
        <v>15</v>
      </c>
      <c r="C11" s="2" t="s">
        <v>8</v>
      </c>
      <c r="D11" s="2" t="s">
        <v>11</v>
      </c>
      <c r="E11" s="2" t="s">
        <v>8</v>
      </c>
      <c r="F11" s="2" t="s">
        <v>13</v>
      </c>
      <c r="G11" s="6" t="s">
        <v>13</v>
      </c>
      <c r="H11" s="2" t="s">
        <v>13</v>
      </c>
      <c r="I11" s="2" t="s">
        <v>13</v>
      </c>
      <c r="J11" s="2" t="s">
        <v>11</v>
      </c>
      <c r="K11" s="2" t="s">
        <v>9</v>
      </c>
      <c r="L11" s="2" t="s">
        <v>19</v>
      </c>
      <c r="M11" s="2" t="s">
        <v>14</v>
      </c>
      <c r="N11" s="2" t="s">
        <v>185</v>
      </c>
      <c r="O11" s="2" t="s">
        <v>36</v>
      </c>
      <c r="P11" s="2" t="s">
        <v>216</v>
      </c>
      <c r="Q11" s="2" t="s">
        <v>42</v>
      </c>
      <c r="R11" s="2" t="s">
        <v>36</v>
      </c>
      <c r="S11" s="2" t="s">
        <v>13</v>
      </c>
      <c r="T11" s="2" t="s">
        <v>43</v>
      </c>
      <c r="U11" s="2" t="s">
        <v>43</v>
      </c>
      <c r="V11" s="2" t="s">
        <v>43</v>
      </c>
      <c r="W11" s="2" t="s">
        <v>266</v>
      </c>
      <c r="X11" s="2" t="s">
        <v>284</v>
      </c>
      <c r="Y11" s="2" t="s">
        <v>281</v>
      </c>
      <c r="Z11" s="2" t="s">
        <v>281</v>
      </c>
      <c r="AA11" s="2" t="s">
        <v>145</v>
      </c>
      <c r="AB11" s="2" t="s">
        <v>0</v>
      </c>
      <c r="AC11" s="2" t="s">
        <v>145</v>
      </c>
      <c r="AD11" s="2" t="s">
        <v>145</v>
      </c>
      <c r="AE11" s="2" t="s">
        <v>281</v>
      </c>
    </row>
    <row r="12" spans="1:31" x14ac:dyDescent="0.25">
      <c r="A12" s="2">
        <f>A11+1</f>
        <v>11</v>
      </c>
      <c r="B12" s="2" t="s">
        <v>16</v>
      </c>
      <c r="C12" s="2" t="s">
        <v>16</v>
      </c>
      <c r="D12" s="2" t="s">
        <v>8</v>
      </c>
      <c r="E12" s="2" t="s">
        <v>16</v>
      </c>
      <c r="F12" s="2" t="s">
        <v>16</v>
      </c>
      <c r="G12" s="6" t="s">
        <v>19</v>
      </c>
      <c r="H12" s="2" t="s">
        <v>20</v>
      </c>
      <c r="I12" s="2" t="s">
        <v>19</v>
      </c>
      <c r="J12" s="2" t="s">
        <v>20</v>
      </c>
      <c r="K12" s="2" t="s">
        <v>19</v>
      </c>
      <c r="L12" s="2" t="s">
        <v>145</v>
      </c>
      <c r="M12" s="2" t="s">
        <v>190</v>
      </c>
      <c r="N12" s="2" t="s">
        <v>36</v>
      </c>
      <c r="O12" s="2" t="s">
        <v>216</v>
      </c>
      <c r="P12" s="2" t="s">
        <v>199</v>
      </c>
      <c r="Q12" s="2" t="s">
        <v>43</v>
      </c>
      <c r="R12" s="2" t="s">
        <v>43</v>
      </c>
      <c r="S12" s="2" t="s">
        <v>43</v>
      </c>
      <c r="T12" s="2" t="s">
        <v>266</v>
      </c>
      <c r="U12" s="2" t="s">
        <v>1</v>
      </c>
      <c r="V12" s="2" t="s">
        <v>50</v>
      </c>
      <c r="W12" s="2" t="s">
        <v>43</v>
      </c>
      <c r="X12" s="2" t="s">
        <v>261</v>
      </c>
      <c r="Y12" s="2" t="s">
        <v>284</v>
      </c>
      <c r="Z12" s="2" t="s">
        <v>284</v>
      </c>
      <c r="AA12" s="2" t="s">
        <v>297</v>
      </c>
      <c r="AB12" s="2" t="s">
        <v>261</v>
      </c>
      <c r="AC12" s="2" t="s">
        <v>284</v>
      </c>
      <c r="AD12" s="2" t="s">
        <v>281</v>
      </c>
      <c r="AE12" s="2" t="s">
        <v>297</v>
      </c>
    </row>
    <row r="13" spans="1:31" x14ac:dyDescent="0.25">
      <c r="A13" s="2">
        <f t="shared" si="0"/>
        <v>12</v>
      </c>
      <c r="B13" s="2" t="s">
        <v>9</v>
      </c>
      <c r="C13" s="2" t="s">
        <v>11</v>
      </c>
      <c r="D13" s="2" t="s">
        <v>16</v>
      </c>
      <c r="E13" s="2" t="s">
        <v>17</v>
      </c>
      <c r="F13" s="2" t="s">
        <v>8</v>
      </c>
      <c r="G13" s="6" t="s">
        <v>20</v>
      </c>
      <c r="H13" s="2" t="s">
        <v>19</v>
      </c>
      <c r="I13" s="2" t="s">
        <v>20</v>
      </c>
      <c r="J13" s="4" t="s">
        <v>25</v>
      </c>
      <c r="K13" s="4" t="s">
        <v>25</v>
      </c>
      <c r="L13" s="2" t="s">
        <v>13</v>
      </c>
      <c r="M13" s="2" t="s">
        <v>191</v>
      </c>
      <c r="N13" s="2" t="s">
        <v>186</v>
      </c>
      <c r="O13" s="2" t="s">
        <v>42</v>
      </c>
      <c r="P13" s="2" t="s">
        <v>43</v>
      </c>
      <c r="Q13" s="2" t="s">
        <v>199</v>
      </c>
      <c r="R13" s="2" t="s">
        <v>42</v>
      </c>
      <c r="S13" s="2" t="s">
        <v>50</v>
      </c>
      <c r="T13" s="2" t="s">
        <v>1</v>
      </c>
      <c r="U13" s="2" t="s">
        <v>53</v>
      </c>
      <c r="V13" s="2" t="s">
        <v>266</v>
      </c>
      <c r="W13" s="2" t="s">
        <v>53</v>
      </c>
      <c r="X13" s="2" t="s">
        <v>290</v>
      </c>
      <c r="Y13" s="2" t="s">
        <v>261</v>
      </c>
      <c r="Z13" s="2" t="s">
        <v>261</v>
      </c>
      <c r="AA13" s="2" t="s">
        <v>289</v>
      </c>
      <c r="AB13" s="2" t="s">
        <v>297</v>
      </c>
      <c r="AC13" s="2" t="s">
        <v>297</v>
      </c>
      <c r="AD13" s="2" t="s">
        <v>297</v>
      </c>
      <c r="AE13" s="2" t="s">
        <v>335</v>
      </c>
    </row>
    <row r="14" spans="1:31" x14ac:dyDescent="0.25">
      <c r="A14" s="2">
        <f t="shared" si="0"/>
        <v>13</v>
      </c>
      <c r="B14" s="2" t="s">
        <v>11</v>
      </c>
      <c r="C14" s="3" t="s">
        <v>18</v>
      </c>
      <c r="D14" s="2" t="s">
        <v>19</v>
      </c>
      <c r="E14" s="2" t="s">
        <v>6</v>
      </c>
      <c r="F14" s="2" t="s">
        <v>19</v>
      </c>
      <c r="G14" s="6" t="s">
        <v>14</v>
      </c>
      <c r="H14" s="2" t="s">
        <v>136</v>
      </c>
      <c r="I14" s="2" t="s">
        <v>24</v>
      </c>
      <c r="J14" s="2" t="s">
        <v>19</v>
      </c>
      <c r="K14" s="2" t="s">
        <v>36</v>
      </c>
      <c r="L14" s="2" t="s">
        <v>36</v>
      </c>
      <c r="M14" s="2" t="s">
        <v>9</v>
      </c>
      <c r="N14" s="2" t="s">
        <v>216</v>
      </c>
      <c r="O14" s="2" t="s">
        <v>43</v>
      </c>
      <c r="P14" s="2" t="s">
        <v>184</v>
      </c>
      <c r="Q14" s="2" t="s">
        <v>50</v>
      </c>
      <c r="R14" s="2" t="s">
        <v>44</v>
      </c>
      <c r="S14" s="2" t="s">
        <v>42</v>
      </c>
      <c r="T14" s="2" t="s">
        <v>13</v>
      </c>
      <c r="U14" s="2" t="s">
        <v>266</v>
      </c>
      <c r="V14" s="2" t="s">
        <v>53</v>
      </c>
      <c r="W14" s="2" t="s">
        <v>50</v>
      </c>
      <c r="X14" s="2" t="s">
        <v>282</v>
      </c>
      <c r="Y14" s="2" t="s">
        <v>43</v>
      </c>
      <c r="Z14" s="2" t="s">
        <v>298</v>
      </c>
      <c r="AA14" s="2" t="s">
        <v>261</v>
      </c>
      <c r="AB14" s="2" t="s">
        <v>289</v>
      </c>
      <c r="AC14" s="2" t="s">
        <v>289</v>
      </c>
      <c r="AD14" s="2" t="s">
        <v>336</v>
      </c>
      <c r="AE14" s="2" t="s">
        <v>284</v>
      </c>
    </row>
    <row r="15" spans="1:31" x14ac:dyDescent="0.25">
      <c r="A15" s="2">
        <f t="shared" si="0"/>
        <v>14</v>
      </c>
      <c r="B15" s="2" t="s">
        <v>19</v>
      </c>
      <c r="C15" s="2" t="s">
        <v>19</v>
      </c>
      <c r="D15" s="2" t="s">
        <v>20</v>
      </c>
      <c r="E15" s="2" t="s">
        <v>19</v>
      </c>
      <c r="F15" s="2" t="s">
        <v>20</v>
      </c>
      <c r="G15" s="7" t="s">
        <v>25</v>
      </c>
      <c r="H15" s="2" t="s">
        <v>24</v>
      </c>
      <c r="I15" s="4" t="s">
        <v>25</v>
      </c>
      <c r="J15" s="2" t="s">
        <v>24</v>
      </c>
      <c r="K15" s="2" t="s">
        <v>29</v>
      </c>
      <c r="L15" s="2" t="s">
        <v>29</v>
      </c>
      <c r="M15" s="2" t="s">
        <v>19</v>
      </c>
      <c r="N15" s="2" t="s">
        <v>52</v>
      </c>
      <c r="O15" s="2" t="s">
        <v>52</v>
      </c>
      <c r="P15" s="2" t="s">
        <v>52</v>
      </c>
      <c r="Q15" s="2" t="s">
        <v>184</v>
      </c>
      <c r="R15" s="2" t="s">
        <v>50</v>
      </c>
      <c r="S15" s="2" t="s">
        <v>36</v>
      </c>
      <c r="T15" s="2" t="s">
        <v>50</v>
      </c>
      <c r="U15" s="2" t="s">
        <v>13</v>
      </c>
      <c r="V15" s="2" t="s">
        <v>45</v>
      </c>
      <c r="W15" s="2" t="s">
        <v>13</v>
      </c>
      <c r="X15" s="2" t="s">
        <v>43</v>
      </c>
      <c r="Y15" s="2" t="s">
        <v>45</v>
      </c>
      <c r="Z15" s="2" t="s">
        <v>45</v>
      </c>
      <c r="AA15" s="2" t="s">
        <v>284</v>
      </c>
      <c r="AB15" s="2" t="s">
        <v>284</v>
      </c>
      <c r="AC15" s="2" t="s">
        <v>43</v>
      </c>
      <c r="AD15" s="2" t="s">
        <v>284</v>
      </c>
      <c r="AE15" s="2" t="s">
        <v>43</v>
      </c>
    </row>
    <row r="16" spans="1:31" x14ac:dyDescent="0.25">
      <c r="A16" s="2">
        <f t="shared" si="0"/>
        <v>15</v>
      </c>
      <c r="B16" s="2" t="s">
        <v>21</v>
      </c>
      <c r="C16" s="2" t="s">
        <v>20</v>
      </c>
      <c r="D16" s="2" t="s">
        <v>21</v>
      </c>
      <c r="E16" s="2" t="s">
        <v>22</v>
      </c>
      <c r="F16" s="2" t="s">
        <v>17</v>
      </c>
      <c r="G16" s="6" t="s">
        <v>24</v>
      </c>
      <c r="H16" s="4" t="s">
        <v>25</v>
      </c>
      <c r="I16" s="2" t="s">
        <v>29</v>
      </c>
      <c r="J16" s="2" t="s">
        <v>36</v>
      </c>
      <c r="K16" s="2" t="s">
        <v>145</v>
      </c>
      <c r="L16" s="2" t="s">
        <v>6</v>
      </c>
      <c r="M16" s="2" t="s">
        <v>192</v>
      </c>
      <c r="N16" s="2" t="s">
        <v>44</v>
      </c>
      <c r="O16" s="2" t="s">
        <v>199</v>
      </c>
      <c r="P16" s="2" t="s">
        <v>44</v>
      </c>
      <c r="Q16" s="2" t="s">
        <v>44</v>
      </c>
      <c r="R16" s="2" t="s">
        <v>199</v>
      </c>
      <c r="S16" s="2" t="s">
        <v>44</v>
      </c>
      <c r="T16" s="2" t="s">
        <v>53</v>
      </c>
      <c r="U16" s="2" t="s">
        <v>50</v>
      </c>
      <c r="V16" s="2" t="s">
        <v>13</v>
      </c>
      <c r="W16" s="2" t="s">
        <v>45</v>
      </c>
      <c r="X16" s="2" t="s">
        <v>266</v>
      </c>
      <c r="Y16" s="2" t="s">
        <v>298</v>
      </c>
      <c r="Z16" s="2" t="s">
        <v>43</v>
      </c>
      <c r="AA16" s="2" t="s">
        <v>281</v>
      </c>
      <c r="AB16" s="2" t="s">
        <v>298</v>
      </c>
      <c r="AC16" s="2" t="s">
        <v>45</v>
      </c>
      <c r="AD16" s="2" t="s">
        <v>43</v>
      </c>
      <c r="AE16" s="2" t="s">
        <v>298</v>
      </c>
    </row>
    <row r="17" spans="1:31" x14ac:dyDescent="0.25">
      <c r="A17" s="2">
        <f t="shared" si="0"/>
        <v>16</v>
      </c>
      <c r="B17" s="2" t="s">
        <v>20</v>
      </c>
      <c r="C17" s="2" t="s">
        <v>21</v>
      </c>
      <c r="D17" s="2" t="s">
        <v>23</v>
      </c>
      <c r="E17" s="2" t="s">
        <v>20</v>
      </c>
      <c r="F17" s="2" t="s">
        <v>6</v>
      </c>
      <c r="G17" s="6" t="s">
        <v>6</v>
      </c>
      <c r="H17" s="2" t="s">
        <v>23</v>
      </c>
      <c r="I17" s="2" t="s">
        <v>36</v>
      </c>
      <c r="J17" s="2" t="s">
        <v>29</v>
      </c>
      <c r="K17" s="2" t="s">
        <v>24</v>
      </c>
      <c r="L17" s="2" t="s">
        <v>44</v>
      </c>
      <c r="M17" s="2" t="s">
        <v>193</v>
      </c>
      <c r="N17" s="2" t="s">
        <v>137</v>
      </c>
      <c r="O17" s="2" t="s">
        <v>44</v>
      </c>
      <c r="P17" s="2" t="s">
        <v>50</v>
      </c>
      <c r="Q17" s="2" t="s">
        <v>41</v>
      </c>
      <c r="R17" s="2" t="s">
        <v>41</v>
      </c>
      <c r="S17" s="2" t="s">
        <v>199</v>
      </c>
      <c r="T17" s="2" t="s">
        <v>45</v>
      </c>
      <c r="U17" s="2" t="s">
        <v>45</v>
      </c>
      <c r="V17" s="2" t="s">
        <v>41</v>
      </c>
      <c r="W17" s="2" t="s">
        <v>282</v>
      </c>
      <c r="X17" s="2" t="s">
        <v>45</v>
      </c>
      <c r="Y17" s="2" t="s">
        <v>41</v>
      </c>
      <c r="Z17" s="2" t="s">
        <v>300</v>
      </c>
      <c r="AA17" s="2" t="s">
        <v>298</v>
      </c>
      <c r="AB17" s="2" t="s">
        <v>43</v>
      </c>
      <c r="AC17" s="2" t="s">
        <v>298</v>
      </c>
      <c r="AD17" s="2" t="s">
        <v>45</v>
      </c>
      <c r="AE17" s="2" t="s">
        <v>45</v>
      </c>
    </row>
    <row r="18" spans="1:31" x14ac:dyDescent="0.25">
      <c r="A18" s="2">
        <f t="shared" si="0"/>
        <v>17</v>
      </c>
      <c r="B18" s="2" t="s">
        <v>23</v>
      </c>
      <c r="C18" s="2" t="s">
        <v>23</v>
      </c>
      <c r="D18" s="2" t="s">
        <v>24</v>
      </c>
      <c r="E18" s="2" t="s">
        <v>21</v>
      </c>
      <c r="F18" s="4" t="s">
        <v>25</v>
      </c>
      <c r="G18" s="6" t="s">
        <v>29</v>
      </c>
      <c r="H18" s="2" t="s">
        <v>29</v>
      </c>
      <c r="I18" s="2" t="s">
        <v>6</v>
      </c>
      <c r="J18" s="2" t="s">
        <v>145</v>
      </c>
      <c r="K18" s="2" t="s">
        <v>39</v>
      </c>
      <c r="L18" s="2" t="s">
        <v>52</v>
      </c>
      <c r="M18" s="2" t="s">
        <v>195</v>
      </c>
      <c r="N18" s="2" t="s">
        <v>50</v>
      </c>
      <c r="O18" s="2" t="s">
        <v>137</v>
      </c>
      <c r="P18" s="2" t="s">
        <v>137</v>
      </c>
      <c r="Q18" s="2" t="s">
        <v>45</v>
      </c>
      <c r="R18" s="2" t="s">
        <v>45</v>
      </c>
      <c r="S18" s="2" t="s">
        <v>41</v>
      </c>
      <c r="T18" s="2" t="s">
        <v>42</v>
      </c>
      <c r="U18" s="2" t="s">
        <v>41</v>
      </c>
      <c r="V18" s="2" t="s">
        <v>1</v>
      </c>
      <c r="W18" s="2" t="s">
        <v>41</v>
      </c>
      <c r="X18" s="2" t="s">
        <v>13</v>
      </c>
      <c r="Y18" s="2" t="s">
        <v>266</v>
      </c>
      <c r="Z18" s="2" t="s">
        <v>41</v>
      </c>
      <c r="AA18" s="2" t="s">
        <v>311</v>
      </c>
      <c r="AB18" s="2" t="s">
        <v>303</v>
      </c>
      <c r="AC18" s="2" t="s">
        <v>303</v>
      </c>
      <c r="AD18" s="2" t="s">
        <v>289</v>
      </c>
      <c r="AE18" s="2" t="s">
        <v>289</v>
      </c>
    </row>
    <row r="19" spans="1:31" x14ac:dyDescent="0.25">
      <c r="A19" s="2">
        <f t="shared" si="0"/>
        <v>18</v>
      </c>
      <c r="B19" s="2" t="s">
        <v>24</v>
      </c>
      <c r="C19" s="2" t="s">
        <v>24</v>
      </c>
      <c r="D19" s="4" t="s">
        <v>25</v>
      </c>
      <c r="E19" s="2" t="s">
        <v>23</v>
      </c>
      <c r="F19" s="2" t="s">
        <v>24</v>
      </c>
      <c r="G19" s="6" t="s">
        <v>23</v>
      </c>
      <c r="H19" s="2" t="s">
        <v>36</v>
      </c>
      <c r="I19" s="2" t="s">
        <v>136</v>
      </c>
      <c r="J19" s="2" t="s">
        <v>6</v>
      </c>
      <c r="K19" s="2" t="s">
        <v>6</v>
      </c>
      <c r="L19" s="2" t="s">
        <v>42</v>
      </c>
      <c r="M19" s="2" t="s">
        <v>145</v>
      </c>
      <c r="N19" s="2" t="s">
        <v>42</v>
      </c>
      <c r="O19" s="2" t="s">
        <v>50</v>
      </c>
      <c r="P19" s="2" t="s">
        <v>6</v>
      </c>
      <c r="Q19" s="2" t="s">
        <v>137</v>
      </c>
      <c r="R19" s="2" t="s">
        <v>137</v>
      </c>
      <c r="S19" s="2" t="s">
        <v>45</v>
      </c>
      <c r="T19" s="2" t="s">
        <v>41</v>
      </c>
      <c r="U19" s="2" t="s">
        <v>199</v>
      </c>
      <c r="V19" s="2" t="s">
        <v>30</v>
      </c>
      <c r="W19" s="2" t="s">
        <v>199</v>
      </c>
      <c r="X19" s="2" t="s">
        <v>41</v>
      </c>
      <c r="Y19" s="2" t="s">
        <v>199</v>
      </c>
      <c r="Z19" s="2" t="s">
        <v>137</v>
      </c>
      <c r="AA19" s="2" t="s">
        <v>312</v>
      </c>
      <c r="AB19" s="2" t="s">
        <v>45</v>
      </c>
      <c r="AC19" s="2" t="s">
        <v>199</v>
      </c>
      <c r="AD19" s="2" t="s">
        <v>298</v>
      </c>
      <c r="AE19" s="2" t="s">
        <v>336</v>
      </c>
    </row>
    <row r="20" spans="1:31" x14ac:dyDescent="0.25">
      <c r="A20" s="2">
        <f t="shared" si="0"/>
        <v>19</v>
      </c>
      <c r="B20" s="2" t="s">
        <v>26</v>
      </c>
      <c r="C20" s="4" t="s">
        <v>25</v>
      </c>
      <c r="D20" s="2" t="s">
        <v>27</v>
      </c>
      <c r="E20" s="2" t="s">
        <v>28</v>
      </c>
      <c r="F20" s="2" t="s">
        <v>29</v>
      </c>
      <c r="G20" s="6" t="s">
        <v>36</v>
      </c>
      <c r="H20" s="2" t="s">
        <v>6</v>
      </c>
      <c r="I20" s="2" t="s">
        <v>31</v>
      </c>
      <c r="J20" s="2" t="s">
        <v>136</v>
      </c>
      <c r="K20" s="2" t="s">
        <v>44</v>
      </c>
      <c r="L20" s="2" t="s">
        <v>128</v>
      </c>
      <c r="M20" s="2" t="s">
        <v>13</v>
      </c>
      <c r="N20" s="2" t="s">
        <v>6</v>
      </c>
      <c r="O20" s="2" t="s">
        <v>185</v>
      </c>
      <c r="P20" s="2" t="s">
        <v>41</v>
      </c>
      <c r="Q20" s="2" t="s">
        <v>6</v>
      </c>
      <c r="R20" s="2" t="s">
        <v>184</v>
      </c>
      <c r="S20" s="2" t="s">
        <v>6</v>
      </c>
      <c r="T20" s="2" t="s">
        <v>44</v>
      </c>
      <c r="U20" s="2" t="s">
        <v>128</v>
      </c>
      <c r="V20" s="2" t="s">
        <v>128</v>
      </c>
      <c r="W20" s="2" t="s">
        <v>283</v>
      </c>
      <c r="X20" s="2" t="s">
        <v>53</v>
      </c>
      <c r="Y20" s="2" t="s">
        <v>290</v>
      </c>
      <c r="Z20" s="2" t="s">
        <v>199</v>
      </c>
      <c r="AA20" s="2" t="s">
        <v>45</v>
      </c>
      <c r="AB20" s="2" t="s">
        <v>199</v>
      </c>
      <c r="AC20" s="2" t="s">
        <v>266</v>
      </c>
      <c r="AD20" s="2" t="s">
        <v>303</v>
      </c>
      <c r="AE20" s="2" t="s">
        <v>267</v>
      </c>
    </row>
    <row r="21" spans="1:31" x14ac:dyDescent="0.25">
      <c r="A21" s="14">
        <f t="shared" si="0"/>
        <v>20</v>
      </c>
      <c r="B21" s="4" t="s">
        <v>25</v>
      </c>
      <c r="C21" s="2" t="s">
        <v>27</v>
      </c>
      <c r="D21" s="2" t="s">
        <v>29</v>
      </c>
      <c r="E21" s="2" t="s">
        <v>24</v>
      </c>
      <c r="F21" s="2" t="s">
        <v>23</v>
      </c>
      <c r="G21" s="6" t="s">
        <v>31</v>
      </c>
      <c r="H21" s="2" t="s">
        <v>31</v>
      </c>
      <c r="I21" s="2" t="s">
        <v>44</v>
      </c>
      <c r="J21" s="2" t="s">
        <v>31</v>
      </c>
      <c r="K21" s="2" t="s">
        <v>42</v>
      </c>
      <c r="L21" s="2" t="s">
        <v>31</v>
      </c>
      <c r="M21" s="2" t="s">
        <v>196</v>
      </c>
      <c r="N21" s="2" t="s">
        <v>191</v>
      </c>
      <c r="O21" s="2" t="s">
        <v>6</v>
      </c>
      <c r="P21" s="2" t="s">
        <v>62</v>
      </c>
      <c r="Q21" s="2" t="s">
        <v>53</v>
      </c>
      <c r="R21" s="2" t="s">
        <v>6</v>
      </c>
      <c r="S21" s="2" t="s">
        <v>137</v>
      </c>
      <c r="T21" s="2" t="s">
        <v>6</v>
      </c>
      <c r="U21" s="2" t="s">
        <v>42</v>
      </c>
      <c r="V21" s="2" t="s">
        <v>199</v>
      </c>
      <c r="W21" s="2" t="s">
        <v>128</v>
      </c>
      <c r="X21" s="2" t="s">
        <v>199</v>
      </c>
      <c r="Y21" s="2" t="s">
        <v>137</v>
      </c>
      <c r="Z21" s="2" t="s">
        <v>53</v>
      </c>
      <c r="AA21" s="2" t="s">
        <v>43</v>
      </c>
      <c r="AB21" s="2" t="s">
        <v>311</v>
      </c>
      <c r="AC21" s="2" t="s">
        <v>129</v>
      </c>
      <c r="AD21" s="2" t="s">
        <v>129</v>
      </c>
      <c r="AE21" s="2" t="s">
        <v>129</v>
      </c>
    </row>
    <row r="22" spans="1:31" x14ac:dyDescent="0.25">
      <c r="A22" s="2">
        <f t="shared" si="0"/>
        <v>21</v>
      </c>
      <c r="B22" s="2" t="s">
        <v>27</v>
      </c>
      <c r="C22" s="2" t="s">
        <v>30</v>
      </c>
      <c r="D22" s="2" t="s">
        <v>31</v>
      </c>
      <c r="E22" s="4" t="s">
        <v>25</v>
      </c>
      <c r="F22" s="2" t="s">
        <v>21</v>
      </c>
      <c r="G22" s="6" t="s">
        <v>30</v>
      </c>
      <c r="H22" s="2" t="s">
        <v>14</v>
      </c>
      <c r="I22" s="2" t="s">
        <v>27</v>
      </c>
      <c r="J22" s="2" t="s">
        <v>44</v>
      </c>
      <c r="K22" s="2" t="s">
        <v>31</v>
      </c>
      <c r="L22" s="2" t="s">
        <v>137</v>
      </c>
      <c r="M22" s="2" t="s">
        <v>36</v>
      </c>
      <c r="N22" s="2" t="s">
        <v>187</v>
      </c>
      <c r="O22" s="2" t="s">
        <v>53</v>
      </c>
      <c r="P22" s="2" t="s">
        <v>45</v>
      </c>
      <c r="Q22" s="2" t="s">
        <v>128</v>
      </c>
      <c r="R22" s="2" t="s">
        <v>128</v>
      </c>
      <c r="S22" s="2" t="s">
        <v>53</v>
      </c>
      <c r="T22" s="2" t="s">
        <v>128</v>
      </c>
      <c r="U22" s="2" t="s">
        <v>30</v>
      </c>
      <c r="V22" s="2" t="s">
        <v>55</v>
      </c>
      <c r="W22" s="2" t="s">
        <v>1</v>
      </c>
      <c r="X22" s="2" t="s">
        <v>137</v>
      </c>
      <c r="Y22" s="2" t="s">
        <v>53</v>
      </c>
      <c r="Z22" s="2" t="s">
        <v>266</v>
      </c>
      <c r="AA22" s="2" t="s">
        <v>41</v>
      </c>
      <c r="AB22" s="2" t="s">
        <v>244</v>
      </c>
      <c r="AC22" s="2" t="s">
        <v>53</v>
      </c>
      <c r="AD22" s="2" t="s">
        <v>267</v>
      </c>
      <c r="AE22" s="2" t="s">
        <v>199</v>
      </c>
    </row>
    <row r="23" spans="1:31" x14ac:dyDescent="0.25">
      <c r="A23" s="2">
        <f t="shared" si="0"/>
        <v>22</v>
      </c>
      <c r="B23" s="2" t="s">
        <v>30</v>
      </c>
      <c r="C23" s="2" t="s">
        <v>31</v>
      </c>
      <c r="D23" s="2" t="s">
        <v>18</v>
      </c>
      <c r="E23" s="2" t="s">
        <v>32</v>
      </c>
      <c r="F23" s="2" t="s">
        <v>27</v>
      </c>
      <c r="G23" s="6" t="s">
        <v>17</v>
      </c>
      <c r="H23" s="2" t="s">
        <v>137</v>
      </c>
      <c r="I23" s="2" t="s">
        <v>34</v>
      </c>
      <c r="J23" s="2" t="s">
        <v>42</v>
      </c>
      <c r="K23" s="2" t="s">
        <v>52</v>
      </c>
      <c r="L23" s="2" t="s">
        <v>154</v>
      </c>
      <c r="M23" s="2" t="s">
        <v>197</v>
      </c>
      <c r="N23" s="2" t="s">
        <v>199</v>
      </c>
      <c r="O23" s="2" t="s">
        <v>45</v>
      </c>
      <c r="P23" s="2" t="s">
        <v>53</v>
      </c>
      <c r="Q23" s="2" t="s">
        <v>30</v>
      </c>
      <c r="R23" s="2" t="s">
        <v>30</v>
      </c>
      <c r="S23" s="2" t="s">
        <v>260</v>
      </c>
      <c r="T23" s="2" t="s">
        <v>199</v>
      </c>
      <c r="U23" s="2" t="s">
        <v>137</v>
      </c>
      <c r="V23" s="2" t="s">
        <v>42</v>
      </c>
      <c r="W23" s="2" t="s">
        <v>137</v>
      </c>
      <c r="X23" s="2" t="s">
        <v>50</v>
      </c>
      <c r="Y23" s="2" t="s">
        <v>260</v>
      </c>
      <c r="Z23" s="2" t="s">
        <v>66</v>
      </c>
      <c r="AA23" s="2" t="s">
        <v>313</v>
      </c>
      <c r="AB23" s="2" t="s">
        <v>129</v>
      </c>
      <c r="AC23" s="2" t="s">
        <v>260</v>
      </c>
      <c r="AD23" s="2" t="s">
        <v>199</v>
      </c>
      <c r="AE23" s="2" t="s">
        <v>53</v>
      </c>
    </row>
    <row r="24" spans="1:31" x14ac:dyDescent="0.25">
      <c r="A24" s="2">
        <f t="shared" si="0"/>
        <v>23</v>
      </c>
      <c r="B24" s="2" t="s">
        <v>33</v>
      </c>
      <c r="C24" s="2" t="s">
        <v>29</v>
      </c>
      <c r="D24" s="2" t="s">
        <v>34</v>
      </c>
      <c r="E24" s="2" t="s">
        <v>35</v>
      </c>
      <c r="F24" s="2" t="s">
        <v>31</v>
      </c>
      <c r="G24" s="6" t="s">
        <v>18</v>
      </c>
      <c r="H24" s="2" t="s">
        <v>30</v>
      </c>
      <c r="I24" s="2" t="s">
        <v>14</v>
      </c>
      <c r="J24" s="2" t="s">
        <v>52</v>
      </c>
      <c r="K24" s="2" t="s">
        <v>136</v>
      </c>
      <c r="L24" s="2" t="s">
        <v>41</v>
      </c>
      <c r="M24" s="2" t="s">
        <v>198</v>
      </c>
      <c r="N24" s="2" t="s">
        <v>43</v>
      </c>
      <c r="O24" s="2" t="s">
        <v>41</v>
      </c>
      <c r="P24" s="2" t="s">
        <v>128</v>
      </c>
      <c r="Q24" s="2" t="s">
        <v>27</v>
      </c>
      <c r="R24" s="2" t="s">
        <v>53</v>
      </c>
      <c r="S24" s="2" t="s">
        <v>128</v>
      </c>
      <c r="T24" s="2" t="s">
        <v>137</v>
      </c>
      <c r="U24" s="2" t="s">
        <v>55</v>
      </c>
      <c r="V24" s="2" t="s">
        <v>6</v>
      </c>
      <c r="W24" s="2" t="s">
        <v>30</v>
      </c>
      <c r="X24" s="2" t="s">
        <v>1</v>
      </c>
      <c r="Y24" s="2" t="s">
        <v>66</v>
      </c>
      <c r="Z24" s="2" t="s">
        <v>129</v>
      </c>
      <c r="AA24" s="2" t="s">
        <v>314</v>
      </c>
      <c r="AB24" s="2" t="s">
        <v>267</v>
      </c>
      <c r="AC24" s="2" t="s">
        <v>267</v>
      </c>
      <c r="AD24" s="2" t="s">
        <v>53</v>
      </c>
      <c r="AE24" s="2" t="s">
        <v>303</v>
      </c>
    </row>
    <row r="25" spans="1:31" x14ac:dyDescent="0.25">
      <c r="A25" s="2">
        <f t="shared" si="0"/>
        <v>24</v>
      </c>
      <c r="B25" s="2" t="s">
        <v>29</v>
      </c>
      <c r="C25" s="2" t="s">
        <v>33</v>
      </c>
      <c r="D25" s="2" t="s">
        <v>30</v>
      </c>
      <c r="E25" s="2" t="s">
        <v>29</v>
      </c>
      <c r="F25" s="2" t="s">
        <v>22</v>
      </c>
      <c r="G25" s="6" t="s">
        <v>34</v>
      </c>
      <c r="H25" s="2" t="s">
        <v>34</v>
      </c>
      <c r="I25" s="2" t="s">
        <v>30</v>
      </c>
      <c r="J25" s="2" t="s">
        <v>41</v>
      </c>
      <c r="K25" s="2" t="s">
        <v>41</v>
      </c>
      <c r="L25" s="2" t="s">
        <v>50</v>
      </c>
      <c r="M25" s="2" t="s">
        <v>199</v>
      </c>
      <c r="N25" s="2" t="s">
        <v>41</v>
      </c>
      <c r="O25" s="2" t="s">
        <v>186</v>
      </c>
      <c r="P25" s="2" t="s">
        <v>27</v>
      </c>
      <c r="Q25" s="2" t="s">
        <v>55</v>
      </c>
      <c r="R25" s="2" t="s">
        <v>55</v>
      </c>
      <c r="S25" s="2" t="s">
        <v>30</v>
      </c>
      <c r="T25" s="2" t="s">
        <v>30</v>
      </c>
      <c r="U25" s="2" t="s">
        <v>6</v>
      </c>
      <c r="V25" s="2" t="s">
        <v>137</v>
      </c>
      <c r="W25" s="2" t="s">
        <v>55</v>
      </c>
      <c r="X25" s="2" t="s">
        <v>55</v>
      </c>
      <c r="Y25" s="2" t="s">
        <v>50</v>
      </c>
      <c r="Z25" s="2" t="s">
        <v>260</v>
      </c>
      <c r="AA25" s="2" t="s">
        <v>315</v>
      </c>
      <c r="AB25" s="2" t="s">
        <v>312</v>
      </c>
      <c r="AC25" s="2" t="s">
        <v>300</v>
      </c>
      <c r="AD25" s="2" t="s">
        <v>266</v>
      </c>
      <c r="AE25" s="2" t="s">
        <v>260</v>
      </c>
    </row>
    <row r="26" spans="1:31" x14ac:dyDescent="0.25">
      <c r="A26" s="2">
        <f t="shared" si="0"/>
        <v>25</v>
      </c>
      <c r="B26" s="2" t="s">
        <v>31</v>
      </c>
      <c r="C26" s="2" t="s">
        <v>26</v>
      </c>
      <c r="D26" s="2" t="s">
        <v>36</v>
      </c>
      <c r="E26" s="2" t="s">
        <v>27</v>
      </c>
      <c r="F26" s="2" t="s">
        <v>36</v>
      </c>
      <c r="G26" s="6" t="s">
        <v>42</v>
      </c>
      <c r="H26" s="2" t="s">
        <v>42</v>
      </c>
      <c r="I26" s="2" t="s">
        <v>137</v>
      </c>
      <c r="J26" s="2" t="s">
        <v>30</v>
      </c>
      <c r="K26" s="2" t="s">
        <v>27</v>
      </c>
      <c r="L26" s="2" t="s">
        <v>30</v>
      </c>
      <c r="M26" s="2" t="s">
        <v>6</v>
      </c>
      <c r="N26" s="2" t="s">
        <v>14</v>
      </c>
      <c r="O26" s="2" t="s">
        <v>128</v>
      </c>
      <c r="P26" s="2" t="s">
        <v>30</v>
      </c>
      <c r="Q26" s="2" t="s">
        <v>62</v>
      </c>
      <c r="R26" s="2" t="s">
        <v>27</v>
      </c>
      <c r="S26" s="2" t="s">
        <v>184</v>
      </c>
      <c r="T26" s="2" t="s">
        <v>55</v>
      </c>
      <c r="U26" s="2" t="s">
        <v>66</v>
      </c>
      <c r="V26" s="2" t="s">
        <v>66</v>
      </c>
      <c r="W26" s="2" t="s">
        <v>6</v>
      </c>
      <c r="X26" s="2" t="s">
        <v>260</v>
      </c>
      <c r="Y26" s="2" t="s">
        <v>267</v>
      </c>
      <c r="Z26" s="2" t="s">
        <v>290</v>
      </c>
      <c r="AA26" s="2" t="s">
        <v>283</v>
      </c>
      <c r="AB26" s="2" t="s">
        <v>315</v>
      </c>
      <c r="AC26" s="2" t="s">
        <v>311</v>
      </c>
      <c r="AD26" s="2" t="s">
        <v>260</v>
      </c>
      <c r="AE26" s="2" t="s">
        <v>329</v>
      </c>
    </row>
    <row r="27" spans="1:31" x14ac:dyDescent="0.25">
      <c r="A27" s="2">
        <f t="shared" si="0"/>
        <v>26</v>
      </c>
      <c r="B27" s="2" t="s">
        <v>37</v>
      </c>
      <c r="C27" s="2" t="s">
        <v>37</v>
      </c>
      <c r="D27" s="2" t="s">
        <v>38</v>
      </c>
      <c r="E27" s="2" t="s">
        <v>31</v>
      </c>
      <c r="F27" s="2" t="s">
        <v>39</v>
      </c>
      <c r="G27" s="6" t="s">
        <v>27</v>
      </c>
      <c r="H27" s="2" t="s">
        <v>44</v>
      </c>
      <c r="I27" s="2" t="s">
        <v>42</v>
      </c>
      <c r="J27" s="2" t="s">
        <v>34</v>
      </c>
      <c r="K27" s="2" t="s">
        <v>137</v>
      </c>
      <c r="L27" s="2" t="s">
        <v>27</v>
      </c>
      <c r="M27" s="2" t="s">
        <v>52</v>
      </c>
      <c r="N27" s="2" t="s">
        <v>45</v>
      </c>
      <c r="O27" s="2" t="s">
        <v>31</v>
      </c>
      <c r="P27" s="2" t="s">
        <v>185</v>
      </c>
      <c r="Q27" s="2" t="s">
        <v>66</v>
      </c>
      <c r="R27" s="2" t="s">
        <v>244</v>
      </c>
      <c r="S27" s="2" t="s">
        <v>55</v>
      </c>
      <c r="T27" s="2" t="s">
        <v>184</v>
      </c>
      <c r="U27" s="2" t="s">
        <v>27</v>
      </c>
      <c r="V27" s="2" t="s">
        <v>260</v>
      </c>
      <c r="W27" s="2" t="s">
        <v>260</v>
      </c>
      <c r="X27" s="2" t="s">
        <v>128</v>
      </c>
      <c r="Y27" s="2" t="s">
        <v>1</v>
      </c>
      <c r="Z27" s="2" t="s">
        <v>267</v>
      </c>
      <c r="AA27" s="2" t="s">
        <v>316</v>
      </c>
      <c r="AB27" s="2" t="s">
        <v>53</v>
      </c>
      <c r="AC27" s="2" t="s">
        <v>244</v>
      </c>
      <c r="AD27" s="2" t="s">
        <v>311</v>
      </c>
      <c r="AE27" s="2" t="s">
        <v>339</v>
      </c>
    </row>
    <row r="28" spans="1:31" x14ac:dyDescent="0.25">
      <c r="A28" s="2">
        <f t="shared" si="0"/>
        <v>27</v>
      </c>
      <c r="B28" s="2" t="s">
        <v>36</v>
      </c>
      <c r="C28" s="2" t="s">
        <v>38</v>
      </c>
      <c r="D28" s="2" t="s">
        <v>40</v>
      </c>
      <c r="E28" s="2" t="s">
        <v>30</v>
      </c>
      <c r="F28" s="2" t="s">
        <v>30</v>
      </c>
      <c r="G28" s="6" t="s">
        <v>44</v>
      </c>
      <c r="H28" s="2" t="s">
        <v>43</v>
      </c>
      <c r="I28" s="2" t="s">
        <v>41</v>
      </c>
      <c r="J28" s="2" t="s">
        <v>27</v>
      </c>
      <c r="K28" s="2" t="s">
        <v>30</v>
      </c>
      <c r="L28" s="2" t="s">
        <v>136</v>
      </c>
      <c r="M28" s="2" t="s">
        <v>42</v>
      </c>
      <c r="N28" s="2" t="s">
        <v>31</v>
      </c>
      <c r="O28" s="2" t="s">
        <v>30</v>
      </c>
      <c r="P28" s="2" t="s">
        <v>55</v>
      </c>
      <c r="Q28" s="2" t="s">
        <v>154</v>
      </c>
      <c r="R28" s="2" t="s">
        <v>66</v>
      </c>
      <c r="S28" s="2" t="s">
        <v>27</v>
      </c>
      <c r="T28" s="2" t="s">
        <v>27</v>
      </c>
      <c r="U28" s="2" t="s">
        <v>184</v>
      </c>
      <c r="V28" s="2" t="s">
        <v>129</v>
      </c>
      <c r="W28" s="2" t="s">
        <v>267</v>
      </c>
      <c r="X28" s="2" t="s">
        <v>66</v>
      </c>
      <c r="Y28" s="2" t="s">
        <v>27</v>
      </c>
      <c r="Z28" s="2" t="s">
        <v>301</v>
      </c>
      <c r="AA28" s="2" t="s">
        <v>317</v>
      </c>
      <c r="AB28" s="2" t="s">
        <v>260</v>
      </c>
      <c r="AC28" s="2" t="s">
        <v>315</v>
      </c>
      <c r="AD28" s="2" t="s">
        <v>272</v>
      </c>
      <c r="AE28" s="2" t="s">
        <v>266</v>
      </c>
    </row>
    <row r="29" spans="1:31" x14ac:dyDescent="0.25">
      <c r="A29" s="2">
        <f t="shared" si="0"/>
        <v>28</v>
      </c>
      <c r="B29" s="2" t="s">
        <v>38</v>
      </c>
      <c r="C29" s="2" t="s">
        <v>36</v>
      </c>
      <c r="D29" s="2" t="s">
        <v>41</v>
      </c>
      <c r="E29" s="2" t="s">
        <v>36</v>
      </c>
      <c r="F29" s="2" t="s">
        <v>34</v>
      </c>
      <c r="G29" s="6" t="s">
        <v>41</v>
      </c>
      <c r="H29" s="2" t="s">
        <v>27</v>
      </c>
      <c r="I29" s="2" t="s">
        <v>18</v>
      </c>
      <c r="J29" s="2" t="s">
        <v>18</v>
      </c>
      <c r="K29" s="2" t="s">
        <v>50</v>
      </c>
      <c r="L29" s="2" t="s">
        <v>62</v>
      </c>
      <c r="M29" s="2" t="s">
        <v>44</v>
      </c>
      <c r="N29" s="2" t="s">
        <v>62</v>
      </c>
      <c r="O29" s="2" t="s">
        <v>62</v>
      </c>
      <c r="P29" s="2" t="s">
        <v>154</v>
      </c>
      <c r="Q29" s="2" t="s">
        <v>136</v>
      </c>
      <c r="R29" s="2" t="s">
        <v>136</v>
      </c>
      <c r="S29" s="2" t="s">
        <v>66</v>
      </c>
      <c r="T29" s="2" t="s">
        <v>66</v>
      </c>
      <c r="U29" s="2" t="s">
        <v>260</v>
      </c>
      <c r="V29" s="2" t="s">
        <v>27</v>
      </c>
      <c r="W29" s="2" t="s">
        <v>66</v>
      </c>
      <c r="X29" s="2" t="s">
        <v>291</v>
      </c>
      <c r="Y29" s="2" t="s">
        <v>129</v>
      </c>
      <c r="Z29" s="2" t="s">
        <v>136</v>
      </c>
      <c r="AA29" s="2" t="s">
        <v>318</v>
      </c>
      <c r="AB29" s="2" t="s">
        <v>266</v>
      </c>
      <c r="AC29" s="2" t="s">
        <v>312</v>
      </c>
      <c r="AD29" s="2" t="s">
        <v>217</v>
      </c>
      <c r="AE29" s="2" t="s">
        <v>217</v>
      </c>
    </row>
    <row r="30" spans="1:31" x14ac:dyDescent="0.25">
      <c r="A30" s="2">
        <f t="shared" si="0"/>
        <v>29</v>
      </c>
      <c r="B30" s="2" t="s">
        <v>40</v>
      </c>
      <c r="C30" s="2" t="s">
        <v>41</v>
      </c>
      <c r="D30" s="2" t="s">
        <v>37</v>
      </c>
      <c r="E30" s="2" t="s">
        <v>18</v>
      </c>
      <c r="F30" s="2" t="s">
        <v>18</v>
      </c>
      <c r="G30" s="6" t="s">
        <v>43</v>
      </c>
      <c r="H30" s="2" t="s">
        <v>18</v>
      </c>
      <c r="I30" s="2" t="s">
        <v>43</v>
      </c>
      <c r="J30" s="2" t="s">
        <v>153</v>
      </c>
      <c r="K30" s="2" t="s">
        <v>147</v>
      </c>
      <c r="L30" s="2" t="s">
        <v>39</v>
      </c>
      <c r="M30" s="2" t="s">
        <v>137</v>
      </c>
      <c r="N30" s="2" t="s">
        <v>189</v>
      </c>
      <c r="O30" s="2" t="s">
        <v>27</v>
      </c>
      <c r="P30" s="2" t="s">
        <v>66</v>
      </c>
      <c r="Q30" s="2" t="s">
        <v>63</v>
      </c>
      <c r="R30" s="2" t="s">
        <v>63</v>
      </c>
      <c r="S30" s="2" t="s">
        <v>136</v>
      </c>
      <c r="T30" s="2" t="s">
        <v>181</v>
      </c>
      <c r="U30" s="2" t="s">
        <v>136</v>
      </c>
      <c r="V30" s="2" t="s">
        <v>267</v>
      </c>
      <c r="W30" s="2" t="s">
        <v>27</v>
      </c>
      <c r="X30" s="2" t="s">
        <v>129</v>
      </c>
      <c r="Y30" s="2" t="s">
        <v>282</v>
      </c>
      <c r="Z30" s="2" t="s">
        <v>283</v>
      </c>
      <c r="AA30" s="2" t="s">
        <v>199</v>
      </c>
      <c r="AB30" s="2" t="s">
        <v>316</v>
      </c>
      <c r="AC30" s="2" t="s">
        <v>316</v>
      </c>
      <c r="AD30" s="2" t="s">
        <v>329</v>
      </c>
      <c r="AE30" s="2" t="s">
        <v>273</v>
      </c>
    </row>
    <row r="31" spans="1:31" x14ac:dyDescent="0.25">
      <c r="A31" s="14">
        <f t="shared" si="0"/>
        <v>30</v>
      </c>
      <c r="B31" s="2" t="s">
        <v>41</v>
      </c>
      <c r="C31" s="2" t="s">
        <v>40</v>
      </c>
      <c r="D31" s="2" t="s">
        <v>42</v>
      </c>
      <c r="E31" s="2" t="s">
        <v>34</v>
      </c>
      <c r="F31" s="2" t="s">
        <v>43</v>
      </c>
      <c r="G31" s="6" t="s">
        <v>40</v>
      </c>
      <c r="H31" s="2" t="s">
        <v>41</v>
      </c>
      <c r="I31" s="2" t="s">
        <v>52</v>
      </c>
      <c r="J31" s="2" t="s">
        <v>45</v>
      </c>
      <c r="K31" s="2" t="s">
        <v>62</v>
      </c>
      <c r="L31" s="2" t="s">
        <v>45</v>
      </c>
      <c r="M31" s="2" t="s">
        <v>41</v>
      </c>
      <c r="N31" s="2" t="s">
        <v>27</v>
      </c>
      <c r="O31" s="2" t="s">
        <v>154</v>
      </c>
      <c r="P31" s="2" t="s">
        <v>181</v>
      </c>
      <c r="Q31" s="2" t="s">
        <v>232</v>
      </c>
      <c r="R31" s="2" t="s">
        <v>154</v>
      </c>
      <c r="S31" s="2" t="s">
        <v>181</v>
      </c>
      <c r="T31" s="2" t="s">
        <v>260</v>
      </c>
      <c r="U31" s="2" t="s">
        <v>63</v>
      </c>
      <c r="V31" s="2" t="s">
        <v>63</v>
      </c>
      <c r="W31" s="2" t="s">
        <v>129</v>
      </c>
      <c r="X31" s="2" t="s">
        <v>267</v>
      </c>
      <c r="Y31" s="2" t="s">
        <v>136</v>
      </c>
      <c r="Z31" s="2" t="s">
        <v>285</v>
      </c>
      <c r="AA31" s="2" t="s">
        <v>137</v>
      </c>
      <c r="AB31" s="2" t="s">
        <v>329</v>
      </c>
      <c r="AC31" s="2" t="s">
        <v>333</v>
      </c>
      <c r="AD31" s="2" t="s">
        <v>273</v>
      </c>
      <c r="AE31" s="2" t="s">
        <v>63</v>
      </c>
    </row>
    <row r="32" spans="1:31" x14ac:dyDescent="0.25">
      <c r="A32" s="2">
        <f t="shared" si="0"/>
        <v>31</v>
      </c>
      <c r="B32" s="2" t="s">
        <v>34</v>
      </c>
      <c r="C32" s="2" t="s">
        <v>34</v>
      </c>
      <c r="D32" s="2" t="s">
        <v>44</v>
      </c>
      <c r="E32" s="2" t="s">
        <v>40</v>
      </c>
      <c r="F32" s="2" t="s">
        <v>44</v>
      </c>
      <c r="G32" s="6" t="s">
        <v>39</v>
      </c>
      <c r="H32" s="2" t="s">
        <v>39</v>
      </c>
      <c r="I32" s="2" t="s">
        <v>145</v>
      </c>
      <c r="J32" s="2" t="s">
        <v>137</v>
      </c>
      <c r="K32" s="2" t="s">
        <v>18</v>
      </c>
      <c r="L32" s="2" t="s">
        <v>55</v>
      </c>
      <c r="M32" s="2" t="s">
        <v>50</v>
      </c>
      <c r="N32" s="2" t="s">
        <v>192</v>
      </c>
      <c r="O32" s="2" t="s">
        <v>55</v>
      </c>
      <c r="P32" s="2" t="s">
        <v>136</v>
      </c>
      <c r="Q32" s="2" t="s">
        <v>48</v>
      </c>
      <c r="R32" s="2" t="s">
        <v>245</v>
      </c>
      <c r="S32" s="2" t="s">
        <v>63</v>
      </c>
      <c r="T32" s="2" t="s">
        <v>136</v>
      </c>
      <c r="U32" s="2" t="s">
        <v>129</v>
      </c>
      <c r="V32" s="2" t="s">
        <v>184</v>
      </c>
      <c r="W32" s="2" t="s">
        <v>136</v>
      </c>
      <c r="X32" s="2" t="s">
        <v>292</v>
      </c>
      <c r="Y32" s="2" t="s">
        <v>285</v>
      </c>
      <c r="Z32" s="2" t="s">
        <v>232</v>
      </c>
      <c r="AA32" s="2" t="s">
        <v>319</v>
      </c>
      <c r="AB32" s="2" t="s">
        <v>300</v>
      </c>
      <c r="AC32" s="2" t="s">
        <v>217</v>
      </c>
      <c r="AD32" s="2" t="s">
        <v>63</v>
      </c>
      <c r="AE32" s="2" t="s">
        <v>136</v>
      </c>
    </row>
    <row r="33" spans="1:31" x14ac:dyDescent="0.25">
      <c r="A33" s="2">
        <f t="shared" si="0"/>
        <v>32</v>
      </c>
      <c r="B33" s="2" t="s">
        <v>44</v>
      </c>
      <c r="C33" s="2" t="s">
        <v>44</v>
      </c>
      <c r="D33" s="2" t="s">
        <v>45</v>
      </c>
      <c r="E33" s="2" t="s">
        <v>41</v>
      </c>
      <c r="F33" s="2" t="s">
        <v>42</v>
      </c>
      <c r="G33" s="6" t="s">
        <v>50</v>
      </c>
      <c r="H33" s="2" t="s">
        <v>52</v>
      </c>
      <c r="I33" s="2" t="s">
        <v>39</v>
      </c>
      <c r="J33" s="2" t="s">
        <v>62</v>
      </c>
      <c r="K33" s="2" t="s">
        <v>128</v>
      </c>
      <c r="L33" s="2" t="s">
        <v>43</v>
      </c>
      <c r="M33" s="2" t="s">
        <v>31</v>
      </c>
      <c r="N33" s="2" t="s">
        <v>128</v>
      </c>
      <c r="O33" s="2" t="s">
        <v>136</v>
      </c>
      <c r="P33" s="2" t="s">
        <v>186</v>
      </c>
      <c r="Q33" s="2" t="s">
        <v>46</v>
      </c>
      <c r="R33" s="2" t="s">
        <v>46</v>
      </c>
      <c r="S33" s="2" t="s">
        <v>154</v>
      </c>
      <c r="T33" s="2" t="s">
        <v>153</v>
      </c>
      <c r="U33" s="2" t="s">
        <v>181</v>
      </c>
      <c r="V33" s="2" t="s">
        <v>136</v>
      </c>
      <c r="W33" s="2" t="s">
        <v>284</v>
      </c>
      <c r="X33" s="2" t="s">
        <v>27</v>
      </c>
      <c r="Y33" s="2" t="s">
        <v>231</v>
      </c>
      <c r="Z33" s="2" t="s">
        <v>231</v>
      </c>
      <c r="AA33" s="2" t="s">
        <v>300</v>
      </c>
      <c r="AB33" s="2" t="s">
        <v>313</v>
      </c>
      <c r="AC33" s="2" t="s">
        <v>63</v>
      </c>
      <c r="AD33" s="2" t="s">
        <v>181</v>
      </c>
      <c r="AE33" s="2" t="s">
        <v>181</v>
      </c>
    </row>
    <row r="34" spans="1:31" x14ac:dyDescent="0.25">
      <c r="A34" s="2">
        <f t="shared" si="0"/>
        <v>33</v>
      </c>
      <c r="B34" s="2" t="s">
        <v>46</v>
      </c>
      <c r="C34" s="2" t="s">
        <v>47</v>
      </c>
      <c r="D34" s="2" t="s">
        <v>47</v>
      </c>
      <c r="E34" s="2" t="s">
        <v>44</v>
      </c>
      <c r="F34" s="2" t="s">
        <v>41</v>
      </c>
      <c r="G34" s="6" t="s">
        <v>46</v>
      </c>
      <c r="H34" s="2" t="s">
        <v>50</v>
      </c>
      <c r="I34" s="2" t="s">
        <v>45</v>
      </c>
      <c r="J34" s="2" t="s">
        <v>50</v>
      </c>
      <c r="K34" s="2" t="s">
        <v>177</v>
      </c>
      <c r="L34" s="2" t="s">
        <v>18</v>
      </c>
      <c r="M34" s="2" t="s">
        <v>128</v>
      </c>
      <c r="N34" s="2" t="s">
        <v>188</v>
      </c>
      <c r="O34" s="2" t="s">
        <v>191</v>
      </c>
      <c r="P34" s="2" t="s">
        <v>232</v>
      </c>
      <c r="Q34" s="2" t="s">
        <v>181</v>
      </c>
      <c r="R34" s="2" t="s">
        <v>246</v>
      </c>
      <c r="S34" s="2" t="s">
        <v>232</v>
      </c>
      <c r="T34" s="2" t="s">
        <v>154</v>
      </c>
      <c r="U34" s="2" t="s">
        <v>244</v>
      </c>
      <c r="V34" s="2" t="s">
        <v>181</v>
      </c>
      <c r="W34" s="2" t="s">
        <v>63</v>
      </c>
      <c r="X34" s="2" t="s">
        <v>293</v>
      </c>
      <c r="Y34" s="2" t="s">
        <v>232</v>
      </c>
      <c r="Z34" s="2" t="s">
        <v>155</v>
      </c>
      <c r="AA34" s="2" t="s">
        <v>267</v>
      </c>
      <c r="AB34" s="2" t="s">
        <v>314</v>
      </c>
      <c r="AC34" s="2" t="s">
        <v>329</v>
      </c>
      <c r="AD34" s="2" t="s">
        <v>231</v>
      </c>
      <c r="AE34" s="2" t="s">
        <v>232</v>
      </c>
    </row>
    <row r="35" spans="1:31" x14ac:dyDescent="0.25">
      <c r="A35" s="2">
        <f t="shared" si="0"/>
        <v>34</v>
      </c>
      <c r="B35" s="2" t="s">
        <v>48</v>
      </c>
      <c r="C35" s="2" t="s">
        <v>45</v>
      </c>
      <c r="D35" s="2" t="s">
        <v>46</v>
      </c>
      <c r="E35" s="2" t="s">
        <v>37</v>
      </c>
      <c r="F35" s="2" t="s">
        <v>40</v>
      </c>
      <c r="G35" s="6" t="s">
        <v>52</v>
      </c>
      <c r="H35" s="2" t="s">
        <v>128</v>
      </c>
      <c r="I35" s="2" t="s">
        <v>40</v>
      </c>
      <c r="J35" s="2" t="s">
        <v>53</v>
      </c>
      <c r="K35" s="2" t="s">
        <v>55</v>
      </c>
      <c r="L35" s="2" t="s">
        <v>46</v>
      </c>
      <c r="M35" s="2" t="s">
        <v>45</v>
      </c>
      <c r="N35" s="2" t="s">
        <v>53</v>
      </c>
      <c r="O35" s="2" t="s">
        <v>66</v>
      </c>
      <c r="P35" s="2" t="s">
        <v>63</v>
      </c>
      <c r="Q35" s="2" t="s">
        <v>185</v>
      </c>
      <c r="R35" s="2" t="s">
        <v>232</v>
      </c>
      <c r="S35" s="2" t="s">
        <v>129</v>
      </c>
      <c r="T35" s="2" t="s">
        <v>267</v>
      </c>
      <c r="U35" s="2" t="s">
        <v>232</v>
      </c>
      <c r="V35" s="2" t="s">
        <v>46</v>
      </c>
      <c r="W35" s="2" t="s">
        <v>232</v>
      </c>
      <c r="X35" s="2" t="s">
        <v>136</v>
      </c>
      <c r="Y35" s="2" t="s">
        <v>181</v>
      </c>
      <c r="Z35" s="2" t="s">
        <v>282</v>
      </c>
      <c r="AA35" s="2" t="s">
        <v>53</v>
      </c>
      <c r="AB35" s="2" t="s">
        <v>136</v>
      </c>
      <c r="AC35" s="2" t="s">
        <v>273</v>
      </c>
      <c r="AD35" s="2" t="s">
        <v>136</v>
      </c>
      <c r="AE35" s="2" t="s">
        <v>231</v>
      </c>
    </row>
    <row r="36" spans="1:31" x14ac:dyDescent="0.25">
      <c r="A36" s="2">
        <f t="shared" si="0"/>
        <v>35</v>
      </c>
      <c r="B36" s="2" t="s">
        <v>47</v>
      </c>
      <c r="C36" s="2" t="s">
        <v>46</v>
      </c>
      <c r="D36" s="2" t="s">
        <v>49</v>
      </c>
      <c r="E36" s="2" t="s">
        <v>42</v>
      </c>
      <c r="F36" s="2" t="s">
        <v>50</v>
      </c>
      <c r="G36" s="6" t="s">
        <v>55</v>
      </c>
      <c r="H36" s="2" t="s">
        <v>45</v>
      </c>
      <c r="I36" s="2" t="s">
        <v>55</v>
      </c>
      <c r="J36" s="2" t="s">
        <v>43</v>
      </c>
      <c r="K36" s="2" t="s">
        <v>45</v>
      </c>
      <c r="L36" s="2" t="s">
        <v>40</v>
      </c>
      <c r="M36" s="2" t="s">
        <v>62</v>
      </c>
      <c r="N36" s="2" t="s">
        <v>30</v>
      </c>
      <c r="O36" s="2" t="s">
        <v>187</v>
      </c>
      <c r="P36" s="2" t="s">
        <v>48</v>
      </c>
      <c r="Q36" s="2" t="s">
        <v>18</v>
      </c>
      <c r="R36" s="2" t="s">
        <v>181</v>
      </c>
      <c r="S36" s="2" t="s">
        <v>46</v>
      </c>
      <c r="T36" s="2" t="s">
        <v>63</v>
      </c>
      <c r="U36" s="2" t="s">
        <v>46</v>
      </c>
      <c r="V36" s="2" t="s">
        <v>232</v>
      </c>
      <c r="W36" s="2" t="s">
        <v>154</v>
      </c>
      <c r="X36" s="2" t="s">
        <v>232</v>
      </c>
      <c r="Y36" s="2" t="s">
        <v>46</v>
      </c>
      <c r="Z36" s="2" t="s">
        <v>200</v>
      </c>
      <c r="AA36" s="2" t="s">
        <v>266</v>
      </c>
      <c r="AB36" s="2" t="s">
        <v>217</v>
      </c>
      <c r="AC36" s="2" t="s">
        <v>136</v>
      </c>
      <c r="AD36" s="2" t="s">
        <v>315</v>
      </c>
      <c r="AE36" s="2" t="s">
        <v>155</v>
      </c>
    </row>
    <row r="37" spans="1:31" x14ac:dyDescent="0.25">
      <c r="A37" s="2">
        <f t="shared" si="0"/>
        <v>36</v>
      </c>
      <c r="B37" s="2" t="s">
        <v>49</v>
      </c>
      <c r="C37" s="2" t="s">
        <v>49</v>
      </c>
      <c r="D37" s="2" t="s">
        <v>51</v>
      </c>
      <c r="E37" s="2" t="s">
        <v>46</v>
      </c>
      <c r="F37" s="2" t="s">
        <v>37</v>
      </c>
      <c r="G37" s="6" t="s">
        <v>57</v>
      </c>
      <c r="H37" s="2" t="s">
        <v>62</v>
      </c>
      <c r="I37" s="2" t="s">
        <v>50</v>
      </c>
      <c r="J37" s="2" t="s">
        <v>128</v>
      </c>
      <c r="K37" s="2" t="s">
        <v>154</v>
      </c>
      <c r="L37" s="2" t="s">
        <v>48</v>
      </c>
      <c r="M37" s="2" t="s">
        <v>43</v>
      </c>
      <c r="N37" s="2" t="s">
        <v>190</v>
      </c>
      <c r="O37" s="2" t="s">
        <v>18</v>
      </c>
      <c r="P37" s="2" t="s">
        <v>231</v>
      </c>
      <c r="Q37" s="2" t="s">
        <v>129</v>
      </c>
      <c r="R37" s="2" t="s">
        <v>129</v>
      </c>
      <c r="S37" s="2" t="s">
        <v>18</v>
      </c>
      <c r="T37" s="2" t="s">
        <v>232</v>
      </c>
      <c r="U37" s="2" t="s">
        <v>154</v>
      </c>
      <c r="V37" s="2" t="s">
        <v>154</v>
      </c>
      <c r="W37" s="2" t="s">
        <v>231</v>
      </c>
      <c r="X37" s="2" t="s">
        <v>63</v>
      </c>
      <c r="Y37" s="2" t="s">
        <v>200</v>
      </c>
      <c r="Z37" s="2" t="s">
        <v>181</v>
      </c>
      <c r="AA37" s="2" t="s">
        <v>129</v>
      </c>
      <c r="AB37" s="2" t="s">
        <v>301</v>
      </c>
      <c r="AC37" s="2" t="s">
        <v>301</v>
      </c>
      <c r="AD37" s="2" t="s">
        <v>300</v>
      </c>
      <c r="AE37" s="2" t="s">
        <v>272</v>
      </c>
    </row>
    <row r="38" spans="1:31" x14ac:dyDescent="0.25">
      <c r="A38" s="2">
        <f t="shared" si="0"/>
        <v>37</v>
      </c>
      <c r="B38" s="2" t="s">
        <v>52</v>
      </c>
      <c r="C38" s="2" t="s">
        <v>53</v>
      </c>
      <c r="D38" s="2" t="s">
        <v>54</v>
      </c>
      <c r="E38" s="2" t="s">
        <v>47</v>
      </c>
      <c r="F38" s="2" t="s">
        <v>46</v>
      </c>
      <c r="G38" s="6" t="s">
        <v>62</v>
      </c>
      <c r="H38" s="2" t="s">
        <v>40</v>
      </c>
      <c r="I38" s="2" t="s">
        <v>62</v>
      </c>
      <c r="J38" s="2" t="s">
        <v>39</v>
      </c>
      <c r="K38" s="2" t="s">
        <v>46</v>
      </c>
      <c r="L38" s="2" t="s">
        <v>53</v>
      </c>
      <c r="M38" s="2" t="s">
        <v>30</v>
      </c>
      <c r="N38" s="2" t="s">
        <v>154</v>
      </c>
      <c r="O38" s="2" t="s">
        <v>48</v>
      </c>
      <c r="P38" s="2" t="s">
        <v>46</v>
      </c>
      <c r="Q38" s="2" t="s">
        <v>233</v>
      </c>
      <c r="R38" s="2" t="s">
        <v>18</v>
      </c>
      <c r="S38" s="2" t="s">
        <v>155</v>
      </c>
      <c r="T38" s="2" t="s">
        <v>129</v>
      </c>
      <c r="U38" s="2" t="s">
        <v>267</v>
      </c>
      <c r="V38" s="2" t="s">
        <v>155</v>
      </c>
      <c r="W38" s="2" t="s">
        <v>200</v>
      </c>
      <c r="X38" s="2" t="s">
        <v>283</v>
      </c>
      <c r="Y38" s="2" t="s">
        <v>155</v>
      </c>
      <c r="Z38" s="2" t="s">
        <v>46</v>
      </c>
      <c r="AA38" s="2" t="s">
        <v>320</v>
      </c>
      <c r="AB38" s="2" t="s">
        <v>273</v>
      </c>
      <c r="AC38" s="2" t="s">
        <v>232</v>
      </c>
      <c r="AD38" s="2" t="s">
        <v>232</v>
      </c>
      <c r="AE38" s="2" t="s">
        <v>285</v>
      </c>
    </row>
    <row r="39" spans="1:31" x14ac:dyDescent="0.25">
      <c r="A39" s="2">
        <f t="shared" si="0"/>
        <v>38</v>
      </c>
      <c r="B39" s="2" t="s">
        <v>51</v>
      </c>
      <c r="C39" s="2" t="s">
        <v>55</v>
      </c>
      <c r="D39" s="2" t="s">
        <v>56</v>
      </c>
      <c r="E39" s="2" t="s">
        <v>38</v>
      </c>
      <c r="F39" s="2" t="s">
        <v>55</v>
      </c>
      <c r="G39" s="6" t="s">
        <v>37</v>
      </c>
      <c r="H39" s="2" t="s">
        <v>55</v>
      </c>
      <c r="I39" s="2" t="s">
        <v>46</v>
      </c>
      <c r="J39" s="2" t="s">
        <v>154</v>
      </c>
      <c r="K39" s="2" t="s">
        <v>178</v>
      </c>
      <c r="L39" s="2" t="s">
        <v>181</v>
      </c>
      <c r="M39" s="2" t="s">
        <v>27</v>
      </c>
      <c r="N39" s="2" t="s">
        <v>55</v>
      </c>
      <c r="O39" s="2" t="s">
        <v>231</v>
      </c>
      <c r="P39" s="2" t="s">
        <v>18</v>
      </c>
      <c r="Q39" s="2" t="s">
        <v>186</v>
      </c>
      <c r="R39" s="2" t="s">
        <v>155</v>
      </c>
      <c r="S39" s="2" t="s">
        <v>244</v>
      </c>
      <c r="T39" s="2" t="s">
        <v>244</v>
      </c>
      <c r="U39" s="2" t="s">
        <v>270</v>
      </c>
      <c r="V39" s="2" t="s">
        <v>244</v>
      </c>
      <c r="W39" s="2" t="s">
        <v>181</v>
      </c>
      <c r="X39" s="2" t="s">
        <v>181</v>
      </c>
      <c r="Y39" s="2" t="s">
        <v>63</v>
      </c>
      <c r="Z39" s="2" t="s">
        <v>63</v>
      </c>
      <c r="AA39" s="2" t="s">
        <v>321</v>
      </c>
      <c r="AB39" s="2" t="s">
        <v>231</v>
      </c>
      <c r="AC39" s="2" t="s">
        <v>231</v>
      </c>
      <c r="AD39" s="2" t="s">
        <v>312</v>
      </c>
      <c r="AE39" s="2" t="s">
        <v>300</v>
      </c>
    </row>
    <row r="40" spans="1:31" x14ac:dyDescent="0.25">
      <c r="A40" s="2">
        <f t="shared" si="0"/>
        <v>39</v>
      </c>
      <c r="B40" s="2" t="s">
        <v>57</v>
      </c>
      <c r="C40" s="2" t="s">
        <v>42</v>
      </c>
      <c r="D40" s="2" t="s">
        <v>55</v>
      </c>
      <c r="E40" s="2" t="s">
        <v>45</v>
      </c>
      <c r="F40" s="2" t="s">
        <v>45</v>
      </c>
      <c r="G40" s="6" t="s">
        <v>53</v>
      </c>
      <c r="H40" s="2" t="s">
        <v>53</v>
      </c>
      <c r="I40" s="2" t="s">
        <v>128</v>
      </c>
      <c r="J40" s="2" t="s">
        <v>46</v>
      </c>
      <c r="K40" s="2" t="s">
        <v>43</v>
      </c>
      <c r="L40" s="2" t="s">
        <v>147</v>
      </c>
      <c r="M40" s="2" t="s">
        <v>154</v>
      </c>
      <c r="N40" s="2" t="s">
        <v>136</v>
      </c>
      <c r="O40" s="2" t="s">
        <v>232</v>
      </c>
      <c r="P40" s="2" t="s">
        <v>191</v>
      </c>
      <c r="Q40" s="2" t="s">
        <v>200</v>
      </c>
      <c r="R40" s="2" t="s">
        <v>40</v>
      </c>
      <c r="S40" s="2" t="s">
        <v>261</v>
      </c>
      <c r="T40" s="2" t="s">
        <v>46</v>
      </c>
      <c r="U40" s="2" t="s">
        <v>155</v>
      </c>
      <c r="V40" s="2" t="s">
        <v>270</v>
      </c>
      <c r="W40" s="2" t="s">
        <v>46</v>
      </c>
      <c r="X40" s="2" t="s">
        <v>294</v>
      </c>
      <c r="Y40" s="2" t="s">
        <v>128</v>
      </c>
      <c r="Z40" s="2" t="s">
        <v>217</v>
      </c>
      <c r="AA40" s="2" t="s">
        <v>322</v>
      </c>
      <c r="AB40" s="2" t="s">
        <v>63</v>
      </c>
      <c r="AC40" s="2" t="s">
        <v>313</v>
      </c>
      <c r="AD40" s="2" t="s">
        <v>155</v>
      </c>
      <c r="AE40" s="2" t="s">
        <v>200</v>
      </c>
    </row>
    <row r="41" spans="1:31" x14ac:dyDescent="0.25">
      <c r="A41" s="14">
        <f t="shared" si="0"/>
        <v>40</v>
      </c>
      <c r="B41" s="2" t="s">
        <v>42</v>
      </c>
      <c r="C41" s="2" t="s">
        <v>51</v>
      </c>
      <c r="D41" s="2" t="s">
        <v>58</v>
      </c>
      <c r="E41" s="2" t="s">
        <v>49</v>
      </c>
      <c r="F41" s="2" t="s">
        <v>59</v>
      </c>
      <c r="G41" s="6" t="s">
        <v>48</v>
      </c>
      <c r="H41" s="2" t="s">
        <v>46</v>
      </c>
      <c r="I41" s="2" t="s">
        <v>146</v>
      </c>
      <c r="J41" s="2" t="s">
        <v>55</v>
      </c>
      <c r="K41" s="2" t="s">
        <v>53</v>
      </c>
      <c r="L41" s="2" t="s">
        <v>66</v>
      </c>
      <c r="M41" s="2" t="s">
        <v>55</v>
      </c>
      <c r="N41" s="2" t="s">
        <v>217</v>
      </c>
      <c r="O41" s="2" t="s">
        <v>14</v>
      </c>
      <c r="P41" s="2" t="s">
        <v>200</v>
      </c>
      <c r="Q41" s="2" t="s">
        <v>155</v>
      </c>
      <c r="R41" s="2" t="s">
        <v>57</v>
      </c>
      <c r="S41" s="2" t="s">
        <v>200</v>
      </c>
      <c r="T41" s="2" t="s">
        <v>155</v>
      </c>
      <c r="U41" s="2" t="s">
        <v>231</v>
      </c>
      <c r="V41" s="2" t="s">
        <v>275</v>
      </c>
      <c r="W41" s="2" t="s">
        <v>244</v>
      </c>
      <c r="X41" s="2" t="s">
        <v>231</v>
      </c>
      <c r="Y41" s="2" t="s">
        <v>154</v>
      </c>
      <c r="Z41" s="2" t="s">
        <v>273</v>
      </c>
      <c r="AA41" s="2" t="s">
        <v>260</v>
      </c>
      <c r="AB41" s="2" t="s">
        <v>181</v>
      </c>
      <c r="AC41" s="2" t="s">
        <v>181</v>
      </c>
      <c r="AD41" s="2" t="s">
        <v>244</v>
      </c>
      <c r="AE41" s="2" t="s">
        <v>337</v>
      </c>
    </row>
    <row r="42" spans="1:31" x14ac:dyDescent="0.25">
      <c r="A42" s="2">
        <f t="shared" si="0"/>
        <v>41</v>
      </c>
      <c r="B42" s="2" t="s">
        <v>60</v>
      </c>
      <c r="C42" s="2" t="s">
        <v>48</v>
      </c>
      <c r="D42" s="2" t="s">
        <v>50</v>
      </c>
      <c r="E42" s="2" t="s">
        <v>61</v>
      </c>
      <c r="F42" s="2" t="s">
        <v>62</v>
      </c>
      <c r="G42" s="6" t="s">
        <v>45</v>
      </c>
      <c r="H42" s="2" t="s">
        <v>58</v>
      </c>
      <c r="I42" s="2" t="s">
        <v>147</v>
      </c>
      <c r="J42" s="2" t="s">
        <v>40</v>
      </c>
      <c r="K42" s="2" t="s">
        <v>40</v>
      </c>
      <c r="L42" s="2" t="s">
        <v>58</v>
      </c>
      <c r="M42" s="2" t="s">
        <v>136</v>
      </c>
      <c r="N42" s="2" t="s">
        <v>193</v>
      </c>
      <c r="O42" s="2" t="s">
        <v>181</v>
      </c>
      <c r="P42" s="2" t="s">
        <v>129</v>
      </c>
      <c r="Q42" s="2" t="s">
        <v>40</v>
      </c>
      <c r="R42" s="2" t="s">
        <v>233</v>
      </c>
      <c r="S42" s="2" t="s">
        <v>217</v>
      </c>
      <c r="T42" s="2" t="s">
        <v>268</v>
      </c>
      <c r="U42" s="2" t="s">
        <v>217</v>
      </c>
      <c r="V42" s="2" t="s">
        <v>272</v>
      </c>
      <c r="W42" s="2" t="s">
        <v>272</v>
      </c>
      <c r="X42" s="2" t="s">
        <v>46</v>
      </c>
      <c r="Y42" s="2" t="s">
        <v>217</v>
      </c>
      <c r="Z42" s="2" t="s">
        <v>154</v>
      </c>
      <c r="AA42" s="2" t="s">
        <v>323</v>
      </c>
      <c r="AB42" s="2" t="s">
        <v>283</v>
      </c>
      <c r="AC42" s="2" t="s">
        <v>200</v>
      </c>
      <c r="AD42" s="2" t="s">
        <v>316</v>
      </c>
      <c r="AE42" s="2" t="s">
        <v>334</v>
      </c>
    </row>
    <row r="43" spans="1:31" x14ac:dyDescent="0.25">
      <c r="A43" s="2">
        <f t="shared" si="0"/>
        <v>42</v>
      </c>
      <c r="B43" s="2" t="s">
        <v>50</v>
      </c>
      <c r="C43" s="2" t="s">
        <v>63</v>
      </c>
      <c r="D43" s="2" t="s">
        <v>48</v>
      </c>
      <c r="E43" s="2" t="s">
        <v>50</v>
      </c>
      <c r="F43" s="2" t="s">
        <v>49</v>
      </c>
      <c r="G43" s="6" t="s">
        <v>128</v>
      </c>
      <c r="H43" s="2" t="s">
        <v>37</v>
      </c>
      <c r="I43" s="2" t="s">
        <v>53</v>
      </c>
      <c r="J43" s="2" t="s">
        <v>14</v>
      </c>
      <c r="K43" s="2" t="s">
        <v>48</v>
      </c>
      <c r="L43" s="2" t="s">
        <v>63</v>
      </c>
      <c r="M43" s="2" t="s">
        <v>200</v>
      </c>
      <c r="N43" s="2" t="s">
        <v>66</v>
      </c>
      <c r="O43" s="2" t="s">
        <v>46</v>
      </c>
      <c r="P43" s="2" t="s">
        <v>233</v>
      </c>
      <c r="Q43" s="2" t="s">
        <v>57</v>
      </c>
      <c r="R43" s="2" t="s">
        <v>200</v>
      </c>
      <c r="S43" s="2" t="s">
        <v>153</v>
      </c>
      <c r="T43" s="2" t="s">
        <v>217</v>
      </c>
      <c r="U43" s="2" t="s">
        <v>57</v>
      </c>
      <c r="V43" s="2" t="s">
        <v>57</v>
      </c>
      <c r="W43" s="2" t="s">
        <v>184</v>
      </c>
      <c r="X43" s="2" t="s">
        <v>200</v>
      </c>
      <c r="Y43" s="2" t="s">
        <v>273</v>
      </c>
      <c r="Z43" s="2" t="s">
        <v>244</v>
      </c>
      <c r="AA43" s="2" t="s">
        <v>290</v>
      </c>
      <c r="AB43" s="2" t="s">
        <v>232</v>
      </c>
      <c r="AC43" s="2" t="s">
        <v>155</v>
      </c>
      <c r="AD43" s="2" t="s">
        <v>200</v>
      </c>
      <c r="AE43" s="2" t="s">
        <v>315</v>
      </c>
    </row>
    <row r="44" spans="1:31" x14ac:dyDescent="0.25">
      <c r="A44" s="2">
        <f t="shared" si="0"/>
        <v>43</v>
      </c>
      <c r="B44" s="2" t="s">
        <v>45</v>
      </c>
      <c r="C44" s="2" t="s">
        <v>58</v>
      </c>
      <c r="D44" s="2" t="s">
        <v>64</v>
      </c>
      <c r="E44" s="2" t="s">
        <v>55</v>
      </c>
      <c r="F44" s="2" t="s">
        <v>48</v>
      </c>
      <c r="G44" s="6" t="s">
        <v>63</v>
      </c>
      <c r="H44" s="2" t="s">
        <v>57</v>
      </c>
      <c r="I44" s="2" t="s">
        <v>48</v>
      </c>
      <c r="J44" s="2" t="s">
        <v>48</v>
      </c>
      <c r="K44" s="2" t="s">
        <v>153</v>
      </c>
      <c r="L44" s="2" t="s">
        <v>179</v>
      </c>
      <c r="M44" s="2" t="s">
        <v>46</v>
      </c>
      <c r="N44" s="2" t="s">
        <v>196</v>
      </c>
      <c r="O44" s="2" t="s">
        <v>63</v>
      </c>
      <c r="P44" s="2" t="s">
        <v>217</v>
      </c>
      <c r="Q44" s="2" t="s">
        <v>65</v>
      </c>
      <c r="R44" s="2" t="s">
        <v>62</v>
      </c>
      <c r="S44" s="2" t="s">
        <v>62</v>
      </c>
      <c r="T44" s="2" t="s">
        <v>18</v>
      </c>
      <c r="U44" s="2" t="s">
        <v>153</v>
      </c>
      <c r="V44" s="2" t="s">
        <v>231</v>
      </c>
      <c r="W44" s="2" t="s">
        <v>155</v>
      </c>
      <c r="X44" s="2" t="s">
        <v>154</v>
      </c>
      <c r="Y44" s="2" t="s">
        <v>57</v>
      </c>
      <c r="Z44" s="2" t="s">
        <v>57</v>
      </c>
      <c r="AA44" s="2" t="s">
        <v>324</v>
      </c>
      <c r="AB44" s="2" t="s">
        <v>290</v>
      </c>
      <c r="AC44" s="2" t="s">
        <v>290</v>
      </c>
      <c r="AD44" s="2" t="s">
        <v>334</v>
      </c>
      <c r="AE44" s="2" t="s">
        <v>290</v>
      </c>
    </row>
    <row r="45" spans="1:31" x14ac:dyDescent="0.25">
      <c r="A45" s="2">
        <f t="shared" si="0"/>
        <v>44</v>
      </c>
      <c r="B45" s="2" t="s">
        <v>55</v>
      </c>
      <c r="C45" s="3" t="s">
        <v>65</v>
      </c>
      <c r="D45" s="2" t="s">
        <v>62</v>
      </c>
      <c r="E45" s="2" t="s">
        <v>51</v>
      </c>
      <c r="F45" s="2" t="s">
        <v>53</v>
      </c>
      <c r="G45" s="6" t="s">
        <v>66</v>
      </c>
      <c r="H45" s="2" t="s">
        <v>48</v>
      </c>
      <c r="I45" s="2" t="s">
        <v>57</v>
      </c>
      <c r="J45" s="2" t="s">
        <v>57</v>
      </c>
      <c r="K45" s="2" t="s">
        <v>63</v>
      </c>
      <c r="L45" s="2" t="s">
        <v>65</v>
      </c>
      <c r="M45" s="2" t="s">
        <v>18</v>
      </c>
      <c r="N45" s="2" t="s">
        <v>18</v>
      </c>
      <c r="O45" s="2" t="s">
        <v>200</v>
      </c>
      <c r="P45" s="2" t="s">
        <v>40</v>
      </c>
      <c r="Q45" s="2" t="s">
        <v>231</v>
      </c>
      <c r="R45" s="2" t="s">
        <v>65</v>
      </c>
      <c r="S45" s="2" t="s">
        <v>57</v>
      </c>
      <c r="T45" s="2" t="s">
        <v>231</v>
      </c>
      <c r="U45" s="2" t="s">
        <v>271</v>
      </c>
      <c r="V45" s="2" t="s">
        <v>200</v>
      </c>
      <c r="W45" s="2" t="s">
        <v>217</v>
      </c>
      <c r="X45" s="2" t="s">
        <v>295</v>
      </c>
      <c r="Y45" s="2" t="s">
        <v>244</v>
      </c>
      <c r="Z45" s="2" t="s">
        <v>302</v>
      </c>
      <c r="AA45" s="2" t="s">
        <v>136</v>
      </c>
      <c r="AB45" s="2" t="s">
        <v>318</v>
      </c>
      <c r="AC45" s="2" t="s">
        <v>276</v>
      </c>
      <c r="AD45" s="2" t="s">
        <v>313</v>
      </c>
      <c r="AE45" s="2" t="s">
        <v>311</v>
      </c>
    </row>
    <row r="46" spans="1:31" x14ac:dyDescent="0.25">
      <c r="A46" s="2">
        <f t="shared" si="0"/>
        <v>45</v>
      </c>
      <c r="B46" s="2" t="s">
        <v>58</v>
      </c>
      <c r="C46" s="2" t="s">
        <v>57</v>
      </c>
      <c r="D46" s="2" t="s">
        <v>66</v>
      </c>
      <c r="E46" s="2" t="s">
        <v>58</v>
      </c>
      <c r="F46" s="2" t="s">
        <v>58</v>
      </c>
      <c r="G46" s="6" t="s">
        <v>58</v>
      </c>
      <c r="H46" s="2" t="s">
        <v>63</v>
      </c>
      <c r="I46" s="2" t="s">
        <v>63</v>
      </c>
      <c r="J46" s="2" t="s">
        <v>58</v>
      </c>
      <c r="K46" s="2" t="s">
        <v>58</v>
      </c>
      <c r="L46" s="2" t="s">
        <v>57</v>
      </c>
      <c r="M46" s="2" t="s">
        <v>48</v>
      </c>
      <c r="N46" s="2" t="s">
        <v>48</v>
      </c>
      <c r="O46" s="2" t="s">
        <v>217</v>
      </c>
      <c r="P46" s="2" t="s">
        <v>65</v>
      </c>
      <c r="Q46" s="2" t="s">
        <v>238</v>
      </c>
      <c r="R46" s="2" t="s">
        <v>185</v>
      </c>
      <c r="S46" s="2" t="s">
        <v>65</v>
      </c>
      <c r="T46" s="2" t="s">
        <v>57</v>
      </c>
      <c r="U46" s="2" t="s">
        <v>268</v>
      </c>
      <c r="V46" s="2" t="s">
        <v>276</v>
      </c>
      <c r="W46" s="2" t="s">
        <v>57</v>
      </c>
      <c r="X46" s="2" t="s">
        <v>285</v>
      </c>
      <c r="Y46" s="2" t="s">
        <v>275</v>
      </c>
      <c r="Z46" s="2" t="s">
        <v>303</v>
      </c>
      <c r="AA46" s="2" t="s">
        <v>325</v>
      </c>
      <c r="AB46" s="2" t="s">
        <v>155</v>
      </c>
      <c r="AC46" s="2" t="s">
        <v>334</v>
      </c>
      <c r="AD46" s="2" t="s">
        <v>290</v>
      </c>
      <c r="AE46" s="2" t="s">
        <v>276</v>
      </c>
    </row>
    <row r="47" spans="1:31" x14ac:dyDescent="0.25">
      <c r="A47" s="2">
        <f t="shared" si="0"/>
        <v>46</v>
      </c>
      <c r="B47" s="2" t="s">
        <v>63</v>
      </c>
      <c r="C47" s="2" t="s">
        <v>62</v>
      </c>
      <c r="D47" s="2" t="s">
        <v>57</v>
      </c>
      <c r="E47" s="2" t="s">
        <v>57</v>
      </c>
      <c r="F47" s="2" t="s">
        <v>61</v>
      </c>
      <c r="G47" s="6" t="s">
        <v>65</v>
      </c>
      <c r="H47" s="2" t="s">
        <v>65</v>
      </c>
      <c r="I47" s="2" t="s">
        <v>58</v>
      </c>
      <c r="J47" s="2" t="s">
        <v>63</v>
      </c>
      <c r="K47" s="2" t="s">
        <v>66</v>
      </c>
      <c r="L47" s="2" t="s">
        <v>178</v>
      </c>
      <c r="M47" s="2" t="s">
        <v>39</v>
      </c>
      <c r="N47" s="2" t="s">
        <v>195</v>
      </c>
      <c r="O47" s="2" t="s">
        <v>233</v>
      </c>
      <c r="P47" s="2" t="s">
        <v>187</v>
      </c>
      <c r="Q47" s="2" t="s">
        <v>217</v>
      </c>
      <c r="R47" s="2" t="s">
        <v>247</v>
      </c>
      <c r="S47" s="2" t="s">
        <v>58</v>
      </c>
      <c r="T47" s="2" t="s">
        <v>65</v>
      </c>
      <c r="U47" s="2" t="s">
        <v>245</v>
      </c>
      <c r="V47" s="2" t="s">
        <v>217</v>
      </c>
      <c r="W47" s="2" t="s">
        <v>285</v>
      </c>
      <c r="X47" s="2" t="s">
        <v>155</v>
      </c>
      <c r="Y47" s="2" t="s">
        <v>283</v>
      </c>
      <c r="Z47" s="2" t="s">
        <v>304</v>
      </c>
      <c r="AA47" s="2" t="s">
        <v>301</v>
      </c>
      <c r="AB47" s="2" t="s">
        <v>200</v>
      </c>
      <c r="AC47" s="2" t="s">
        <v>314</v>
      </c>
      <c r="AD47" s="2" t="s">
        <v>337</v>
      </c>
      <c r="AE47" s="2" t="s">
        <v>312</v>
      </c>
    </row>
    <row r="48" spans="1:31" x14ac:dyDescent="0.25">
      <c r="A48" s="2">
        <f t="shared" si="0"/>
        <v>47</v>
      </c>
      <c r="B48" s="2" t="s">
        <v>53</v>
      </c>
      <c r="C48" s="2" t="s">
        <v>52</v>
      </c>
      <c r="D48" s="2" t="s">
        <v>53</v>
      </c>
      <c r="E48" s="2" t="s">
        <v>62</v>
      </c>
      <c r="F48" s="2" t="s">
        <v>52</v>
      </c>
      <c r="G48" s="6" t="s">
        <v>49</v>
      </c>
      <c r="H48" s="2" t="s">
        <v>51</v>
      </c>
      <c r="I48" s="2" t="s">
        <v>65</v>
      </c>
      <c r="J48" s="2" t="s">
        <v>66</v>
      </c>
      <c r="K48" s="2" t="s">
        <v>57</v>
      </c>
      <c r="L48" s="2" t="s">
        <v>155</v>
      </c>
      <c r="M48" s="2" t="s">
        <v>53</v>
      </c>
      <c r="N48" s="2" t="s">
        <v>39</v>
      </c>
      <c r="O48" s="2" t="s">
        <v>40</v>
      </c>
      <c r="P48" s="2" t="s">
        <v>57</v>
      </c>
      <c r="Q48" s="2" t="s">
        <v>191</v>
      </c>
      <c r="R48" s="2" t="s">
        <v>231</v>
      </c>
      <c r="S48" s="2" t="s">
        <v>262</v>
      </c>
      <c r="T48" s="2" t="s">
        <v>262</v>
      </c>
      <c r="U48" s="2" t="s">
        <v>262</v>
      </c>
      <c r="V48" s="2" t="s">
        <v>273</v>
      </c>
      <c r="W48" s="2" t="s">
        <v>270</v>
      </c>
      <c r="X48" s="2" t="s">
        <v>217</v>
      </c>
      <c r="Y48" s="2" t="s">
        <v>292</v>
      </c>
      <c r="Z48" s="4" t="s">
        <v>305</v>
      </c>
      <c r="AA48" s="2" t="s">
        <v>155</v>
      </c>
      <c r="AB48" s="2" t="s">
        <v>317</v>
      </c>
      <c r="AC48" s="2" t="s">
        <v>57</v>
      </c>
      <c r="AD48" s="2" t="s">
        <v>276</v>
      </c>
      <c r="AE48" s="2" t="s">
        <v>299</v>
      </c>
    </row>
    <row r="49" spans="1:31" x14ac:dyDescent="0.25">
      <c r="A49" s="2">
        <f t="shared" si="0"/>
        <v>48</v>
      </c>
      <c r="B49" s="2" t="s">
        <v>62</v>
      </c>
      <c r="C49" s="2" t="s">
        <v>50</v>
      </c>
      <c r="D49" s="2" t="s">
        <v>63</v>
      </c>
      <c r="E49" s="2" t="s">
        <v>63</v>
      </c>
      <c r="F49" s="2" t="s">
        <v>57</v>
      </c>
      <c r="G49" s="6" t="s">
        <v>51</v>
      </c>
      <c r="H49" s="2" t="s">
        <v>66</v>
      </c>
      <c r="I49" s="2" t="s">
        <v>148</v>
      </c>
      <c r="J49" s="2" t="s">
        <v>129</v>
      </c>
      <c r="K49" s="2" t="s">
        <v>14</v>
      </c>
      <c r="L49" s="2" t="s">
        <v>129</v>
      </c>
      <c r="M49" s="2" t="s">
        <v>58</v>
      </c>
      <c r="N49" s="2" t="s">
        <v>63</v>
      </c>
      <c r="O49" s="2" t="s">
        <v>192</v>
      </c>
      <c r="P49" s="2" t="s">
        <v>14</v>
      </c>
      <c r="Q49" s="2" t="s">
        <v>187</v>
      </c>
      <c r="R49" s="2" t="s">
        <v>238</v>
      </c>
      <c r="S49" s="2" t="s">
        <v>231</v>
      </c>
      <c r="T49" s="2" t="s">
        <v>249</v>
      </c>
      <c r="U49" s="2" t="s">
        <v>200</v>
      </c>
      <c r="V49" s="2" t="s">
        <v>153</v>
      </c>
      <c r="W49" s="2" t="s">
        <v>275</v>
      </c>
      <c r="X49" s="2" t="s">
        <v>244</v>
      </c>
      <c r="Y49" s="2" t="s">
        <v>291</v>
      </c>
      <c r="Z49" s="2" t="s">
        <v>306</v>
      </c>
      <c r="AA49" s="2" t="s">
        <v>181</v>
      </c>
      <c r="AB49" s="2" t="s">
        <v>330</v>
      </c>
      <c r="AC49" s="2" t="s">
        <v>330</v>
      </c>
      <c r="AD49" s="2" t="s">
        <v>285</v>
      </c>
      <c r="AE49" s="2" t="s">
        <v>316</v>
      </c>
    </row>
    <row r="50" spans="1:31" x14ac:dyDescent="0.25">
      <c r="A50" s="2">
        <f t="shared" si="0"/>
        <v>49</v>
      </c>
      <c r="B50" s="2" t="s">
        <v>67</v>
      </c>
      <c r="C50" s="2" t="s">
        <v>66</v>
      </c>
      <c r="D50" s="2" t="s">
        <v>52</v>
      </c>
      <c r="E50" s="2" t="s">
        <v>48</v>
      </c>
      <c r="F50" s="2" t="s">
        <v>63</v>
      </c>
      <c r="G50" s="6" t="s">
        <v>68</v>
      </c>
      <c r="H50" s="2" t="s">
        <v>140</v>
      </c>
      <c r="I50" s="2" t="s">
        <v>66</v>
      </c>
      <c r="J50" s="2" t="s">
        <v>155</v>
      </c>
      <c r="K50" s="2" t="s">
        <v>129</v>
      </c>
      <c r="L50" s="2" t="s">
        <v>153</v>
      </c>
      <c r="M50" s="2" t="s">
        <v>66</v>
      </c>
      <c r="N50" s="2" t="s">
        <v>46</v>
      </c>
      <c r="O50" s="2" t="s">
        <v>129</v>
      </c>
      <c r="P50" s="2" t="s">
        <v>155</v>
      </c>
      <c r="Q50" s="2" t="s">
        <v>61</v>
      </c>
      <c r="R50" s="2" t="s">
        <v>248</v>
      </c>
      <c r="S50" s="2" t="s">
        <v>185</v>
      </c>
      <c r="T50" s="2" t="s">
        <v>200</v>
      </c>
      <c r="U50" s="2" t="s">
        <v>273</v>
      </c>
      <c r="V50" s="2" t="s">
        <v>58</v>
      </c>
      <c r="W50" s="2" t="s">
        <v>276</v>
      </c>
      <c r="X50" s="2" t="s">
        <v>275</v>
      </c>
      <c r="Y50" s="2" t="s">
        <v>272</v>
      </c>
      <c r="Z50" s="2" t="s">
        <v>276</v>
      </c>
      <c r="AA50" s="2" t="s">
        <v>232</v>
      </c>
      <c r="AB50" s="2" t="s">
        <v>321</v>
      </c>
      <c r="AC50" s="2" t="s">
        <v>285</v>
      </c>
      <c r="AD50" s="2" t="s">
        <v>330</v>
      </c>
      <c r="AE50" s="2" t="s">
        <v>244</v>
      </c>
    </row>
    <row r="51" spans="1:31" x14ac:dyDescent="0.25">
      <c r="A51" s="14">
        <f t="shared" si="0"/>
        <v>50</v>
      </c>
      <c r="B51" s="2" t="s">
        <v>66</v>
      </c>
      <c r="C51" s="3" t="s">
        <v>68</v>
      </c>
      <c r="D51" s="2" t="s">
        <v>65</v>
      </c>
      <c r="E51" s="2" t="s">
        <v>66</v>
      </c>
      <c r="F51" s="2" t="s">
        <v>66</v>
      </c>
      <c r="G51" s="6" t="s">
        <v>129</v>
      </c>
      <c r="H51" s="2" t="s">
        <v>49</v>
      </c>
      <c r="I51" s="2" t="s">
        <v>68</v>
      </c>
      <c r="J51" s="2" t="s">
        <v>65</v>
      </c>
      <c r="K51" s="2" t="s">
        <v>34</v>
      </c>
      <c r="L51" s="2" t="s">
        <v>180</v>
      </c>
      <c r="M51" s="2" t="s">
        <v>40</v>
      </c>
      <c r="N51" s="2" t="s">
        <v>181</v>
      </c>
      <c r="O51" s="2" t="s">
        <v>155</v>
      </c>
      <c r="P51" s="2" t="s">
        <v>39</v>
      </c>
      <c r="Q51" s="2" t="s">
        <v>58</v>
      </c>
      <c r="R51" s="2" t="s">
        <v>249</v>
      </c>
      <c r="S51" s="2" t="s">
        <v>249</v>
      </c>
      <c r="T51" s="2" t="s">
        <v>58</v>
      </c>
      <c r="U51" s="2" t="s">
        <v>272</v>
      </c>
      <c r="V51" s="2" t="s">
        <v>64</v>
      </c>
      <c r="W51" s="2" t="s">
        <v>153</v>
      </c>
      <c r="X51" s="2" t="s">
        <v>57</v>
      </c>
      <c r="Y51" s="2" t="s">
        <v>299</v>
      </c>
      <c r="Z51" s="2" t="s">
        <v>272</v>
      </c>
      <c r="AA51" s="2" t="s">
        <v>63</v>
      </c>
      <c r="AB51" s="2" t="s">
        <v>285</v>
      </c>
      <c r="AC51" s="2" t="s">
        <v>283</v>
      </c>
      <c r="AD51" s="2" t="s">
        <v>301</v>
      </c>
      <c r="AE51" s="2" t="s">
        <v>340</v>
      </c>
    </row>
  </sheetData>
  <conditionalFormatting sqref="B2:AD51">
    <cfRule type="expression" dxfId="4" priority="4">
      <formula>ISNA(VLOOKUP(B2,C$2:C$51,1,0))</formula>
    </cfRule>
  </conditionalFormatting>
  <conditionalFormatting sqref="C2:AE51">
    <cfRule type="expression" dxfId="3" priority="3">
      <formula>ISNA(VLOOKUP(C2,B$2:B$51,1,0))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341FD-D5C1-4D29-84DA-F91EA87E4D30}">
  <dimension ref="A1:F51"/>
  <sheetViews>
    <sheetView topLeftCell="A32" workbookViewId="0">
      <selection activeCell="E2" sqref="E2"/>
    </sheetView>
  </sheetViews>
  <sheetFormatPr defaultRowHeight="13.2" x14ac:dyDescent="0.25"/>
  <cols>
    <col min="2" max="2" width="29.21875" bestFit="1" customWidth="1"/>
    <col min="3" max="3" width="17.77734375" bestFit="1" customWidth="1"/>
    <col min="4" max="4" width="15.6640625" customWidth="1"/>
    <col min="5" max="5" width="15.44140625" customWidth="1"/>
  </cols>
  <sheetData>
    <row r="1" spans="1:6" s="11" customFormat="1" x14ac:dyDescent="0.25">
      <c r="A1" s="11" t="s">
        <v>169</v>
      </c>
      <c r="B1" s="12" t="s">
        <v>170</v>
      </c>
      <c r="C1" s="11" t="s">
        <v>125</v>
      </c>
      <c r="D1" s="11" t="s">
        <v>171</v>
      </c>
      <c r="E1" s="11" t="s">
        <v>172</v>
      </c>
    </row>
    <row r="2" spans="1:6" x14ac:dyDescent="0.25">
      <c r="A2">
        <f>Data!A2</f>
        <v>1</v>
      </c>
      <c r="B2" s="5" t="str" cm="1">
        <f t="array" ref="B2">INDEX(Data!$A$1:$ZZ$51,'Current Chart'!A2 + 1,COUNTA(Data!1:1) + 1)</f>
        <v>A Bar Song (Tipsy)</v>
      </c>
      <c r="C2" s="2">
        <f ca="1">VLOOKUP(B2,Songs!$A:$G,7,0)</f>
        <v>17</v>
      </c>
      <c r="D2">
        <f>VLOOKUP(A2,Rules!$A:$C,3,1)</f>
        <v>9999</v>
      </c>
    </row>
    <row r="3" spans="1:6" x14ac:dyDescent="0.25">
      <c r="A3">
        <f>Data!A3</f>
        <v>2</v>
      </c>
      <c r="B3" s="5" t="str" cm="1">
        <f t="array" ref="B3">INDEX(Data!$A$1:$ZZ$51,'Current Chart'!A3 + 1,COUNTA(Data!2:2))</f>
        <v>I Had Some Help</v>
      </c>
      <c r="C3" s="2">
        <f ca="1">VLOOKUP(B3,Songs!$A:$G,7,0)</f>
        <v>14</v>
      </c>
      <c r="D3">
        <f>VLOOKUP(A3,Rules!$A:$C,3,1)</f>
        <v>9999</v>
      </c>
    </row>
    <row r="4" spans="1:6" x14ac:dyDescent="0.25">
      <c r="A4">
        <f>Data!A4</f>
        <v>3</v>
      </c>
      <c r="B4" s="5" t="str" cm="1">
        <f t="array" ref="B4">INDEX(Data!$A$1:$ZZ$51,'Current Chart'!A4 + 1,COUNTA(Data!3:3))</f>
        <v>Cowgirls</v>
      </c>
      <c r="C4" s="2">
        <f ca="1">VLOOKUP(B4,Songs!$A:$G,7,0)</f>
        <v>30</v>
      </c>
      <c r="D4">
        <f>VLOOKUP(A4,Rules!$A:$C,3,1)</f>
        <v>9999</v>
      </c>
    </row>
    <row r="5" spans="1:6" x14ac:dyDescent="0.25">
      <c r="A5">
        <f>Data!A5</f>
        <v>4</v>
      </c>
      <c r="B5" s="5" t="str" cm="1">
        <f t="array" ref="B5">INDEX(Data!$A$1:$ZZ$51,'Current Chart'!A5 + 1,COUNTA(Data!4:4))</f>
        <v>Ain't No Love In Oklahoma</v>
      </c>
      <c r="C5" s="2">
        <f ca="1">VLOOKUP(B5,Songs!$A:$G,7,0)</f>
        <v>13</v>
      </c>
      <c r="D5">
        <f ca="1">VLOOKUP(A5,Rules!$A:$C,3,1)-C5</f>
        <v>65</v>
      </c>
    </row>
    <row r="6" spans="1:6" x14ac:dyDescent="0.25">
      <c r="A6">
        <f>Data!A6</f>
        <v>5</v>
      </c>
      <c r="B6" s="5" t="str" cm="1">
        <f t="array" ref="B6">INDEX(Data!$A$1:$ZZ$51,'Current Chart'!A6 + 1,COUNTA(Data!5:5))</f>
        <v>Lies Lies Lies</v>
      </c>
      <c r="C6" s="2">
        <f ca="1">VLOOKUP(B6,Songs!$A:$G,7,0)</f>
        <v>5</v>
      </c>
      <c r="D6">
        <f ca="1">VLOOKUP(A6,Rules!$A:$C,3,1)-C6</f>
        <v>73</v>
      </c>
    </row>
    <row r="7" spans="1:6" x14ac:dyDescent="0.25">
      <c r="A7">
        <f>Data!A7</f>
        <v>6</v>
      </c>
      <c r="B7" s="5" t="str" cm="1">
        <f t="array" ref="B7">INDEX(Data!$A$1:$ZZ$51,'Current Chart'!A7 + 1,COUNTA(Data!6:6))</f>
        <v>Pink Skies</v>
      </c>
      <c r="C7" s="2">
        <f ca="1">VLOOKUP(B7,Songs!$A:$G,7,0)</f>
        <v>11</v>
      </c>
      <c r="D7">
        <f ca="1">VLOOKUP(A7,Rules!$A:$C,3,1)-C7</f>
        <v>41</v>
      </c>
    </row>
    <row r="8" spans="1:6" x14ac:dyDescent="0.25">
      <c r="A8">
        <f>Data!A8</f>
        <v>7</v>
      </c>
      <c r="B8" s="5" t="str" cm="1">
        <f t="array" ref="B8">INDEX(Data!$A$1:$ZZ$51,'Current Chart'!A8 + 1,COUNTA(Data!7:7))</f>
        <v>Miles On It</v>
      </c>
      <c r="C8" s="2">
        <f ca="1">VLOOKUP(B8,Songs!$A:$G,7,0)</f>
        <v>14</v>
      </c>
      <c r="D8">
        <f ca="1">VLOOKUP(A8,Rules!$A:$C,3,1)-C8</f>
        <v>38</v>
      </c>
      <c r="E8" s="2"/>
      <c r="F8" s="8" t="s">
        <v>214</v>
      </c>
    </row>
    <row r="9" spans="1:6" x14ac:dyDescent="0.25">
      <c r="A9">
        <f>Data!A9</f>
        <v>8</v>
      </c>
      <c r="B9" s="5" t="str" cm="1">
        <f t="array" ref="B9">INDEX(Data!$A$1:$ZZ$51,'Current Chart'!A9 + 1,COUNTA(Data!8:8))</f>
        <v>Austin</v>
      </c>
      <c r="C9" s="2">
        <f ca="1">VLOOKUP(B9,Songs!$A:$G,7,0)</f>
        <v>23</v>
      </c>
      <c r="D9">
        <f ca="1">VLOOKUP(A9,Rules!$A:$C,3,1)-C9</f>
        <v>29</v>
      </c>
    </row>
    <row r="10" spans="1:6" x14ac:dyDescent="0.25">
      <c r="A10">
        <f>Data!A10</f>
        <v>9</v>
      </c>
      <c r="B10" s="5" t="str" cm="1">
        <f t="array" ref="B10">INDEX(Data!$A$1:$ZZ$51,'Current Chart'!A10 + 1,COUNTA(Data!9:9))</f>
        <v>28</v>
      </c>
      <c r="C10" s="2">
        <f ca="1">VLOOKUP(B10,Songs!$A:$G,7,0)</f>
        <v>6</v>
      </c>
      <c r="D10">
        <f ca="1">VLOOKUP(A10,Rules!$A:$C,3,1)-C10</f>
        <v>46</v>
      </c>
    </row>
    <row r="11" spans="1:6" x14ac:dyDescent="0.25">
      <c r="A11">
        <f>Data!A11</f>
        <v>10</v>
      </c>
      <c r="B11" s="5" t="str" cm="1">
        <f t="array" ref="B11">INDEX(Data!$A$1:$ZZ$51,'Current Chart'!A11 + 1,COUNTA(Data!10:10))</f>
        <v>High Road</v>
      </c>
      <c r="C11" s="2">
        <f ca="1">VLOOKUP(B11,Songs!$A:$G,7,0)</f>
        <v>9</v>
      </c>
      <c r="D11">
        <f ca="1">VLOOKUP(A11,Rules!$A:$C,3,1)-C11</f>
        <v>43</v>
      </c>
    </row>
    <row r="12" spans="1:6" x14ac:dyDescent="0.25">
      <c r="A12">
        <f>Data!A12</f>
        <v>11</v>
      </c>
      <c r="B12" s="5" t="str" cm="1">
        <f t="array" ref="B12">INDEX(Data!$A$1:$ZZ$51,'Current Chart'!A12 + 1,COUNTA(Data!11:11))</f>
        <v>Pour Me A Drink</v>
      </c>
      <c r="C12" s="2">
        <f ca="1">VLOOKUP(B12,Songs!$A:$G,7,0)</f>
        <v>7</v>
      </c>
      <c r="D12">
        <f ca="1">VLOOKUP(A12,Rules!$A:$C,3,1)-C12</f>
        <v>19</v>
      </c>
    </row>
    <row r="13" spans="1:6" x14ac:dyDescent="0.25">
      <c r="A13">
        <f>Data!A13</f>
        <v>12</v>
      </c>
      <c r="B13" s="5" t="str" cm="1">
        <f t="array" ref="B13">INDEX(Data!$A$1:$ZZ$51,'Current Chart'!A13 + 1,COUNTA(Data!12:12))</f>
        <v>Guy For That</v>
      </c>
      <c r="C13" s="2">
        <f ca="1">VLOOKUP(B13,Songs!$A:$G,7,0)</f>
        <v>2</v>
      </c>
      <c r="D13">
        <f ca="1">VLOOKUP(A13,Rules!$A:$C,3,1)-C13</f>
        <v>24</v>
      </c>
    </row>
    <row r="14" spans="1:6" x14ac:dyDescent="0.25">
      <c r="A14">
        <f>Data!A14</f>
        <v>13</v>
      </c>
      <c r="B14" s="5" t="str" cm="1">
        <f t="array" ref="B14">INDEX(Data!$A$1:$ZZ$51,'Current Chart'!A14 + 1,COUNTA(Data!13:13))</f>
        <v>I Am Not Okay</v>
      </c>
      <c r="C14" s="2">
        <f ca="1">VLOOKUP(B14,Songs!$A:$G,7,0)</f>
        <v>9</v>
      </c>
      <c r="D14">
        <f ca="1">VLOOKUP(A14,Rules!$A:$C,3,1)-C14</f>
        <v>17</v>
      </c>
    </row>
    <row r="15" spans="1:6" x14ac:dyDescent="0.25">
      <c r="A15">
        <f>Data!A15</f>
        <v>14</v>
      </c>
      <c r="B15" s="5" t="str" cm="1">
        <f t="array" ref="B15">INDEX(Data!$A$1:$ZZ$51,'Current Chart'!A15 + 1,COUNTA(Data!14:14))</f>
        <v>Bulletproof</v>
      </c>
      <c r="C15" s="2">
        <f ca="1">VLOOKUP(B15,Songs!$A:$G,7,0)</f>
        <v>26</v>
      </c>
      <c r="D15">
        <f ca="1">VLOOKUP(A15,Rules!$A:$C,3,1)-C15</f>
        <v>0</v>
      </c>
    </row>
    <row r="16" spans="1:6" x14ac:dyDescent="0.25">
      <c r="A16">
        <f>Data!A16</f>
        <v>15</v>
      </c>
      <c r="B16" s="5" t="str" cm="1">
        <f t="array" ref="B16">INDEX(Data!$A$1:$ZZ$51,'Current Chart'!A16 + 1,COUNTA(Data!15:15))</f>
        <v>You Look Like You Love Me</v>
      </c>
      <c r="C16" s="2">
        <f ca="1">VLOOKUP(B16,Songs!$A:$G,7,0)</f>
        <v>7</v>
      </c>
      <c r="D16">
        <f ca="1">VLOOKUP(A16,Rules!$A:$C,3,1)-C16</f>
        <v>19</v>
      </c>
    </row>
    <row r="17" spans="1:4" x14ac:dyDescent="0.25">
      <c r="A17">
        <f>Data!A17</f>
        <v>16</v>
      </c>
      <c r="B17" s="5" t="str" cm="1">
        <f t="array" ref="B17">INDEX(Data!$A$1:$ZZ$51,'Current Chart'!A17 + 1,COUNTA(Data!16:16))</f>
        <v>Dirt Cheap</v>
      </c>
      <c r="C17" s="2">
        <f ca="1">VLOOKUP(B17,Songs!$A:$G,7,0)</f>
        <v>41</v>
      </c>
      <c r="D17">
        <f ca="1">VLOOKUP(A17,Rules!$A:$C,3,1)-C17</f>
        <v>-15</v>
      </c>
    </row>
    <row r="18" spans="1:4" x14ac:dyDescent="0.25">
      <c r="A18">
        <f>Data!A18</f>
        <v>17</v>
      </c>
      <c r="B18" s="5" t="str" cm="1">
        <f t="array" ref="B18">INDEX(Data!$A$1:$ZZ$51,'Current Chart'!A18 + 1,COUNTA(Data!17:17))</f>
        <v>Whiskey Whiskey</v>
      </c>
      <c r="C18" s="2">
        <f ca="1">VLOOKUP(B18,Songs!$A:$G,7,0)</f>
        <v>8</v>
      </c>
      <c r="D18">
        <f ca="1">VLOOKUP(A18,Rules!$A:$C,3,1)-C18</f>
        <v>18</v>
      </c>
    </row>
    <row r="19" spans="1:4" x14ac:dyDescent="0.25">
      <c r="A19">
        <f>Data!A19</f>
        <v>18</v>
      </c>
      <c r="B19" s="5" t="str" cm="1">
        <f t="array" ref="B19">INDEX(Data!$A$1:$ZZ$51,'Current Chart'!A19 + 1,COUNTA(Data!18:18))</f>
        <v>Lonely Road</v>
      </c>
      <c r="C19" s="2">
        <f ca="1">VLOOKUP(B19,Songs!$A:$G,7,0)</f>
        <v>2</v>
      </c>
      <c r="D19">
        <f ca="1">VLOOKUP(A19,Rules!$A:$C,3,1)-C19</f>
        <v>24</v>
      </c>
    </row>
    <row r="20" spans="1:4" x14ac:dyDescent="0.25">
      <c r="A20">
        <f>Data!A20</f>
        <v>19</v>
      </c>
      <c r="B20" s="5" t="str" cm="1">
        <f t="array" ref="B20">INDEX(Data!$A$1:$ZZ$51,'Current Chart'!A20 + 1,COUNTA(Data!19:19))</f>
        <v>Hang Tight Honey</v>
      </c>
      <c r="C20" s="2">
        <f ca="1">VLOOKUP(B20,Songs!$A:$G,7,0)</f>
        <v>12</v>
      </c>
      <c r="D20">
        <f ca="1">VLOOKUP(A20,Rules!$A:$C,3,1)-C20</f>
        <v>14</v>
      </c>
    </row>
    <row r="21" spans="1:4" x14ac:dyDescent="0.25">
      <c r="A21">
        <f>Data!A21</f>
        <v>20</v>
      </c>
      <c r="B21" s="5" t="str" cm="1">
        <f t="array" ref="B21">INDEX(Data!$A$1:$ZZ$51,'Current Chart'!A21 + 1,COUNTA(Data!20:20))</f>
        <v>Chevrolet</v>
      </c>
      <c r="C21" s="2">
        <f ca="1">VLOOKUP(B21,Songs!$A:$G,7,0)</f>
        <v>22</v>
      </c>
      <c r="D21">
        <f ca="1">VLOOKUP(A21,Rules!$A:$C,3,1)-C21</f>
        <v>4</v>
      </c>
    </row>
    <row r="22" spans="1:4" x14ac:dyDescent="0.25">
      <c r="A22">
        <f>Data!A22</f>
        <v>21</v>
      </c>
      <c r="B22" s="5" t="str" cm="1">
        <f t="array" ref="B22">INDEX(Data!$A$1:$ZZ$51,'Current Chart'!A22 + 1,COUNTA(Data!21:21))</f>
        <v>Wind Up Missin' You</v>
      </c>
      <c r="C22" s="2">
        <f ca="1">VLOOKUP(B22,Songs!$A:$G,7,0)</f>
        <v>19</v>
      </c>
      <c r="D22">
        <f ca="1">VLOOKUP(A22,Rules!$A:$C,3,1)-C22</f>
        <v>7</v>
      </c>
    </row>
    <row r="23" spans="1:4" x14ac:dyDescent="0.25">
      <c r="A23">
        <f>Data!A23</f>
        <v>22</v>
      </c>
      <c r="B23" s="5" t="str" cm="1">
        <f t="array" ref="B23">INDEX(Data!$A$1:$ZZ$51,'Current Chart'!A23 + 1,COUNTA(Data!22:22))</f>
        <v>I Think I'm In Love With You</v>
      </c>
      <c r="C23" s="2">
        <f ca="1">VLOOKUP(B23,Songs!$A:$G,7,0)</f>
        <v>39</v>
      </c>
      <c r="D23">
        <f ca="1">VLOOKUP(A23,Rules!$A:$C,3,1)-C23</f>
        <v>-13</v>
      </c>
    </row>
    <row r="24" spans="1:4" x14ac:dyDescent="0.25">
      <c r="A24">
        <f>Data!A24</f>
        <v>23</v>
      </c>
      <c r="B24" s="5" t="str" cm="1">
        <f t="array" ref="B24">INDEX(Data!$A$1:$ZZ$51,'Current Chart'!A24 + 1,COUNTA(Data!23:23))</f>
        <v>American Nights</v>
      </c>
      <c r="C24" s="2">
        <f ca="1">VLOOKUP(B24,Songs!$A:$G,7,0)</f>
        <v>6</v>
      </c>
      <c r="D24">
        <f ca="1">VLOOKUP(A24,Rules!$A:$C,3,1)-C24</f>
        <v>20</v>
      </c>
    </row>
    <row r="25" spans="1:4" x14ac:dyDescent="0.25">
      <c r="A25">
        <f>Data!A25</f>
        <v>24</v>
      </c>
      <c r="B25" s="5" t="str" cm="1">
        <f t="array" ref="B25">INDEX(Data!$A$1:$ZZ$51,'Current Chart'!A25 + 1,COUNTA(Data!24:24))</f>
        <v>Beautiful As You</v>
      </c>
      <c r="C25" s="2">
        <f ca="1">VLOOKUP(B25,Songs!$A:$G,7,0)</f>
        <v>13</v>
      </c>
      <c r="D25">
        <f ca="1">VLOOKUP(A25,Rules!$A:$C,3,1)-C25</f>
        <v>13</v>
      </c>
    </row>
    <row r="26" spans="1:4" x14ac:dyDescent="0.25">
      <c r="A26">
        <f>Data!A26</f>
        <v>25</v>
      </c>
      <c r="B26" s="5" t="str" cm="1">
        <f t="array" ref="B26">INDEX(Data!$A$1:$ZZ$51,'Current Chart'!A26 + 1,COUNTA(Data!25:25))</f>
        <v>Am I Okay?</v>
      </c>
      <c r="C26" s="2">
        <f ca="1">VLOOKUP(B26,Songs!$A:$G,7,0)</f>
        <v>4</v>
      </c>
      <c r="D26">
        <f ca="1">VLOOKUP(A26,Rules!$A:$C,3,1)-C26</f>
        <v>22</v>
      </c>
    </row>
    <row r="27" spans="1:4" x14ac:dyDescent="0.25">
      <c r="A27">
        <f>Data!A27</f>
        <v>26</v>
      </c>
      <c r="B27" s="5" t="str" cm="1">
        <f t="array" ref="B27">INDEX(Data!$A$1:$ZZ$51,'Current Chart'!A27 + 1,COUNTA(Data!26:26))</f>
        <v>Liar</v>
      </c>
      <c r="C27" s="2">
        <f ca="1">VLOOKUP(B27,Songs!$A:$G,7,0)</f>
        <v>1</v>
      </c>
      <c r="D27">
        <f ca="1">VLOOKUP(A27,Rules!$A:$C,3,1)-C27</f>
        <v>19</v>
      </c>
    </row>
    <row r="28" spans="1:4" x14ac:dyDescent="0.25">
      <c r="A28">
        <f>Data!A28</f>
        <v>27</v>
      </c>
      <c r="B28" s="5" t="str" cm="1">
        <f t="array" ref="B28">INDEX(Data!$A$1:$ZZ$51,'Current Chart'!A28 + 1,COUNTA(Data!27:27))</f>
        <v>Sweet Dreams</v>
      </c>
      <c r="C28" s="2">
        <f ca="1">VLOOKUP(B28,Songs!$A:$G,7,0)</f>
        <v>12</v>
      </c>
      <c r="D28">
        <f ca="1">VLOOKUP(A28,Rules!$A:$C,3,1)-C28</f>
        <v>8</v>
      </c>
    </row>
    <row r="29" spans="1:4" x14ac:dyDescent="0.25">
      <c r="A29">
        <f>Data!A29</f>
        <v>28</v>
      </c>
      <c r="B29" s="5" t="str" cm="1">
        <f t="array" ref="B29">INDEX(Data!$A$1:$ZZ$51,'Current Chart'!A29 + 1,COUNTA(Data!28:28))</f>
        <v>Love You, Miss You, Mean It</v>
      </c>
      <c r="C29" s="2">
        <f ca="1">VLOOKUP(B29,Songs!$A:$G,7,0)</f>
        <v>16</v>
      </c>
      <c r="D29">
        <f ca="1">VLOOKUP(A29,Rules!$A:$C,3,1)-C29</f>
        <v>4</v>
      </c>
    </row>
    <row r="30" spans="1:4" x14ac:dyDescent="0.25">
      <c r="A30">
        <f>Data!A30</f>
        <v>29</v>
      </c>
      <c r="B30" s="5" t="str" cm="1">
        <f t="array" ref="B30">INDEX(Data!$A$1:$ZZ$51,'Current Chart'!A30 + 1,COUNTA(Data!29:29))</f>
        <v>She's Somebody's Daughter (Reimagined)</v>
      </c>
      <c r="C30" s="2">
        <f ca="1">VLOOKUP(B30,Songs!$A:$G,7,0)</f>
        <v>8</v>
      </c>
      <c r="D30">
        <f ca="1">VLOOKUP(A30,Rules!$A:$C,3,1)-C30</f>
        <v>12</v>
      </c>
    </row>
    <row r="31" spans="1:4" x14ac:dyDescent="0.25">
      <c r="A31">
        <f>Data!A31</f>
        <v>30</v>
      </c>
      <c r="B31" s="5" t="str" cm="1">
        <f t="array" ref="B31">INDEX(Data!$A$1:$ZZ$51,'Current Chart'!A31 + 1,COUNTA(Data!30:30))</f>
        <v>Love You Again</v>
      </c>
      <c r="C31" s="2">
        <f ca="1">VLOOKUP(B31,Songs!$A:$G,7,0)</f>
        <v>42</v>
      </c>
      <c r="D31">
        <f ca="1">VLOOKUP(A31,Rules!$A:$C,3,1)-C31</f>
        <v>-22</v>
      </c>
    </row>
    <row r="32" spans="1:4" x14ac:dyDescent="0.25">
      <c r="A32">
        <f>Data!A32</f>
        <v>31</v>
      </c>
      <c r="B32" s="5" t="str" cm="1">
        <f t="array" ref="B32">INDEX(Data!$A$1:$ZZ$51,'Current Chart'!A32 + 1,COUNTA(Data!31:31))</f>
        <v>Holy Smokes</v>
      </c>
      <c r="C32" s="2">
        <f ca="1">VLOOKUP(B32,Songs!$A:$G,7,0)</f>
        <v>24</v>
      </c>
      <c r="D32">
        <f ca="1">VLOOKUP(A32,Rules!$A:$C,3,1)-C32</f>
        <v>-4</v>
      </c>
    </row>
    <row r="33" spans="1:4" x14ac:dyDescent="0.25">
      <c r="A33">
        <f>Data!A33</f>
        <v>32</v>
      </c>
      <c r="B33" s="5" t="str" cm="1">
        <f t="array" ref="B33">INDEX(Data!$A$1:$ZZ$51,'Current Chart'!A33 + 1,COUNTA(Data!32:32))</f>
        <v>Young Love &amp; Saturday Nights</v>
      </c>
      <c r="C33" s="2">
        <f ca="1">VLOOKUP(B33,Songs!$A:$G,7,0)</f>
        <v>19</v>
      </c>
      <c r="D33">
        <f ca="1">VLOOKUP(A33,Rules!$A:$C,3,1)-C33</f>
        <v>1</v>
      </c>
    </row>
    <row r="34" spans="1:4" x14ac:dyDescent="0.25">
      <c r="A34">
        <f>Data!A34</f>
        <v>33</v>
      </c>
      <c r="B34" s="5" t="str" cm="1">
        <f t="array" ref="B34">INDEX(Data!$A$1:$ZZ$51,'Current Chart'!A34 + 1,COUNTA(Data!33:33))</f>
        <v>Devil You Know</v>
      </c>
      <c r="C34" s="2">
        <f ca="1">VLOOKUP(B34,Songs!$A:$G,7,0)</f>
        <v>17</v>
      </c>
      <c r="D34">
        <f ca="1">VLOOKUP(A34,Rules!$A:$C,3,1)-C34</f>
        <v>3</v>
      </c>
    </row>
    <row r="35" spans="1:4" x14ac:dyDescent="0.25">
      <c r="A35">
        <f>Data!A35</f>
        <v>34</v>
      </c>
      <c r="B35" s="5" t="str" cm="1">
        <f t="array" ref="B35">INDEX(Data!$A$1:$ZZ$51,'Current Chart'!A35 + 1,COUNTA(Data!34:34))</f>
        <v>Worst Way</v>
      </c>
      <c r="C35" s="2">
        <f ca="1">VLOOKUP(B35,Songs!$A:$G,7,0)</f>
        <v>16</v>
      </c>
      <c r="D35">
        <f ca="1">VLOOKUP(A35,Rules!$A:$C,3,1)-C35</f>
        <v>4</v>
      </c>
    </row>
    <row r="36" spans="1:4" x14ac:dyDescent="0.25">
      <c r="A36">
        <f>Data!A36</f>
        <v>35</v>
      </c>
      <c r="B36" s="5" t="str" cm="1">
        <f t="array" ref="B36">INDEX(Data!$A$1:$ZZ$51,'Current Chart'!A36 + 1,COUNTA(Data!35:35))</f>
        <v>Nine Ball</v>
      </c>
      <c r="C36" s="2">
        <f ca="1">VLOOKUP(B36,Songs!$A:$G,7,0)</f>
        <v>22</v>
      </c>
      <c r="D36">
        <f ca="1">VLOOKUP(A36,Rules!$A:$C,3,1)-C36</f>
        <v>-2</v>
      </c>
    </row>
    <row r="37" spans="1:4" x14ac:dyDescent="0.25">
      <c r="A37">
        <f>Data!A37</f>
        <v>36</v>
      </c>
      <c r="B37" s="5" t="str" cm="1">
        <f t="array" ref="B37">INDEX(Data!$A$1:$ZZ$51,'Current Chart'!A37 + 1,COUNTA(Data!36:36))</f>
        <v>Wanna Be Loved</v>
      </c>
      <c r="C37" s="2">
        <f ca="1">VLOOKUP(B37,Songs!$A:$G,7,0)</f>
        <v>7</v>
      </c>
      <c r="D37">
        <f ca="1">VLOOKUP(A37,Rules!$A:$C,3,1)-C37</f>
        <v>13</v>
      </c>
    </row>
    <row r="38" spans="1:4" x14ac:dyDescent="0.25">
      <c r="A38">
        <f>Data!A38</f>
        <v>37</v>
      </c>
      <c r="B38" s="5" t="str" cm="1">
        <f t="array" ref="B38">INDEX(Data!$A$1:$ZZ$51,'Current Chart'!A38 + 1,COUNTA(Data!37:37))</f>
        <v>Relapse</v>
      </c>
      <c r="C38" s="2">
        <f ca="1">VLOOKUP(B38,Songs!$A:$G,7,0)</f>
        <v>8</v>
      </c>
      <c r="D38">
        <f ca="1">VLOOKUP(A38,Rules!$A:$C,3,1)-C38</f>
        <v>12</v>
      </c>
    </row>
    <row r="39" spans="1:4" x14ac:dyDescent="0.25">
      <c r="A39">
        <f>Data!A39</f>
        <v>38</v>
      </c>
      <c r="B39" s="5" t="str" cm="1">
        <f t="array" ref="B39">INDEX(Data!$A$1:$ZZ$51,'Current Chart'!A39 + 1,COUNTA(Data!38:38))</f>
        <v>Cowboys Cry Too</v>
      </c>
      <c r="C39" s="2">
        <f ca="1">VLOOKUP(B39,Songs!$A:$G,7,0)</f>
        <v>6</v>
      </c>
      <c r="D39">
        <f ca="1">VLOOKUP(A39,Rules!$A:$C,3,1)-C39</f>
        <v>14</v>
      </c>
    </row>
    <row r="40" spans="1:4" x14ac:dyDescent="0.25">
      <c r="A40">
        <f>Data!A40</f>
        <v>39</v>
      </c>
      <c r="B40" s="5" t="str" cm="1">
        <f t="array" ref="B40">INDEX(Data!$A$1:$ZZ$51,'Current Chart'!A40 + 1,COUNTA(Data!39:39))</f>
        <v>What He'll Never Have</v>
      </c>
      <c r="C40" s="2">
        <f ca="1">VLOOKUP(B40,Songs!$A:$G,7,0)</f>
        <v>17</v>
      </c>
      <c r="D40">
        <f ca="1">VLOOKUP(A40,Rules!$A:$C,3,1)-C40</f>
        <v>3</v>
      </c>
    </row>
    <row r="41" spans="1:4" x14ac:dyDescent="0.25">
      <c r="A41">
        <f>Data!A41</f>
        <v>40</v>
      </c>
      <c r="B41" s="5" t="str" cm="1">
        <f t="array" ref="B41">INDEX(Data!$A$1:$ZZ$51,'Current Chart'!A41 + 1,COUNTA(Data!40:40))</f>
        <v>This Is My Dirt</v>
      </c>
      <c r="C41" s="2">
        <f ca="1">VLOOKUP(B41,Songs!$A:$G,7,0)</f>
        <v>2</v>
      </c>
      <c r="D41">
        <f ca="1">VLOOKUP(A41,Rules!$A:$C,3,1)-C41</f>
        <v>18</v>
      </c>
    </row>
    <row r="42" spans="1:4" x14ac:dyDescent="0.25">
      <c r="A42">
        <f>Data!A42</f>
        <v>41</v>
      </c>
      <c r="B42" s="5" t="str" cm="1">
        <f t="array" ref="B42">INDEX(Data!$A$1:$ZZ$51,'Current Chart'!A42 + 1,COUNTA(Data!41:41))</f>
        <v>Out Of Oklahoma</v>
      </c>
      <c r="C42" s="2">
        <f ca="1">VLOOKUP(B42,Songs!$A:$G,7,0)</f>
        <v>3</v>
      </c>
      <c r="D42">
        <f ca="1">VLOOKUP(A42,Rules!$A:$C,3,1)-C42</f>
        <v>17</v>
      </c>
    </row>
    <row r="43" spans="1:4" x14ac:dyDescent="0.25">
      <c r="A43">
        <f>Data!A43</f>
        <v>42</v>
      </c>
      <c r="B43" s="5" t="str" cm="1">
        <f t="array" ref="B43">INDEX(Data!$A$1:$ZZ$51,'Current Chart'!A43 + 1,COUNTA(Data!42:42))</f>
        <v>Bass Boat</v>
      </c>
      <c r="C43" s="2">
        <f ca="1">VLOOKUP(B43,Songs!$A:$G,7,0)</f>
        <v>5</v>
      </c>
      <c r="D43">
        <f ca="1">VLOOKUP(A43,Rules!$A:$C,3,1)-C43</f>
        <v>15</v>
      </c>
    </row>
    <row r="44" spans="1:4" x14ac:dyDescent="0.25">
      <c r="A44">
        <f>Data!A44</f>
        <v>43</v>
      </c>
      <c r="B44" s="5" t="str" cm="1">
        <f t="array" ref="B44">INDEX(Data!$A$1:$ZZ$51,'Current Chart'!A44 + 1,COUNTA(Data!43:43))</f>
        <v>Remember Him That Way</v>
      </c>
      <c r="C44" s="2">
        <f ca="1">VLOOKUP(B44,Songs!$A:$G,7,0)</f>
        <v>8</v>
      </c>
      <c r="D44">
        <f ca="1">VLOOKUP(A44,Rules!$A:$C,3,1)-C44</f>
        <v>12</v>
      </c>
    </row>
    <row r="45" spans="1:4" x14ac:dyDescent="0.25">
      <c r="A45">
        <f>Data!A45</f>
        <v>44</v>
      </c>
      <c r="B45" s="5" t="str" cm="1">
        <f t="array" ref="B45">INDEX(Data!$A$1:$ZZ$51,'Current Chart'!A45 + 1,COUNTA(Data!44:44))</f>
        <v>Better Days</v>
      </c>
      <c r="C45" s="2">
        <f ca="1">VLOOKUP(B45,Songs!$A:$G,7,0)</f>
        <v>5</v>
      </c>
      <c r="D45">
        <f ca="1">VLOOKUP(A45,Rules!$A:$C,3,1)-C45</f>
        <v>15</v>
      </c>
    </row>
    <row r="46" spans="1:4" x14ac:dyDescent="0.25">
      <c r="A46">
        <f>Data!A46</f>
        <v>45</v>
      </c>
      <c r="B46" s="5" t="str" cm="1">
        <f t="array" ref="B46">INDEX(Data!$A$1:$ZZ$51,'Current Chart'!A46 + 1,COUNTA(Data!45:45))</f>
        <v>Maxed Out</v>
      </c>
      <c r="C46" s="2">
        <f ca="1">VLOOKUP(B46,Songs!$A:$G,7,0)</f>
        <v>6</v>
      </c>
      <c r="D46">
        <f ca="1">VLOOKUP(A46,Rules!$A:$C,3,1)-C46</f>
        <v>14</v>
      </c>
    </row>
    <row r="47" spans="1:4" x14ac:dyDescent="0.25">
      <c r="A47">
        <f>Data!A47</f>
        <v>46</v>
      </c>
      <c r="B47" s="5" t="str" cm="1">
        <f t="array" ref="B47">INDEX(Data!$A$1:$ZZ$51,'Current Chart'!A47 + 1,COUNTA(Data!46:46))</f>
        <v>Oak Island</v>
      </c>
      <c r="C47" s="2">
        <f ca="1">VLOOKUP(B47,Songs!$A:$G,7,0)</f>
        <v>5</v>
      </c>
      <c r="D47">
        <f ca="1">VLOOKUP(A47,Rules!$A:$C,3,1)-C47</f>
        <v>15</v>
      </c>
    </row>
    <row r="48" spans="1:4" x14ac:dyDescent="0.25">
      <c r="A48">
        <f>Data!A48</f>
        <v>47</v>
      </c>
      <c r="B48" s="5" t="str" cm="1">
        <f t="array" ref="B48">INDEX(Data!$A$1:$ZZ$51,'Current Chart'!A48 + 1,COUNTA(Data!47:47))</f>
        <v>Drink Don't Need No Mix</v>
      </c>
      <c r="C48" s="2">
        <f ca="1">VLOOKUP(B48,Songs!$A:$G,7,0)</f>
        <v>2</v>
      </c>
      <c r="D48">
        <f ca="1">VLOOKUP(A48,Rules!$A:$C,3,1)-C48</f>
        <v>18</v>
      </c>
    </row>
    <row r="49" spans="1:4" x14ac:dyDescent="0.25">
      <c r="A49">
        <f>Data!A49</f>
        <v>48</v>
      </c>
      <c r="B49" s="5" t="str" cm="1">
        <f t="array" ref="B49">INDEX(Data!$A$1:$ZZ$51,'Current Chart'!A49 + 1,COUNTA(Data!48:48))</f>
        <v>Sandpaper</v>
      </c>
      <c r="C49" s="2">
        <f ca="1">VLOOKUP(B49,Songs!$A:$G,7,0)</f>
        <v>5</v>
      </c>
      <c r="D49">
        <f ca="1">VLOOKUP(A49,Rules!$A:$C,3,1)-C49</f>
        <v>15</v>
      </c>
    </row>
    <row r="50" spans="1:4" x14ac:dyDescent="0.25">
      <c r="A50">
        <f>Data!A50</f>
        <v>49</v>
      </c>
      <c r="B50" s="5" t="str" cm="1">
        <f t="array" ref="B50">INDEX(Data!$A$1:$ZZ$51,'Current Chart'!A50 + 1,COUNTA(Data!49:49))</f>
        <v>Indifferent</v>
      </c>
      <c r="C50" s="2">
        <f ca="1">VLOOKUP(B50,Songs!$A:$G,7,0)</f>
        <v>13</v>
      </c>
      <c r="D50">
        <f ca="1">VLOOKUP(A50,Rules!$A:$C,3,1)-C50</f>
        <v>7</v>
      </c>
    </row>
    <row r="51" spans="1:4" x14ac:dyDescent="0.25">
      <c r="A51">
        <f>Data!A51</f>
        <v>50</v>
      </c>
      <c r="B51" s="5" t="str" cm="1">
        <f t="array" ref="B51">INDEX(Data!$A$1:$ZZ$51,'Current Chart'!A51 + 1,COUNTA(Data!50:50))</f>
        <v>Just Like Johnny</v>
      </c>
      <c r="C51" s="2">
        <f ca="1">VLOOKUP(B51,Songs!$A:$G,7,0)</f>
        <v>1</v>
      </c>
      <c r="D51">
        <f ca="1">VLOOKUP(A51,Rules!$A:$C,3,1)-C51</f>
        <v>19</v>
      </c>
    </row>
  </sheetData>
  <conditionalFormatting sqref="C2:C5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I177"/>
  <sheetViews>
    <sheetView workbookViewId="0">
      <pane xSplit="1" ySplit="1" topLeftCell="H149" activePane="bottomRight" state="frozen"/>
      <selection pane="topRight" activeCell="B1" sqref="B1"/>
      <selection pane="bottomLeft" activeCell="A2" sqref="A2"/>
      <selection pane="bottomRight" activeCell="C173" sqref="C173"/>
    </sheetView>
  </sheetViews>
  <sheetFormatPr defaultColWidth="12.6640625" defaultRowHeight="15.75" customHeight="1" x14ac:dyDescent="0.25"/>
  <cols>
    <col min="1" max="1" width="32.44140625" bestFit="1" customWidth="1"/>
    <col min="2" max="3" width="19" customWidth="1"/>
    <col min="4" max="4" width="21.44140625" bestFit="1" customWidth="1"/>
    <col min="5" max="5" width="17.5546875" customWidth="1"/>
    <col min="6" max="6" width="19.21875" customWidth="1"/>
    <col min="7" max="7" width="15.21875" bestFit="1" customWidth="1"/>
    <col min="8" max="9" width="18" customWidth="1"/>
    <col min="10" max="10" width="12.109375" bestFit="1" customWidth="1"/>
  </cols>
  <sheetData>
    <row r="1" spans="1:35" ht="13.2" x14ac:dyDescent="0.25">
      <c r="A1" s="3" t="s">
        <v>69</v>
      </c>
      <c r="B1" s="3" t="s">
        <v>71</v>
      </c>
      <c r="C1" s="3" t="s">
        <v>72</v>
      </c>
      <c r="D1" s="3" t="s">
        <v>73</v>
      </c>
      <c r="E1" s="3" t="s">
        <v>194</v>
      </c>
      <c r="F1" s="3" t="s">
        <v>70</v>
      </c>
      <c r="G1" s="3" t="s">
        <v>158</v>
      </c>
      <c r="H1" s="9" t="s">
        <v>239</v>
      </c>
      <c r="I1" s="9" t="s">
        <v>240</v>
      </c>
      <c r="J1" s="9" t="s">
        <v>241</v>
      </c>
      <c r="K1" s="9">
        <f>Data!G1</f>
        <v>45349</v>
      </c>
      <c r="L1" s="9">
        <f>Data!H1</f>
        <v>45356</v>
      </c>
      <c r="M1" s="9">
        <f>Data!I1</f>
        <v>45364</v>
      </c>
      <c r="N1" s="9">
        <f>Data!J1</f>
        <v>45370</v>
      </c>
      <c r="O1" s="9">
        <f>Data!K1</f>
        <v>45377</v>
      </c>
      <c r="P1" s="9">
        <f>Data!L1</f>
        <v>45384</v>
      </c>
      <c r="Q1" s="9">
        <f>Data!M1</f>
        <v>45391</v>
      </c>
      <c r="R1" s="9">
        <f>Data!N1</f>
        <v>45398</v>
      </c>
      <c r="S1" s="9">
        <f>Data!O1</f>
        <v>45408</v>
      </c>
      <c r="T1" s="9">
        <f>Data!P1</f>
        <v>45412</v>
      </c>
      <c r="U1" s="9">
        <f>Data!Q1</f>
        <v>45420</v>
      </c>
      <c r="V1" s="9">
        <f>Data!R1</f>
        <v>45427</v>
      </c>
      <c r="W1" s="9">
        <f>Data!S1</f>
        <v>45433</v>
      </c>
      <c r="X1" s="9">
        <f>Data!T1</f>
        <v>45441</v>
      </c>
      <c r="Y1" s="9">
        <f>Data!U1</f>
        <v>45447</v>
      </c>
      <c r="Z1" s="9">
        <f>Data!V1</f>
        <v>45454</v>
      </c>
      <c r="AA1" s="9">
        <f>Data!W1</f>
        <v>45461</v>
      </c>
      <c r="AB1" s="9">
        <f>Data!X1</f>
        <v>45468</v>
      </c>
      <c r="AC1" s="9">
        <f>Data!Y1</f>
        <v>45475</v>
      </c>
      <c r="AD1" s="9">
        <f>Data!Z1</f>
        <v>45483</v>
      </c>
      <c r="AE1" s="9">
        <f>Data!AA1</f>
        <v>45489</v>
      </c>
      <c r="AF1" s="9">
        <f>Data!AB1</f>
        <v>45496</v>
      </c>
      <c r="AG1" s="9">
        <f>Data!AC1</f>
        <v>45504</v>
      </c>
      <c r="AH1" s="9">
        <f>Data!AD1</f>
        <v>45511</v>
      </c>
      <c r="AI1" s="9">
        <f>Data!AE1</f>
        <v>45517</v>
      </c>
    </row>
    <row r="2" spans="1:35" ht="13.2" x14ac:dyDescent="0.25">
      <c r="A2" s="2" t="s">
        <v>0</v>
      </c>
      <c r="B2" s="2" t="s">
        <v>74</v>
      </c>
      <c r="C2" s="2"/>
      <c r="D2" s="2" t="s">
        <v>75</v>
      </c>
      <c r="E2" s="2"/>
      <c r="F2" s="2">
        <v>21</v>
      </c>
      <c r="G2" s="2">
        <f ca="1">COUNTIF(INDIRECT(_xlfn.CONCAT("Data!$B$2:", ADDRESS(51,COUNTA(Data!$1:$1)+1,1,1))), Songs!A2) + F2</f>
        <v>48</v>
      </c>
      <c r="H2" s="8"/>
      <c r="I2" s="8"/>
      <c r="J2" s="8" cm="1">
        <f t="array" ref="J2">51 - MAX(IF(NOT(ISNA(K2:BB2)),K2:BB2))</f>
        <v>2</v>
      </c>
      <c r="K2">
        <f>_xlfn.IFNA(51-MATCH(Songs!$A2,Data!G$2:G$51,0),NA())</f>
        <v>49</v>
      </c>
      <c r="L2">
        <f>_xlfn.IFNA(51-MATCH(Songs!$A2,Data!H$2:H$51,0),NA())</f>
        <v>49</v>
      </c>
      <c r="M2">
        <f>_xlfn.IFNA(51-MATCH(Songs!$A2,Data!I$2:I$51,0),NA())</f>
        <v>49</v>
      </c>
      <c r="N2">
        <f>_xlfn.IFNA(51-MATCH(Songs!$A2,Data!J$2:J$51,0),NA())</f>
        <v>49</v>
      </c>
      <c r="O2">
        <f>_xlfn.IFNA(51-MATCH(Songs!$A2,Data!K$2:K$51,0),NA())</f>
        <v>49</v>
      </c>
      <c r="P2">
        <f>_xlfn.IFNA(51-MATCH(Songs!$A2,Data!L$2:L$51,0),NA())</f>
        <v>49</v>
      </c>
      <c r="Q2">
        <f>_xlfn.IFNA(51-MATCH(Songs!$A2,Data!M$2:M$51,0),NA())</f>
        <v>47</v>
      </c>
      <c r="R2">
        <f>_xlfn.IFNA(51-MATCH(Songs!$A2,Data!N$2:N$51,0),NA())</f>
        <v>49</v>
      </c>
      <c r="S2">
        <f>_xlfn.IFNA(51-MATCH(Songs!$A2,Data!O$2:O$51,0),NA())</f>
        <v>49</v>
      </c>
      <c r="T2">
        <f>_xlfn.IFNA(51-MATCH(Songs!$A2,Data!P$2:P$51,0),NA())</f>
        <v>48</v>
      </c>
      <c r="U2">
        <f>_xlfn.IFNA(51-MATCH(Songs!$A2,Data!Q$2:Q$51,0),NA())</f>
        <v>49</v>
      </c>
      <c r="V2">
        <f>_xlfn.IFNA(51-MATCH(Songs!$A2,Data!R$2:R$51,0),NA())</f>
        <v>49</v>
      </c>
      <c r="W2">
        <f>_xlfn.IFNA(51-MATCH(Songs!$A2,Data!S$2:S$51,0),NA())</f>
        <v>48</v>
      </c>
      <c r="X2">
        <f>_xlfn.IFNA(51-MATCH(Songs!$A2,Data!T$2:T$51,0),NA())</f>
        <v>48</v>
      </c>
      <c r="Y2">
        <f>_xlfn.IFNA(51-MATCH(Songs!$A2,Data!U$2:U$51,0),NA())</f>
        <v>47</v>
      </c>
      <c r="Z2">
        <f>_xlfn.IFNA(51-MATCH(Songs!$A2,Data!V$2:V$51,0),NA())</f>
        <v>45</v>
      </c>
      <c r="AA2">
        <f>_xlfn.IFNA(51-MATCH(Songs!$A2,Data!W$2:W$51,0),NA())</f>
        <v>45</v>
      </c>
      <c r="AB2">
        <f>_xlfn.IFNA(51-MATCH(Songs!$A2,Data!X$2:X$51,0),NA())</f>
        <v>44</v>
      </c>
      <c r="AC2">
        <f>_xlfn.IFNA(51-MATCH(Songs!$A2,Data!Y$2:Y$51,0),NA())</f>
        <v>44</v>
      </c>
      <c r="AD2">
        <f>_xlfn.IFNA(51-MATCH(Songs!$A2,Data!Z$2:Z$51,0),NA())</f>
        <v>45</v>
      </c>
      <c r="AE2">
        <f>_xlfn.IFNA(51-MATCH(Songs!$A2,Data!AA$2:AA$51,0),NA())</f>
        <v>42</v>
      </c>
      <c r="AF2">
        <f>_xlfn.IFNA(51-MATCH(Songs!$A2,Data!AB$2:AB$51,0),NA())</f>
        <v>41</v>
      </c>
      <c r="AG2" t="e">
        <f>_xlfn.IFNA(51-MATCH(Songs!$A2,Data!AC$2:AC$51,0),NA())</f>
        <v>#N/A</v>
      </c>
      <c r="AH2" t="e">
        <f>_xlfn.IFNA(51-MATCH(Songs!$A2,Data!AD$2:AD$51,0),NA())</f>
        <v>#N/A</v>
      </c>
      <c r="AI2" t="e">
        <f>_xlfn.IFNA(51-MATCH(Songs!$A2,Data!AE$2:AE$51,0),NA())</f>
        <v>#N/A</v>
      </c>
    </row>
    <row r="3" spans="1:35" ht="13.2" x14ac:dyDescent="0.25">
      <c r="A3" s="2" t="s">
        <v>2</v>
      </c>
      <c r="B3" s="2" t="s">
        <v>76</v>
      </c>
      <c r="C3" s="2"/>
      <c r="F3" s="2">
        <v>51</v>
      </c>
      <c r="G3" s="2">
        <f ca="1">COUNTIF(INDIRECT(_xlfn.CONCAT("Data!$B$2:", ADDRESS(51,COUNTA(Data!$1:$1)+1,1,1))), Songs!A3) + F3</f>
        <v>62</v>
      </c>
      <c r="H3" s="8"/>
      <c r="I3" s="8"/>
      <c r="J3" s="8" cm="1">
        <f t="array" ref="J3">51 - MAX(IF(NOT(ISNA(K3:BB3)),K3:BB3))</f>
        <v>3</v>
      </c>
      <c r="K3">
        <f>_xlfn.IFNA(51-MATCH(Songs!$A3,Data!G$2:G$51,0),NA())</f>
        <v>47</v>
      </c>
      <c r="L3">
        <f>_xlfn.IFNA(51-MATCH(Songs!$A3,Data!H$2:H$51,0),NA())</f>
        <v>47</v>
      </c>
      <c r="M3">
        <f>_xlfn.IFNA(51-MATCH(Songs!$A3,Data!I$2:I$51,0),NA())</f>
        <v>47</v>
      </c>
      <c r="N3">
        <f>_xlfn.IFNA(51-MATCH(Songs!$A3,Data!J$2:J$51,0),NA())</f>
        <v>48</v>
      </c>
      <c r="O3">
        <f>_xlfn.IFNA(51-MATCH(Songs!$A3,Data!K$2:K$51,0),NA())</f>
        <v>48</v>
      </c>
      <c r="P3">
        <f>_xlfn.IFNA(51-MATCH(Songs!$A3,Data!L$2:L$51,0),NA())</f>
        <v>47</v>
      </c>
      <c r="Q3" t="e">
        <f>_xlfn.IFNA(51-MATCH(Songs!$A3,Data!M$2:M$51,0),NA())</f>
        <v>#N/A</v>
      </c>
      <c r="R3" t="e">
        <f>_xlfn.IFNA(51-MATCH(Songs!$A3,Data!N$2:N$51,0),NA())</f>
        <v>#N/A</v>
      </c>
      <c r="S3" t="e">
        <f>_xlfn.IFNA(51-MATCH(Songs!$A3,Data!O$2:O$51,0),NA())</f>
        <v>#N/A</v>
      </c>
      <c r="T3" t="e">
        <f>_xlfn.IFNA(51-MATCH(Songs!$A3,Data!P$2:P$51,0),NA())</f>
        <v>#N/A</v>
      </c>
      <c r="U3" t="e">
        <f>_xlfn.IFNA(51-MATCH(Songs!$A3,Data!Q$2:Q$51,0),NA())</f>
        <v>#N/A</v>
      </c>
      <c r="V3" t="e">
        <f>_xlfn.IFNA(51-MATCH(Songs!$A3,Data!R$2:R$51,0),NA())</f>
        <v>#N/A</v>
      </c>
      <c r="W3" t="e">
        <f>_xlfn.IFNA(51-MATCH(Songs!$A3,Data!S$2:S$51,0),NA())</f>
        <v>#N/A</v>
      </c>
      <c r="X3" t="e">
        <f>_xlfn.IFNA(51-MATCH(Songs!$A3,Data!T$2:T$51,0),NA())</f>
        <v>#N/A</v>
      </c>
      <c r="Y3" t="e">
        <f>_xlfn.IFNA(51-MATCH(Songs!$A3,Data!U$2:U$51,0),NA())</f>
        <v>#N/A</v>
      </c>
      <c r="Z3" t="e">
        <f>_xlfn.IFNA(51-MATCH(Songs!$A3,Data!V$2:V$51,0),NA())</f>
        <v>#N/A</v>
      </c>
      <c r="AA3" t="e">
        <f>_xlfn.IFNA(51-MATCH(Songs!$A3,Data!W$2:W$51,0),NA())</f>
        <v>#N/A</v>
      </c>
      <c r="AB3" t="e">
        <f>_xlfn.IFNA(51-MATCH(Songs!$A3,Data!X$2:X$51,0),NA())</f>
        <v>#N/A</v>
      </c>
      <c r="AC3" t="e">
        <f>_xlfn.IFNA(51-MATCH(Songs!$A3,Data!Y$2:Y$51,0),NA())</f>
        <v>#N/A</v>
      </c>
      <c r="AD3" t="e">
        <f>_xlfn.IFNA(51-MATCH(Songs!$A3,Data!Z$2:Z$51,0),NA())</f>
        <v>#N/A</v>
      </c>
      <c r="AE3" t="e">
        <f>_xlfn.IFNA(51-MATCH(Songs!$A3,Data!AA$2:AA$51,0),NA())</f>
        <v>#N/A</v>
      </c>
      <c r="AF3" t="e">
        <f>_xlfn.IFNA(51-MATCH(Songs!$A3,Data!AB$2:AB$51,0),NA())</f>
        <v>#N/A</v>
      </c>
      <c r="AG3" t="e">
        <f>_xlfn.IFNA(51-MATCH(Songs!$A3,Data!AC$2:AC$51,0),NA())</f>
        <v>#N/A</v>
      </c>
      <c r="AH3" t="e">
        <f>_xlfn.IFNA(51-MATCH(Songs!$A3,Data!AD$2:AD$51,0),NA())</f>
        <v>#N/A</v>
      </c>
      <c r="AI3" t="e">
        <f>_xlfn.IFNA(51-MATCH(Songs!$A3,Data!AE$2:AE$51,0),NA())</f>
        <v>#N/A</v>
      </c>
    </row>
    <row r="4" spans="1:35" ht="13.2" x14ac:dyDescent="0.25">
      <c r="A4" s="2" t="s">
        <v>4</v>
      </c>
      <c r="B4" s="2" t="s">
        <v>76</v>
      </c>
      <c r="C4" s="2"/>
      <c r="F4" s="2">
        <v>46</v>
      </c>
      <c r="G4" s="2">
        <f ca="1">COUNTIF(INDIRECT(_xlfn.CONCAT("Data!$B$2:", ADDRESS(51,COUNTA(Data!$1:$1)+1,1,1))), Songs!A4) + F4</f>
        <v>57</v>
      </c>
      <c r="H4" s="8"/>
      <c r="I4" s="8"/>
      <c r="J4" s="8" cm="1">
        <f t="array" ref="J4">51 - MAX(IF(NOT(ISNA(K4:BB4)),K4:BB4))</f>
        <v>5</v>
      </c>
      <c r="K4">
        <f>_xlfn.IFNA(51-MATCH(Songs!$A4,Data!G$2:G$51,0),NA())</f>
        <v>46</v>
      </c>
      <c r="L4">
        <f>_xlfn.IFNA(51-MATCH(Songs!$A4,Data!H$2:H$51,0),NA())</f>
        <v>46</v>
      </c>
      <c r="M4">
        <f>_xlfn.IFNA(51-MATCH(Songs!$A4,Data!I$2:I$51,0),NA())</f>
        <v>46</v>
      </c>
      <c r="N4">
        <f>_xlfn.IFNA(51-MATCH(Songs!$A4,Data!J$2:J$51,0),NA())</f>
        <v>46</v>
      </c>
      <c r="O4">
        <f>_xlfn.IFNA(51-MATCH(Songs!$A4,Data!K$2:K$51,0),NA())</f>
        <v>46</v>
      </c>
      <c r="P4">
        <f>_xlfn.IFNA(51-MATCH(Songs!$A4,Data!L$2:L$51,0),NA())</f>
        <v>46</v>
      </c>
      <c r="Q4" t="e">
        <f>_xlfn.IFNA(51-MATCH(Songs!$A4,Data!M$2:M$51,0),NA())</f>
        <v>#N/A</v>
      </c>
      <c r="R4" t="e">
        <f>_xlfn.IFNA(51-MATCH(Songs!$A4,Data!N$2:N$51,0),NA())</f>
        <v>#N/A</v>
      </c>
      <c r="S4" t="e">
        <f>_xlfn.IFNA(51-MATCH(Songs!$A4,Data!O$2:O$51,0),NA())</f>
        <v>#N/A</v>
      </c>
      <c r="T4" t="e">
        <f>_xlfn.IFNA(51-MATCH(Songs!$A4,Data!P$2:P$51,0),NA())</f>
        <v>#N/A</v>
      </c>
      <c r="U4" t="e">
        <f>_xlfn.IFNA(51-MATCH(Songs!$A4,Data!Q$2:Q$51,0),NA())</f>
        <v>#N/A</v>
      </c>
      <c r="V4" t="e">
        <f>_xlfn.IFNA(51-MATCH(Songs!$A4,Data!R$2:R$51,0),NA())</f>
        <v>#N/A</v>
      </c>
      <c r="W4" t="e">
        <f>_xlfn.IFNA(51-MATCH(Songs!$A4,Data!S$2:S$51,0),NA())</f>
        <v>#N/A</v>
      </c>
      <c r="X4" t="e">
        <f>_xlfn.IFNA(51-MATCH(Songs!$A4,Data!T$2:T$51,0),NA())</f>
        <v>#N/A</v>
      </c>
      <c r="Y4" t="e">
        <f>_xlfn.IFNA(51-MATCH(Songs!$A4,Data!U$2:U$51,0),NA())</f>
        <v>#N/A</v>
      </c>
      <c r="Z4" t="e">
        <f>_xlfn.IFNA(51-MATCH(Songs!$A4,Data!V$2:V$51,0),NA())</f>
        <v>#N/A</v>
      </c>
      <c r="AA4" t="e">
        <f>_xlfn.IFNA(51-MATCH(Songs!$A4,Data!W$2:W$51,0),NA())</f>
        <v>#N/A</v>
      </c>
      <c r="AB4" t="e">
        <f>_xlfn.IFNA(51-MATCH(Songs!$A4,Data!X$2:X$51,0),NA())</f>
        <v>#N/A</v>
      </c>
      <c r="AC4" t="e">
        <f>_xlfn.IFNA(51-MATCH(Songs!$A4,Data!Y$2:Y$51,0),NA())</f>
        <v>#N/A</v>
      </c>
      <c r="AD4" t="e">
        <f>_xlfn.IFNA(51-MATCH(Songs!$A4,Data!Z$2:Z$51,0),NA())</f>
        <v>#N/A</v>
      </c>
      <c r="AE4" t="e">
        <f>_xlfn.IFNA(51-MATCH(Songs!$A4,Data!AA$2:AA$51,0),NA())</f>
        <v>#N/A</v>
      </c>
      <c r="AF4" t="e">
        <f>_xlfn.IFNA(51-MATCH(Songs!$A4,Data!AB$2:AB$51,0),NA())</f>
        <v>#N/A</v>
      </c>
      <c r="AG4" t="e">
        <f>_xlfn.IFNA(51-MATCH(Songs!$A4,Data!AC$2:AC$51,0),NA())</f>
        <v>#N/A</v>
      </c>
      <c r="AH4" t="e">
        <f>_xlfn.IFNA(51-MATCH(Songs!$A4,Data!AD$2:AD$51,0),NA())</f>
        <v>#N/A</v>
      </c>
      <c r="AI4" t="e">
        <f>_xlfn.IFNA(51-MATCH(Songs!$A4,Data!AE$2:AE$51,0),NA())</f>
        <v>#N/A</v>
      </c>
    </row>
    <row r="5" spans="1:35" ht="13.2" x14ac:dyDescent="0.25">
      <c r="A5" s="2" t="s">
        <v>3</v>
      </c>
      <c r="B5" s="2" t="s">
        <v>77</v>
      </c>
      <c r="C5" s="2"/>
      <c r="F5" s="2">
        <v>43</v>
      </c>
      <c r="G5" s="2">
        <f ca="1">COUNTIF(INDIRECT(_xlfn.CONCAT("Data!$B$2:", ADDRESS(51,COUNTA(Data!$1:$1)+1,1,1))), Songs!A5) + F5</f>
        <v>54</v>
      </c>
      <c r="H5" s="8"/>
      <c r="I5" s="8"/>
      <c r="J5" s="8" cm="1">
        <f t="array" ref="J5">51 - MAX(IF(NOT(ISNA(K5:BB5)),K5:BB5))</f>
        <v>3</v>
      </c>
      <c r="K5">
        <f>_xlfn.IFNA(51-MATCH(Songs!$A5,Data!G$2:G$51,0),NA())</f>
        <v>48</v>
      </c>
      <c r="L5">
        <f>_xlfn.IFNA(51-MATCH(Songs!$A5,Data!H$2:H$51,0),NA())</f>
        <v>48</v>
      </c>
      <c r="M5">
        <f>_xlfn.IFNA(51-MATCH(Songs!$A5,Data!I$2:I$51,0),NA())</f>
        <v>48</v>
      </c>
      <c r="N5">
        <f>_xlfn.IFNA(51-MATCH(Songs!$A5,Data!J$2:J$51,0),NA())</f>
        <v>47</v>
      </c>
      <c r="O5">
        <f>_xlfn.IFNA(51-MATCH(Songs!$A5,Data!K$2:K$51,0),NA())</f>
        <v>47</v>
      </c>
      <c r="P5">
        <f>_xlfn.IFNA(51-MATCH(Songs!$A5,Data!L$2:L$51,0),NA())</f>
        <v>48</v>
      </c>
      <c r="Q5" t="e">
        <f>_xlfn.IFNA(51-MATCH(Songs!$A5,Data!M$2:M$51,0),NA())</f>
        <v>#N/A</v>
      </c>
      <c r="R5" t="e">
        <f>_xlfn.IFNA(51-MATCH(Songs!$A5,Data!N$2:N$51,0),NA())</f>
        <v>#N/A</v>
      </c>
      <c r="S5" t="e">
        <f>_xlfn.IFNA(51-MATCH(Songs!$A5,Data!O$2:O$51,0),NA())</f>
        <v>#N/A</v>
      </c>
      <c r="T5" t="e">
        <f>_xlfn.IFNA(51-MATCH(Songs!$A5,Data!P$2:P$51,0),NA())</f>
        <v>#N/A</v>
      </c>
      <c r="U5" t="e">
        <f>_xlfn.IFNA(51-MATCH(Songs!$A5,Data!Q$2:Q$51,0),NA())</f>
        <v>#N/A</v>
      </c>
      <c r="V5" t="e">
        <f>_xlfn.IFNA(51-MATCH(Songs!$A5,Data!R$2:R$51,0),NA())</f>
        <v>#N/A</v>
      </c>
      <c r="W5" t="e">
        <f>_xlfn.IFNA(51-MATCH(Songs!$A5,Data!S$2:S$51,0),NA())</f>
        <v>#N/A</v>
      </c>
      <c r="X5" t="e">
        <f>_xlfn.IFNA(51-MATCH(Songs!$A5,Data!T$2:T$51,0),NA())</f>
        <v>#N/A</v>
      </c>
      <c r="Y5" t="e">
        <f>_xlfn.IFNA(51-MATCH(Songs!$A5,Data!U$2:U$51,0),NA())</f>
        <v>#N/A</v>
      </c>
      <c r="Z5" t="e">
        <f>_xlfn.IFNA(51-MATCH(Songs!$A5,Data!V$2:V$51,0),NA())</f>
        <v>#N/A</v>
      </c>
      <c r="AA5" t="e">
        <f>_xlfn.IFNA(51-MATCH(Songs!$A5,Data!W$2:W$51,0),NA())</f>
        <v>#N/A</v>
      </c>
      <c r="AB5" t="e">
        <f>_xlfn.IFNA(51-MATCH(Songs!$A5,Data!X$2:X$51,0),NA())</f>
        <v>#N/A</v>
      </c>
      <c r="AC5" t="e">
        <f>_xlfn.IFNA(51-MATCH(Songs!$A5,Data!Y$2:Y$51,0),NA())</f>
        <v>#N/A</v>
      </c>
      <c r="AD5" t="e">
        <f>_xlfn.IFNA(51-MATCH(Songs!$A5,Data!Z$2:Z$51,0),NA())</f>
        <v>#N/A</v>
      </c>
      <c r="AE5" t="e">
        <f>_xlfn.IFNA(51-MATCH(Songs!$A5,Data!AA$2:AA$51,0),NA())</f>
        <v>#N/A</v>
      </c>
      <c r="AF5" t="e">
        <f>_xlfn.IFNA(51-MATCH(Songs!$A5,Data!AB$2:AB$51,0),NA())</f>
        <v>#N/A</v>
      </c>
      <c r="AG5" t="e">
        <f>_xlfn.IFNA(51-MATCH(Songs!$A5,Data!AC$2:AC$51,0),NA())</f>
        <v>#N/A</v>
      </c>
      <c r="AH5" t="e">
        <f>_xlfn.IFNA(51-MATCH(Songs!$A5,Data!AD$2:AD$51,0),NA())</f>
        <v>#N/A</v>
      </c>
      <c r="AI5" t="e">
        <f>_xlfn.IFNA(51-MATCH(Songs!$A5,Data!AE$2:AE$51,0),NA())</f>
        <v>#N/A</v>
      </c>
    </row>
    <row r="6" spans="1:35" ht="13.2" x14ac:dyDescent="0.25">
      <c r="A6" s="2" t="s">
        <v>5</v>
      </c>
      <c r="B6" s="2" t="s">
        <v>78</v>
      </c>
      <c r="C6" s="2"/>
      <c r="F6" s="2">
        <v>26</v>
      </c>
      <c r="G6" s="2">
        <f ca="1">COUNTIF(INDIRECT(_xlfn.CONCAT("Data!$B$2:", ADDRESS(51,COUNTA(Data!$1:$1)+1,1,1))), Songs!A6) + F6</f>
        <v>30</v>
      </c>
      <c r="H6" s="8"/>
      <c r="I6" s="8"/>
      <c r="J6" s="8" cm="1">
        <f t="array" ref="J6">51 - MAX(IF(NOT(ISNA(K6:BB6)),K6:BB6))</f>
        <v>51</v>
      </c>
      <c r="K6" t="e">
        <f>_xlfn.IFNA(51-MATCH(Songs!$A6,Data!G$2:G$51,0),NA())</f>
        <v>#N/A</v>
      </c>
      <c r="L6" t="e">
        <f>_xlfn.IFNA(51-MATCH(Songs!$A6,Data!H$2:H$51,0),NA())</f>
        <v>#N/A</v>
      </c>
      <c r="M6" t="e">
        <f>_xlfn.IFNA(51-MATCH(Songs!$A6,Data!I$2:I$51,0),NA())</f>
        <v>#N/A</v>
      </c>
      <c r="N6" t="e">
        <f>_xlfn.IFNA(51-MATCH(Songs!$A6,Data!J$2:J$51,0),NA())</f>
        <v>#N/A</v>
      </c>
      <c r="O6" t="e">
        <f>_xlfn.IFNA(51-MATCH(Songs!$A6,Data!K$2:K$51,0),NA())</f>
        <v>#N/A</v>
      </c>
      <c r="P6" t="e">
        <f>_xlfn.IFNA(51-MATCH(Songs!$A6,Data!L$2:L$51,0),NA())</f>
        <v>#N/A</v>
      </c>
      <c r="Q6" t="e">
        <f>_xlfn.IFNA(51-MATCH(Songs!$A6,Data!M$2:M$51,0),NA())</f>
        <v>#N/A</v>
      </c>
      <c r="R6" t="e">
        <f>_xlfn.IFNA(51-MATCH(Songs!$A6,Data!N$2:N$51,0),NA())</f>
        <v>#N/A</v>
      </c>
      <c r="S6" t="e">
        <f>_xlfn.IFNA(51-MATCH(Songs!$A6,Data!O$2:O$51,0),NA())</f>
        <v>#N/A</v>
      </c>
      <c r="T6" t="e">
        <f>_xlfn.IFNA(51-MATCH(Songs!$A6,Data!P$2:P$51,0),NA())</f>
        <v>#N/A</v>
      </c>
      <c r="U6" t="e">
        <f>_xlfn.IFNA(51-MATCH(Songs!$A6,Data!Q$2:Q$51,0),NA())</f>
        <v>#N/A</v>
      </c>
      <c r="V6" t="e">
        <f>_xlfn.IFNA(51-MATCH(Songs!$A6,Data!R$2:R$51,0),NA())</f>
        <v>#N/A</v>
      </c>
      <c r="W6" t="e">
        <f>_xlfn.IFNA(51-MATCH(Songs!$A6,Data!S$2:S$51,0),NA())</f>
        <v>#N/A</v>
      </c>
      <c r="X6" t="e">
        <f>_xlfn.IFNA(51-MATCH(Songs!$A6,Data!T$2:T$51,0),NA())</f>
        <v>#N/A</v>
      </c>
      <c r="Y6" t="e">
        <f>_xlfn.IFNA(51-MATCH(Songs!$A6,Data!U$2:U$51,0),NA())</f>
        <v>#N/A</v>
      </c>
      <c r="Z6" t="e">
        <f>_xlfn.IFNA(51-MATCH(Songs!$A6,Data!V$2:V$51,0),NA())</f>
        <v>#N/A</v>
      </c>
      <c r="AA6" t="e">
        <f>_xlfn.IFNA(51-MATCH(Songs!$A6,Data!W$2:W$51,0),NA())</f>
        <v>#N/A</v>
      </c>
      <c r="AB6" t="e">
        <f>_xlfn.IFNA(51-MATCH(Songs!$A6,Data!X$2:X$51,0),NA())</f>
        <v>#N/A</v>
      </c>
      <c r="AC6" t="e">
        <f>_xlfn.IFNA(51-MATCH(Songs!$A6,Data!Y$2:Y$51,0),NA())</f>
        <v>#N/A</v>
      </c>
      <c r="AD6" t="e">
        <f>_xlfn.IFNA(51-MATCH(Songs!$A6,Data!Z$2:Z$51,0),NA())</f>
        <v>#N/A</v>
      </c>
      <c r="AE6" t="e">
        <f>_xlfn.IFNA(51-MATCH(Songs!$A6,Data!AA$2:AA$51,0),NA())</f>
        <v>#N/A</v>
      </c>
      <c r="AF6" t="e">
        <f>_xlfn.IFNA(51-MATCH(Songs!$A6,Data!AB$2:AB$51,0),NA())</f>
        <v>#N/A</v>
      </c>
      <c r="AG6" t="e">
        <f>_xlfn.IFNA(51-MATCH(Songs!$A6,Data!AC$2:AC$51,0),NA())</f>
        <v>#N/A</v>
      </c>
      <c r="AH6" t="e">
        <f>_xlfn.IFNA(51-MATCH(Songs!$A6,Data!AD$2:AD$51,0),NA())</f>
        <v>#N/A</v>
      </c>
      <c r="AI6" t="e">
        <f>_xlfn.IFNA(51-MATCH(Songs!$A6,Data!AE$2:AE$51,0),NA())</f>
        <v>#N/A</v>
      </c>
    </row>
    <row r="7" spans="1:35" ht="13.2" x14ac:dyDescent="0.25">
      <c r="A7" s="2" t="s">
        <v>8</v>
      </c>
      <c r="B7" s="2" t="s">
        <v>79</v>
      </c>
      <c r="C7" s="2"/>
      <c r="F7" s="2">
        <v>32</v>
      </c>
      <c r="G7" s="2">
        <f ca="1">COUNTIF(INDIRECT(_xlfn.CONCAT("Data!$B$2:", ADDRESS(51,COUNTA(Data!$1:$1)+1,1,1))), Songs!A7) + F7</f>
        <v>37</v>
      </c>
      <c r="H7" s="8"/>
      <c r="I7" s="8"/>
      <c r="J7" s="8" cm="1">
        <f t="array" ref="J7">51 - MAX(IF(NOT(ISNA(K7:BB7)),K7:BB7))</f>
        <v>51</v>
      </c>
      <c r="K7" t="e">
        <f>_xlfn.IFNA(51-MATCH(Songs!$A7,Data!G$2:G$51,0),NA())</f>
        <v>#N/A</v>
      </c>
      <c r="L7" t="e">
        <f>_xlfn.IFNA(51-MATCH(Songs!$A7,Data!H$2:H$51,0),NA())</f>
        <v>#N/A</v>
      </c>
      <c r="M7" t="e">
        <f>_xlfn.IFNA(51-MATCH(Songs!$A7,Data!I$2:I$51,0),NA())</f>
        <v>#N/A</v>
      </c>
      <c r="N7" t="e">
        <f>_xlfn.IFNA(51-MATCH(Songs!$A7,Data!J$2:J$51,0),NA())</f>
        <v>#N/A</v>
      </c>
      <c r="O7" t="e">
        <f>_xlfn.IFNA(51-MATCH(Songs!$A7,Data!K$2:K$51,0),NA())</f>
        <v>#N/A</v>
      </c>
      <c r="P7" t="e">
        <f>_xlfn.IFNA(51-MATCH(Songs!$A7,Data!L$2:L$51,0),NA())</f>
        <v>#N/A</v>
      </c>
      <c r="Q7" t="e">
        <f>_xlfn.IFNA(51-MATCH(Songs!$A7,Data!M$2:M$51,0),NA())</f>
        <v>#N/A</v>
      </c>
      <c r="R7" t="e">
        <f>_xlfn.IFNA(51-MATCH(Songs!$A7,Data!N$2:N$51,0),NA())</f>
        <v>#N/A</v>
      </c>
      <c r="S7" t="e">
        <f>_xlfn.IFNA(51-MATCH(Songs!$A7,Data!O$2:O$51,0),NA())</f>
        <v>#N/A</v>
      </c>
      <c r="T7" t="e">
        <f>_xlfn.IFNA(51-MATCH(Songs!$A7,Data!P$2:P$51,0),NA())</f>
        <v>#N/A</v>
      </c>
      <c r="U7" t="e">
        <f>_xlfn.IFNA(51-MATCH(Songs!$A7,Data!Q$2:Q$51,0),NA())</f>
        <v>#N/A</v>
      </c>
      <c r="V7" t="e">
        <f>_xlfn.IFNA(51-MATCH(Songs!$A7,Data!R$2:R$51,0),NA())</f>
        <v>#N/A</v>
      </c>
      <c r="W7" t="e">
        <f>_xlfn.IFNA(51-MATCH(Songs!$A7,Data!S$2:S$51,0),NA())</f>
        <v>#N/A</v>
      </c>
      <c r="X7" t="e">
        <f>_xlfn.IFNA(51-MATCH(Songs!$A7,Data!T$2:T$51,0),NA())</f>
        <v>#N/A</v>
      </c>
      <c r="Y7" t="e">
        <f>_xlfn.IFNA(51-MATCH(Songs!$A7,Data!U$2:U$51,0),NA())</f>
        <v>#N/A</v>
      </c>
      <c r="Z7" t="e">
        <f>_xlfn.IFNA(51-MATCH(Songs!$A7,Data!V$2:V$51,0),NA())</f>
        <v>#N/A</v>
      </c>
      <c r="AA7" t="e">
        <f>_xlfn.IFNA(51-MATCH(Songs!$A7,Data!W$2:W$51,0),NA())</f>
        <v>#N/A</v>
      </c>
      <c r="AB7" t="e">
        <f>_xlfn.IFNA(51-MATCH(Songs!$A7,Data!X$2:X$51,0),NA())</f>
        <v>#N/A</v>
      </c>
      <c r="AC7" t="e">
        <f>_xlfn.IFNA(51-MATCH(Songs!$A7,Data!Y$2:Y$51,0),NA())</f>
        <v>#N/A</v>
      </c>
      <c r="AD7" t="e">
        <f>_xlfn.IFNA(51-MATCH(Songs!$A7,Data!Z$2:Z$51,0),NA())</f>
        <v>#N/A</v>
      </c>
      <c r="AE7" t="e">
        <f>_xlfn.IFNA(51-MATCH(Songs!$A7,Data!AA$2:AA$51,0),NA())</f>
        <v>#N/A</v>
      </c>
      <c r="AF7" t="e">
        <f>_xlfn.IFNA(51-MATCH(Songs!$A7,Data!AB$2:AB$51,0),NA())</f>
        <v>#N/A</v>
      </c>
      <c r="AG7" t="e">
        <f>_xlfn.IFNA(51-MATCH(Songs!$A7,Data!AC$2:AC$51,0),NA())</f>
        <v>#N/A</v>
      </c>
      <c r="AH7" t="e">
        <f>_xlfn.IFNA(51-MATCH(Songs!$A7,Data!AD$2:AD$51,0),NA())</f>
        <v>#N/A</v>
      </c>
      <c r="AI7" t="e">
        <f>_xlfn.IFNA(51-MATCH(Songs!$A7,Data!AE$2:AE$51,0),NA())</f>
        <v>#N/A</v>
      </c>
    </row>
    <row r="8" spans="1:35" ht="13.2" x14ac:dyDescent="0.25">
      <c r="A8" s="2" t="s">
        <v>10</v>
      </c>
      <c r="B8" s="2" t="s">
        <v>80</v>
      </c>
      <c r="C8" s="2"/>
      <c r="F8" s="2">
        <v>51</v>
      </c>
      <c r="G8" s="2">
        <f ca="1">COUNTIF(INDIRECT(_xlfn.CONCAT("Data!$B$2:", ADDRESS(51,COUNTA(Data!$1:$1)+1,1,1))), Songs!A8) + F8</f>
        <v>53</v>
      </c>
      <c r="H8" s="8"/>
      <c r="I8" s="8"/>
      <c r="J8" s="8" cm="1">
        <f t="array" ref="J8">51 - MAX(IF(NOT(ISNA(K8:BB8)),K8:BB8))</f>
        <v>51</v>
      </c>
      <c r="K8" t="e">
        <f>_xlfn.IFNA(51-MATCH(Songs!$A8,Data!G$2:G$51,0),NA())</f>
        <v>#N/A</v>
      </c>
      <c r="L8" t="e">
        <f>_xlfn.IFNA(51-MATCH(Songs!$A8,Data!H$2:H$51,0),NA())</f>
        <v>#N/A</v>
      </c>
      <c r="M8" t="e">
        <f>_xlfn.IFNA(51-MATCH(Songs!$A8,Data!I$2:I$51,0),NA())</f>
        <v>#N/A</v>
      </c>
      <c r="N8" t="e">
        <f>_xlfn.IFNA(51-MATCH(Songs!$A8,Data!J$2:J$51,0),NA())</f>
        <v>#N/A</v>
      </c>
      <c r="O8" t="e">
        <f>_xlfn.IFNA(51-MATCH(Songs!$A8,Data!K$2:K$51,0),NA())</f>
        <v>#N/A</v>
      </c>
      <c r="P8" t="e">
        <f>_xlfn.IFNA(51-MATCH(Songs!$A8,Data!L$2:L$51,0),NA())</f>
        <v>#N/A</v>
      </c>
      <c r="Q8" t="e">
        <f>_xlfn.IFNA(51-MATCH(Songs!$A8,Data!M$2:M$51,0),NA())</f>
        <v>#N/A</v>
      </c>
      <c r="R8" t="e">
        <f>_xlfn.IFNA(51-MATCH(Songs!$A8,Data!N$2:N$51,0),NA())</f>
        <v>#N/A</v>
      </c>
      <c r="S8" t="e">
        <f>_xlfn.IFNA(51-MATCH(Songs!$A8,Data!O$2:O$51,0),NA())</f>
        <v>#N/A</v>
      </c>
      <c r="T8" t="e">
        <f>_xlfn.IFNA(51-MATCH(Songs!$A8,Data!P$2:P$51,0),NA())</f>
        <v>#N/A</v>
      </c>
      <c r="U8" t="e">
        <f>_xlfn.IFNA(51-MATCH(Songs!$A8,Data!Q$2:Q$51,0),NA())</f>
        <v>#N/A</v>
      </c>
      <c r="V8" t="e">
        <f>_xlfn.IFNA(51-MATCH(Songs!$A8,Data!R$2:R$51,0),NA())</f>
        <v>#N/A</v>
      </c>
      <c r="W8" t="e">
        <f>_xlfn.IFNA(51-MATCH(Songs!$A8,Data!S$2:S$51,0),NA())</f>
        <v>#N/A</v>
      </c>
      <c r="X8" t="e">
        <f>_xlfn.IFNA(51-MATCH(Songs!$A8,Data!T$2:T$51,0),NA())</f>
        <v>#N/A</v>
      </c>
      <c r="Y8" t="e">
        <f>_xlfn.IFNA(51-MATCH(Songs!$A8,Data!U$2:U$51,0),NA())</f>
        <v>#N/A</v>
      </c>
      <c r="Z8" t="e">
        <f>_xlfn.IFNA(51-MATCH(Songs!$A8,Data!V$2:V$51,0),NA())</f>
        <v>#N/A</v>
      </c>
      <c r="AA8" t="e">
        <f>_xlfn.IFNA(51-MATCH(Songs!$A8,Data!W$2:W$51,0),NA())</f>
        <v>#N/A</v>
      </c>
      <c r="AB8" t="e">
        <f>_xlfn.IFNA(51-MATCH(Songs!$A8,Data!X$2:X$51,0),NA())</f>
        <v>#N/A</v>
      </c>
      <c r="AC8" t="e">
        <f>_xlfn.IFNA(51-MATCH(Songs!$A8,Data!Y$2:Y$51,0),NA())</f>
        <v>#N/A</v>
      </c>
      <c r="AD8" t="e">
        <f>_xlfn.IFNA(51-MATCH(Songs!$A8,Data!Z$2:Z$51,0),NA())</f>
        <v>#N/A</v>
      </c>
      <c r="AE8" t="e">
        <f>_xlfn.IFNA(51-MATCH(Songs!$A8,Data!AA$2:AA$51,0),NA())</f>
        <v>#N/A</v>
      </c>
      <c r="AF8" t="e">
        <f>_xlfn.IFNA(51-MATCH(Songs!$A8,Data!AB$2:AB$51,0),NA())</f>
        <v>#N/A</v>
      </c>
      <c r="AG8" t="e">
        <f>_xlfn.IFNA(51-MATCH(Songs!$A8,Data!AC$2:AC$51,0),NA())</f>
        <v>#N/A</v>
      </c>
      <c r="AH8" t="e">
        <f>_xlfn.IFNA(51-MATCH(Songs!$A8,Data!AD$2:AD$51,0),NA())</f>
        <v>#N/A</v>
      </c>
      <c r="AI8" t="e">
        <f>_xlfn.IFNA(51-MATCH(Songs!$A8,Data!AE$2:AE$51,0),NA())</f>
        <v>#N/A</v>
      </c>
    </row>
    <row r="9" spans="1:35" ht="13.2" x14ac:dyDescent="0.25">
      <c r="A9" s="2" t="s">
        <v>7</v>
      </c>
      <c r="B9" s="2" t="s">
        <v>81</v>
      </c>
      <c r="C9" s="2"/>
      <c r="F9" s="2">
        <v>32</v>
      </c>
      <c r="G9" s="2">
        <f ca="1">COUNTIF(INDIRECT(_xlfn.CONCAT("Data!$B$2:", ADDRESS(51,COUNTA(Data!$1:$1)+1,1,1))), Songs!A9) + F9</f>
        <v>42</v>
      </c>
      <c r="H9" s="8"/>
      <c r="I9" s="8"/>
      <c r="J9" s="8" cm="1">
        <f t="array" ref="J9">51 - MAX(IF(NOT(ISNA(K9:BB9)),K9:BB9))</f>
        <v>6</v>
      </c>
      <c r="K9">
        <f>_xlfn.IFNA(51-MATCH(Songs!$A9,Data!G$2:G$51,0),NA())</f>
        <v>45</v>
      </c>
      <c r="L9">
        <f>_xlfn.IFNA(51-MATCH(Songs!$A9,Data!H$2:H$51,0),NA())</f>
        <v>45</v>
      </c>
      <c r="M9">
        <f>_xlfn.IFNA(51-MATCH(Songs!$A9,Data!I$2:I$51,0),NA())</f>
        <v>45</v>
      </c>
      <c r="N9">
        <f>_xlfn.IFNA(51-MATCH(Songs!$A9,Data!J$2:J$51,0),NA())</f>
        <v>44</v>
      </c>
      <c r="O9">
        <f>_xlfn.IFNA(51-MATCH(Songs!$A9,Data!K$2:K$51,0),NA())</f>
        <v>42</v>
      </c>
      <c r="P9" t="e">
        <f>_xlfn.IFNA(51-MATCH(Songs!$A9,Data!L$2:L$51,0),NA())</f>
        <v>#N/A</v>
      </c>
      <c r="Q9" t="e">
        <f>_xlfn.IFNA(51-MATCH(Songs!$A9,Data!M$2:M$51,0),NA())</f>
        <v>#N/A</v>
      </c>
      <c r="R9" t="e">
        <f>_xlfn.IFNA(51-MATCH(Songs!$A9,Data!N$2:N$51,0),NA())</f>
        <v>#N/A</v>
      </c>
      <c r="S9" t="e">
        <f>_xlfn.IFNA(51-MATCH(Songs!$A9,Data!O$2:O$51,0),NA())</f>
        <v>#N/A</v>
      </c>
      <c r="T9" t="e">
        <f>_xlfn.IFNA(51-MATCH(Songs!$A9,Data!P$2:P$51,0),NA())</f>
        <v>#N/A</v>
      </c>
      <c r="U9" t="e">
        <f>_xlfn.IFNA(51-MATCH(Songs!$A9,Data!Q$2:Q$51,0),NA())</f>
        <v>#N/A</v>
      </c>
      <c r="V9" t="e">
        <f>_xlfn.IFNA(51-MATCH(Songs!$A9,Data!R$2:R$51,0),NA())</f>
        <v>#N/A</v>
      </c>
      <c r="W9" t="e">
        <f>_xlfn.IFNA(51-MATCH(Songs!$A9,Data!S$2:S$51,0),NA())</f>
        <v>#N/A</v>
      </c>
      <c r="X9" t="e">
        <f>_xlfn.IFNA(51-MATCH(Songs!$A9,Data!T$2:T$51,0),NA())</f>
        <v>#N/A</v>
      </c>
      <c r="Y9" t="e">
        <f>_xlfn.IFNA(51-MATCH(Songs!$A9,Data!U$2:U$51,0),NA())</f>
        <v>#N/A</v>
      </c>
      <c r="Z9" t="e">
        <f>_xlfn.IFNA(51-MATCH(Songs!$A9,Data!V$2:V$51,0),NA())</f>
        <v>#N/A</v>
      </c>
      <c r="AA9" t="e">
        <f>_xlfn.IFNA(51-MATCH(Songs!$A9,Data!W$2:W$51,0),NA())</f>
        <v>#N/A</v>
      </c>
      <c r="AB9" t="e">
        <f>_xlfn.IFNA(51-MATCH(Songs!$A9,Data!X$2:X$51,0),NA())</f>
        <v>#N/A</v>
      </c>
      <c r="AC9" t="e">
        <f>_xlfn.IFNA(51-MATCH(Songs!$A9,Data!Y$2:Y$51,0),NA())</f>
        <v>#N/A</v>
      </c>
      <c r="AD9" t="e">
        <f>_xlfn.IFNA(51-MATCH(Songs!$A9,Data!Z$2:Z$51,0),NA())</f>
        <v>#N/A</v>
      </c>
      <c r="AE9" t="e">
        <f>_xlfn.IFNA(51-MATCH(Songs!$A9,Data!AA$2:AA$51,0),NA())</f>
        <v>#N/A</v>
      </c>
      <c r="AF9" t="e">
        <f>_xlfn.IFNA(51-MATCH(Songs!$A9,Data!AB$2:AB$51,0),NA())</f>
        <v>#N/A</v>
      </c>
      <c r="AG9" t="e">
        <f>_xlfn.IFNA(51-MATCH(Songs!$A9,Data!AC$2:AC$51,0),NA())</f>
        <v>#N/A</v>
      </c>
      <c r="AH9" t="e">
        <f>_xlfn.IFNA(51-MATCH(Songs!$A9,Data!AD$2:AD$51,0),NA())</f>
        <v>#N/A</v>
      </c>
      <c r="AI9" t="e">
        <f>_xlfn.IFNA(51-MATCH(Songs!$A9,Data!AE$2:AE$51,0),NA())</f>
        <v>#N/A</v>
      </c>
    </row>
    <row r="10" spans="1:35" ht="13.2" x14ac:dyDescent="0.25">
      <c r="A10" s="2" t="s">
        <v>12</v>
      </c>
      <c r="B10" s="2" t="s">
        <v>80</v>
      </c>
      <c r="C10" s="2" t="s">
        <v>201</v>
      </c>
      <c r="F10" s="2">
        <v>34</v>
      </c>
      <c r="G10" s="2">
        <f ca="1">COUNTIF(INDIRECT(_xlfn.CONCAT("Data!$B$2:", ADDRESS(51,COUNTA(Data!$1:$1)+1,1,1))), Songs!A10) + F10</f>
        <v>35</v>
      </c>
      <c r="H10" s="8"/>
      <c r="I10" s="8"/>
      <c r="J10" s="8" cm="1">
        <f t="array" ref="J10">51 - MAX(IF(NOT(ISNA(K10:BB10)),K10:BB10))</f>
        <v>51</v>
      </c>
      <c r="K10" t="e">
        <f>_xlfn.IFNA(51-MATCH(Songs!$A10,Data!G$2:G$51,0),NA())</f>
        <v>#N/A</v>
      </c>
      <c r="L10" t="e">
        <f>_xlfn.IFNA(51-MATCH(Songs!$A10,Data!H$2:H$51,0),NA())</f>
        <v>#N/A</v>
      </c>
      <c r="M10" t="e">
        <f>_xlfn.IFNA(51-MATCH(Songs!$A10,Data!I$2:I$51,0),NA())</f>
        <v>#N/A</v>
      </c>
      <c r="N10" t="e">
        <f>_xlfn.IFNA(51-MATCH(Songs!$A10,Data!J$2:J$51,0),NA())</f>
        <v>#N/A</v>
      </c>
      <c r="O10" t="e">
        <f>_xlfn.IFNA(51-MATCH(Songs!$A10,Data!K$2:K$51,0),NA())</f>
        <v>#N/A</v>
      </c>
      <c r="P10" t="e">
        <f>_xlfn.IFNA(51-MATCH(Songs!$A10,Data!L$2:L$51,0),NA())</f>
        <v>#N/A</v>
      </c>
      <c r="Q10" t="e">
        <f>_xlfn.IFNA(51-MATCH(Songs!$A10,Data!M$2:M$51,0),NA())</f>
        <v>#N/A</v>
      </c>
      <c r="R10" t="e">
        <f>_xlfn.IFNA(51-MATCH(Songs!$A10,Data!N$2:N$51,0),NA())</f>
        <v>#N/A</v>
      </c>
      <c r="S10" t="e">
        <f>_xlfn.IFNA(51-MATCH(Songs!$A10,Data!O$2:O$51,0),NA())</f>
        <v>#N/A</v>
      </c>
      <c r="T10" t="e">
        <f>_xlfn.IFNA(51-MATCH(Songs!$A10,Data!P$2:P$51,0),NA())</f>
        <v>#N/A</v>
      </c>
      <c r="U10" t="e">
        <f>_xlfn.IFNA(51-MATCH(Songs!$A10,Data!Q$2:Q$51,0),NA())</f>
        <v>#N/A</v>
      </c>
      <c r="V10" t="e">
        <f>_xlfn.IFNA(51-MATCH(Songs!$A10,Data!R$2:R$51,0),NA())</f>
        <v>#N/A</v>
      </c>
      <c r="W10" t="e">
        <f>_xlfn.IFNA(51-MATCH(Songs!$A10,Data!S$2:S$51,0),NA())</f>
        <v>#N/A</v>
      </c>
      <c r="X10" t="e">
        <f>_xlfn.IFNA(51-MATCH(Songs!$A10,Data!T$2:T$51,0),NA())</f>
        <v>#N/A</v>
      </c>
      <c r="Y10" t="e">
        <f>_xlfn.IFNA(51-MATCH(Songs!$A10,Data!U$2:U$51,0),NA())</f>
        <v>#N/A</v>
      </c>
      <c r="Z10" t="e">
        <f>_xlfn.IFNA(51-MATCH(Songs!$A10,Data!V$2:V$51,0),NA())</f>
        <v>#N/A</v>
      </c>
      <c r="AA10" t="e">
        <f>_xlfn.IFNA(51-MATCH(Songs!$A10,Data!W$2:W$51,0),NA())</f>
        <v>#N/A</v>
      </c>
      <c r="AB10" t="e">
        <f>_xlfn.IFNA(51-MATCH(Songs!$A10,Data!X$2:X$51,0),NA())</f>
        <v>#N/A</v>
      </c>
      <c r="AC10" t="e">
        <f>_xlfn.IFNA(51-MATCH(Songs!$A10,Data!Y$2:Y$51,0),NA())</f>
        <v>#N/A</v>
      </c>
      <c r="AD10" t="e">
        <f>_xlfn.IFNA(51-MATCH(Songs!$A10,Data!Z$2:Z$51,0),NA())</f>
        <v>#N/A</v>
      </c>
      <c r="AE10" t="e">
        <f>_xlfn.IFNA(51-MATCH(Songs!$A10,Data!AA$2:AA$51,0),NA())</f>
        <v>#N/A</v>
      </c>
      <c r="AF10" t="e">
        <f>_xlfn.IFNA(51-MATCH(Songs!$A10,Data!AB$2:AB$51,0),NA())</f>
        <v>#N/A</v>
      </c>
      <c r="AG10" t="e">
        <f>_xlfn.IFNA(51-MATCH(Songs!$A10,Data!AC$2:AC$51,0),NA())</f>
        <v>#N/A</v>
      </c>
      <c r="AH10" t="e">
        <f>_xlfn.IFNA(51-MATCH(Songs!$A10,Data!AD$2:AD$51,0),NA())</f>
        <v>#N/A</v>
      </c>
      <c r="AI10" t="e">
        <f>_xlfn.IFNA(51-MATCH(Songs!$A10,Data!AE$2:AE$51,0),NA())</f>
        <v>#N/A</v>
      </c>
    </row>
    <row r="11" spans="1:35" ht="13.2" x14ac:dyDescent="0.25">
      <c r="A11" s="2" t="s">
        <v>13</v>
      </c>
      <c r="B11" s="2" t="s">
        <v>82</v>
      </c>
      <c r="C11" s="2" t="s">
        <v>202</v>
      </c>
      <c r="F11" s="2">
        <v>15</v>
      </c>
      <c r="G11" s="2">
        <f ca="1">COUNTIF(INDIRECT(_xlfn.CONCAT("Data!$B$2:", ADDRESS(51,COUNTA(Data!$1:$1)+1,1,1))), Songs!A11) + F11</f>
        <v>38</v>
      </c>
      <c r="H11" s="8"/>
      <c r="I11" s="8"/>
      <c r="J11" s="8" cm="1">
        <f t="array" ref="J11">51 - MAX(IF(NOT(ISNA(K11:BB11)),K11:BB11))</f>
        <v>7</v>
      </c>
      <c r="K11">
        <f>_xlfn.IFNA(51-MATCH(Songs!$A11,Data!G$2:G$51,0),NA())</f>
        <v>41</v>
      </c>
      <c r="L11">
        <f>_xlfn.IFNA(51-MATCH(Songs!$A11,Data!H$2:H$51,0),NA())</f>
        <v>41</v>
      </c>
      <c r="M11">
        <f>_xlfn.IFNA(51-MATCH(Songs!$A11,Data!I$2:I$51,0),NA())</f>
        <v>41</v>
      </c>
      <c r="N11">
        <f>_xlfn.IFNA(51-MATCH(Songs!$A11,Data!J$2:J$51,0),NA())</f>
        <v>43</v>
      </c>
      <c r="O11">
        <f>_xlfn.IFNA(51-MATCH(Songs!$A11,Data!K$2:K$51,0),NA())</f>
        <v>43</v>
      </c>
      <c r="P11">
        <f>_xlfn.IFNA(51-MATCH(Songs!$A11,Data!L$2:L$51,0),NA())</f>
        <v>39</v>
      </c>
      <c r="Q11">
        <f>_xlfn.IFNA(51-MATCH(Songs!$A11,Data!M$2:M$51,0),NA())</f>
        <v>32</v>
      </c>
      <c r="R11">
        <f>_xlfn.IFNA(51-MATCH(Songs!$A11,Data!N$2:N$51,0),NA())</f>
        <v>42</v>
      </c>
      <c r="S11">
        <f>_xlfn.IFNA(51-MATCH(Songs!$A11,Data!O$2:O$51,0),NA())</f>
        <v>43</v>
      </c>
      <c r="T11">
        <f>_xlfn.IFNA(51-MATCH(Songs!$A11,Data!P$2:P$51,0),NA())</f>
        <v>44</v>
      </c>
      <c r="U11">
        <f>_xlfn.IFNA(51-MATCH(Songs!$A11,Data!Q$2:Q$51,0),NA())</f>
        <v>42</v>
      </c>
      <c r="V11">
        <f>_xlfn.IFNA(51-MATCH(Songs!$A11,Data!R$2:R$51,0),NA())</f>
        <v>42</v>
      </c>
      <c r="W11">
        <f>_xlfn.IFNA(51-MATCH(Songs!$A11,Data!S$2:S$51,0),NA())</f>
        <v>41</v>
      </c>
      <c r="X11">
        <f>_xlfn.IFNA(51-MATCH(Songs!$A11,Data!T$2:T$51,0),NA())</f>
        <v>38</v>
      </c>
      <c r="Y11">
        <f>_xlfn.IFNA(51-MATCH(Songs!$A11,Data!U$2:U$51,0),NA())</f>
        <v>37</v>
      </c>
      <c r="Z11">
        <f>_xlfn.IFNA(51-MATCH(Songs!$A11,Data!V$2:V$51,0),NA())</f>
        <v>36</v>
      </c>
      <c r="AA11">
        <f>_xlfn.IFNA(51-MATCH(Songs!$A11,Data!W$2:W$51,0),NA())</f>
        <v>37</v>
      </c>
      <c r="AB11">
        <f>_xlfn.IFNA(51-MATCH(Songs!$A11,Data!X$2:X$51,0),NA())</f>
        <v>34</v>
      </c>
      <c r="AC11" t="e">
        <f>_xlfn.IFNA(51-MATCH(Songs!$A11,Data!Y$2:Y$51,0),NA())</f>
        <v>#N/A</v>
      </c>
      <c r="AD11" t="e">
        <f>_xlfn.IFNA(51-MATCH(Songs!$A11,Data!Z$2:Z$51,0),NA())</f>
        <v>#N/A</v>
      </c>
      <c r="AE11" t="e">
        <f>_xlfn.IFNA(51-MATCH(Songs!$A11,Data!AA$2:AA$51,0),NA())</f>
        <v>#N/A</v>
      </c>
      <c r="AF11" t="e">
        <f>_xlfn.IFNA(51-MATCH(Songs!$A11,Data!AB$2:AB$51,0),NA())</f>
        <v>#N/A</v>
      </c>
      <c r="AG11" t="e">
        <f>_xlfn.IFNA(51-MATCH(Songs!$A11,Data!AC$2:AC$51,0),NA())</f>
        <v>#N/A</v>
      </c>
      <c r="AH11" t="e">
        <f>_xlfn.IFNA(51-MATCH(Songs!$A11,Data!AD$2:AD$51,0),NA())</f>
        <v>#N/A</v>
      </c>
      <c r="AI11" t="e">
        <f>_xlfn.IFNA(51-MATCH(Songs!$A11,Data!AE$2:AE$51,0),NA())</f>
        <v>#N/A</v>
      </c>
    </row>
    <row r="12" spans="1:35" ht="13.2" x14ac:dyDescent="0.25">
      <c r="A12" s="2" t="s">
        <v>16</v>
      </c>
      <c r="B12" s="2" t="s">
        <v>83</v>
      </c>
      <c r="F12" s="2">
        <v>42</v>
      </c>
      <c r="G12" s="2">
        <f ca="1">COUNTIF(INDIRECT(_xlfn.CONCAT("Data!$B$2:", ADDRESS(51,COUNTA(Data!$1:$1)+1,1,1))), Songs!A12) + F12</f>
        <v>53</v>
      </c>
      <c r="H12" s="8"/>
      <c r="I12" s="8"/>
      <c r="J12" s="8" cm="1">
        <f t="array" ref="J12">51 - MAX(IF(NOT(ISNA(K12:BB12)),K12:BB12))</f>
        <v>6</v>
      </c>
      <c r="K12">
        <f>_xlfn.IFNA(51-MATCH(Songs!$A12,Data!G$2:G$51,0),NA())</f>
        <v>42</v>
      </c>
      <c r="L12">
        <f>_xlfn.IFNA(51-MATCH(Songs!$A12,Data!H$2:H$51,0),NA())</f>
        <v>42</v>
      </c>
      <c r="M12">
        <f>_xlfn.IFNA(51-MATCH(Songs!$A12,Data!I$2:I$51,0),NA())</f>
        <v>43</v>
      </c>
      <c r="N12">
        <f>_xlfn.IFNA(51-MATCH(Songs!$A12,Data!J$2:J$51,0),NA())</f>
        <v>45</v>
      </c>
      <c r="O12">
        <f>_xlfn.IFNA(51-MATCH(Songs!$A12,Data!K$2:K$51,0),NA())</f>
        <v>45</v>
      </c>
      <c r="P12">
        <f>_xlfn.IFNA(51-MATCH(Songs!$A12,Data!L$2:L$51,0),NA())</f>
        <v>44</v>
      </c>
      <c r="Q12" t="e">
        <f>_xlfn.IFNA(51-MATCH(Songs!$A12,Data!M$2:M$51,0),NA())</f>
        <v>#N/A</v>
      </c>
      <c r="R12" t="e">
        <f>_xlfn.IFNA(51-MATCH(Songs!$A12,Data!N$2:N$51,0),NA())</f>
        <v>#N/A</v>
      </c>
      <c r="S12" t="e">
        <f>_xlfn.IFNA(51-MATCH(Songs!$A12,Data!O$2:O$51,0),NA())</f>
        <v>#N/A</v>
      </c>
      <c r="T12" t="e">
        <f>_xlfn.IFNA(51-MATCH(Songs!$A12,Data!P$2:P$51,0),NA())</f>
        <v>#N/A</v>
      </c>
      <c r="U12" t="e">
        <f>_xlfn.IFNA(51-MATCH(Songs!$A12,Data!Q$2:Q$51,0),NA())</f>
        <v>#N/A</v>
      </c>
      <c r="V12" t="e">
        <f>_xlfn.IFNA(51-MATCH(Songs!$A12,Data!R$2:R$51,0),NA())</f>
        <v>#N/A</v>
      </c>
      <c r="W12" t="e">
        <f>_xlfn.IFNA(51-MATCH(Songs!$A12,Data!S$2:S$51,0),NA())</f>
        <v>#N/A</v>
      </c>
      <c r="X12" t="e">
        <f>_xlfn.IFNA(51-MATCH(Songs!$A12,Data!T$2:T$51,0),NA())</f>
        <v>#N/A</v>
      </c>
      <c r="Y12" t="e">
        <f>_xlfn.IFNA(51-MATCH(Songs!$A12,Data!U$2:U$51,0),NA())</f>
        <v>#N/A</v>
      </c>
      <c r="Z12" t="e">
        <f>_xlfn.IFNA(51-MATCH(Songs!$A12,Data!V$2:V$51,0),NA())</f>
        <v>#N/A</v>
      </c>
      <c r="AA12" t="e">
        <f>_xlfn.IFNA(51-MATCH(Songs!$A12,Data!W$2:W$51,0),NA())</f>
        <v>#N/A</v>
      </c>
      <c r="AB12" t="e">
        <f>_xlfn.IFNA(51-MATCH(Songs!$A12,Data!X$2:X$51,0),NA())</f>
        <v>#N/A</v>
      </c>
      <c r="AC12" t="e">
        <f>_xlfn.IFNA(51-MATCH(Songs!$A12,Data!Y$2:Y$51,0),NA())</f>
        <v>#N/A</v>
      </c>
      <c r="AD12" t="e">
        <f>_xlfn.IFNA(51-MATCH(Songs!$A12,Data!Z$2:Z$51,0),NA())</f>
        <v>#N/A</v>
      </c>
      <c r="AE12" t="e">
        <f>_xlfn.IFNA(51-MATCH(Songs!$A12,Data!AA$2:AA$51,0),NA())</f>
        <v>#N/A</v>
      </c>
      <c r="AF12" t="e">
        <f>_xlfn.IFNA(51-MATCH(Songs!$A12,Data!AB$2:AB$51,0),NA())</f>
        <v>#N/A</v>
      </c>
      <c r="AG12" t="e">
        <f>_xlfn.IFNA(51-MATCH(Songs!$A12,Data!AC$2:AC$51,0),NA())</f>
        <v>#N/A</v>
      </c>
      <c r="AH12" t="e">
        <f>_xlfn.IFNA(51-MATCH(Songs!$A12,Data!AD$2:AD$51,0),NA())</f>
        <v>#N/A</v>
      </c>
      <c r="AI12" t="e">
        <f>_xlfn.IFNA(51-MATCH(Songs!$A12,Data!AE$2:AE$51,0),NA())</f>
        <v>#N/A</v>
      </c>
    </row>
    <row r="13" spans="1:35" ht="13.2" x14ac:dyDescent="0.25">
      <c r="A13" s="2" t="s">
        <v>9</v>
      </c>
      <c r="B13" s="2" t="s">
        <v>77</v>
      </c>
      <c r="F13" s="2">
        <v>13</v>
      </c>
      <c r="G13" s="2">
        <f ca="1">COUNTIF(INDIRECT(_xlfn.CONCAT("Data!$B$2:", ADDRESS(51,COUNTA(Data!$1:$1)+1,1,1))), Songs!A13) + F13</f>
        <v>32</v>
      </c>
      <c r="H13" s="8"/>
      <c r="I13" s="8"/>
      <c r="J13" s="8" cm="1">
        <f t="array" ref="J13">51 - MAX(IF(NOT(ISNA(K13:BB13)),K13:BB13))</f>
        <v>4</v>
      </c>
      <c r="K13">
        <f>_xlfn.IFNA(51-MATCH(Songs!$A13,Data!G$2:G$51,0),NA())</f>
        <v>44</v>
      </c>
      <c r="L13">
        <f>_xlfn.IFNA(51-MATCH(Songs!$A13,Data!H$2:H$51,0),NA())</f>
        <v>43</v>
      </c>
      <c r="M13">
        <f>_xlfn.IFNA(51-MATCH(Songs!$A13,Data!I$2:I$51,0),NA())</f>
        <v>44</v>
      </c>
      <c r="N13">
        <f>_xlfn.IFNA(51-MATCH(Songs!$A13,Data!J$2:J$51,0),NA())</f>
        <v>42</v>
      </c>
      <c r="O13">
        <f>_xlfn.IFNA(51-MATCH(Songs!$A13,Data!K$2:K$51,0),NA())</f>
        <v>41</v>
      </c>
      <c r="P13">
        <f>_xlfn.IFNA(51-MATCH(Songs!$A13,Data!L$2:L$51,0),NA())</f>
        <v>42</v>
      </c>
      <c r="Q13">
        <f>_xlfn.IFNA(51-MATCH(Songs!$A13,Data!M$2:M$51,0),NA())</f>
        <v>38</v>
      </c>
      <c r="R13">
        <f>_xlfn.IFNA(51-MATCH(Songs!$A13,Data!N$2:N$51,0),NA())</f>
        <v>45</v>
      </c>
      <c r="S13">
        <f>_xlfn.IFNA(51-MATCH(Songs!$A13,Data!O$2:O$51,0),NA())</f>
        <v>47</v>
      </c>
      <c r="T13">
        <f>_xlfn.IFNA(51-MATCH(Songs!$A13,Data!P$2:P$51,0),NA())</f>
        <v>46</v>
      </c>
      <c r="U13">
        <f>_xlfn.IFNA(51-MATCH(Songs!$A13,Data!Q$2:Q$51,0),NA())</f>
        <v>47</v>
      </c>
      <c r="V13">
        <f>_xlfn.IFNA(51-MATCH(Songs!$A13,Data!R$2:R$51,0),NA())</f>
        <v>44</v>
      </c>
      <c r="W13">
        <f>_xlfn.IFNA(51-MATCH(Songs!$A13,Data!S$2:S$51,0),NA())</f>
        <v>43</v>
      </c>
      <c r="X13">
        <f>_xlfn.IFNA(51-MATCH(Songs!$A13,Data!T$2:T$51,0),NA())</f>
        <v>42</v>
      </c>
      <c r="Y13" t="e">
        <f>_xlfn.IFNA(51-MATCH(Songs!$A13,Data!U$2:U$51,0),NA())</f>
        <v>#N/A</v>
      </c>
      <c r="Z13" t="e">
        <f>_xlfn.IFNA(51-MATCH(Songs!$A13,Data!V$2:V$51,0),NA())</f>
        <v>#N/A</v>
      </c>
      <c r="AA13" t="e">
        <f>_xlfn.IFNA(51-MATCH(Songs!$A13,Data!W$2:W$51,0),NA())</f>
        <v>#N/A</v>
      </c>
      <c r="AB13" t="e">
        <f>_xlfn.IFNA(51-MATCH(Songs!$A13,Data!X$2:X$51,0),NA())</f>
        <v>#N/A</v>
      </c>
      <c r="AC13" t="e">
        <f>_xlfn.IFNA(51-MATCH(Songs!$A13,Data!Y$2:Y$51,0),NA())</f>
        <v>#N/A</v>
      </c>
      <c r="AD13" t="e">
        <f>_xlfn.IFNA(51-MATCH(Songs!$A13,Data!Z$2:Z$51,0),NA())</f>
        <v>#N/A</v>
      </c>
      <c r="AE13" t="e">
        <f>_xlfn.IFNA(51-MATCH(Songs!$A13,Data!AA$2:AA$51,0),NA())</f>
        <v>#N/A</v>
      </c>
      <c r="AF13" t="e">
        <f>_xlfn.IFNA(51-MATCH(Songs!$A13,Data!AB$2:AB$51,0),NA())</f>
        <v>#N/A</v>
      </c>
      <c r="AG13" t="e">
        <f>_xlfn.IFNA(51-MATCH(Songs!$A13,Data!AC$2:AC$51,0),NA())</f>
        <v>#N/A</v>
      </c>
      <c r="AH13" t="e">
        <f>_xlfn.IFNA(51-MATCH(Songs!$A13,Data!AD$2:AD$51,0),NA())</f>
        <v>#N/A</v>
      </c>
      <c r="AI13" t="e">
        <f>_xlfn.IFNA(51-MATCH(Songs!$A13,Data!AE$2:AE$51,0),NA())</f>
        <v>#N/A</v>
      </c>
    </row>
    <row r="14" spans="1:35" ht="13.2" x14ac:dyDescent="0.25">
      <c r="A14" s="2" t="s">
        <v>11</v>
      </c>
      <c r="B14" s="2" t="s">
        <v>84</v>
      </c>
      <c r="F14" s="2">
        <v>23</v>
      </c>
      <c r="G14" s="2">
        <f ca="1">COUNTIF(INDIRECT(_xlfn.CONCAT("Data!$B$2:", ADDRESS(51,COUNTA(Data!$1:$1)+1,1,1))), Songs!A14) + F14</f>
        <v>32</v>
      </c>
      <c r="H14" s="8"/>
      <c r="I14" s="8"/>
      <c r="J14" s="8" cm="1">
        <f t="array" ref="J14">51 - MAX(IF(NOT(ISNA(K14:BB14)),K14:BB14))</f>
        <v>7</v>
      </c>
      <c r="K14">
        <f>_xlfn.IFNA(51-MATCH(Songs!$A14,Data!G$2:G$51,0),NA())</f>
        <v>43</v>
      </c>
      <c r="L14">
        <f>_xlfn.IFNA(51-MATCH(Songs!$A14,Data!H$2:H$51,0),NA())</f>
        <v>44</v>
      </c>
      <c r="M14">
        <f>_xlfn.IFNA(51-MATCH(Songs!$A14,Data!I$2:I$51,0),NA())</f>
        <v>42</v>
      </c>
      <c r="N14">
        <f>_xlfn.IFNA(51-MATCH(Songs!$A14,Data!J$2:J$51,0),NA())</f>
        <v>41</v>
      </c>
      <c r="O14" t="e">
        <f>_xlfn.IFNA(51-MATCH(Songs!$A14,Data!K$2:K$51,0),NA())</f>
        <v>#N/A</v>
      </c>
      <c r="P14" t="e">
        <f>_xlfn.IFNA(51-MATCH(Songs!$A14,Data!L$2:L$51,0),NA())</f>
        <v>#N/A</v>
      </c>
      <c r="Q14" t="e">
        <f>_xlfn.IFNA(51-MATCH(Songs!$A14,Data!M$2:M$51,0),NA())</f>
        <v>#N/A</v>
      </c>
      <c r="R14" t="e">
        <f>_xlfn.IFNA(51-MATCH(Songs!$A14,Data!N$2:N$51,0),NA())</f>
        <v>#N/A</v>
      </c>
      <c r="S14" t="e">
        <f>_xlfn.IFNA(51-MATCH(Songs!$A14,Data!O$2:O$51,0),NA())</f>
        <v>#N/A</v>
      </c>
      <c r="T14" t="e">
        <f>_xlfn.IFNA(51-MATCH(Songs!$A14,Data!P$2:P$51,0),NA())</f>
        <v>#N/A</v>
      </c>
      <c r="U14" t="e">
        <f>_xlfn.IFNA(51-MATCH(Songs!$A14,Data!Q$2:Q$51,0),NA())</f>
        <v>#N/A</v>
      </c>
      <c r="V14" t="e">
        <f>_xlfn.IFNA(51-MATCH(Songs!$A14,Data!R$2:R$51,0),NA())</f>
        <v>#N/A</v>
      </c>
      <c r="W14" t="e">
        <f>_xlfn.IFNA(51-MATCH(Songs!$A14,Data!S$2:S$51,0),NA())</f>
        <v>#N/A</v>
      </c>
      <c r="X14" t="e">
        <f>_xlfn.IFNA(51-MATCH(Songs!$A14,Data!T$2:T$51,0),NA())</f>
        <v>#N/A</v>
      </c>
      <c r="Y14" t="e">
        <f>_xlfn.IFNA(51-MATCH(Songs!$A14,Data!U$2:U$51,0),NA())</f>
        <v>#N/A</v>
      </c>
      <c r="Z14" t="e">
        <f>_xlfn.IFNA(51-MATCH(Songs!$A14,Data!V$2:V$51,0),NA())</f>
        <v>#N/A</v>
      </c>
      <c r="AA14" t="e">
        <f>_xlfn.IFNA(51-MATCH(Songs!$A14,Data!W$2:W$51,0),NA())</f>
        <v>#N/A</v>
      </c>
      <c r="AB14" t="e">
        <f>_xlfn.IFNA(51-MATCH(Songs!$A14,Data!X$2:X$51,0),NA())</f>
        <v>#N/A</v>
      </c>
      <c r="AC14" t="e">
        <f>_xlfn.IFNA(51-MATCH(Songs!$A14,Data!Y$2:Y$51,0),NA())</f>
        <v>#N/A</v>
      </c>
      <c r="AD14" t="e">
        <f>_xlfn.IFNA(51-MATCH(Songs!$A14,Data!Z$2:Z$51,0),NA())</f>
        <v>#N/A</v>
      </c>
      <c r="AE14" t="e">
        <f>_xlfn.IFNA(51-MATCH(Songs!$A14,Data!AA$2:AA$51,0),NA())</f>
        <v>#N/A</v>
      </c>
      <c r="AF14" t="e">
        <f>_xlfn.IFNA(51-MATCH(Songs!$A14,Data!AB$2:AB$51,0),NA())</f>
        <v>#N/A</v>
      </c>
      <c r="AG14" t="e">
        <f>_xlfn.IFNA(51-MATCH(Songs!$A14,Data!AC$2:AC$51,0),NA())</f>
        <v>#N/A</v>
      </c>
      <c r="AH14" t="e">
        <f>_xlfn.IFNA(51-MATCH(Songs!$A14,Data!AD$2:AD$51,0),NA())</f>
        <v>#N/A</v>
      </c>
      <c r="AI14" t="e">
        <f>_xlfn.IFNA(51-MATCH(Songs!$A14,Data!AE$2:AE$51,0),NA())</f>
        <v>#N/A</v>
      </c>
    </row>
    <row r="15" spans="1:35" ht="13.2" x14ac:dyDescent="0.25">
      <c r="A15" s="2" t="s">
        <v>19</v>
      </c>
      <c r="B15" s="2" t="s">
        <v>85</v>
      </c>
      <c r="F15" s="2">
        <v>30</v>
      </c>
      <c r="G15" s="2">
        <f ca="1">COUNTIF(INDIRECT(_xlfn.CONCAT("Data!$B$2:", ADDRESS(51,COUNTA(Data!$1:$1)+1,1,1))), Songs!A15) + F15</f>
        <v>43</v>
      </c>
      <c r="H15" s="8"/>
      <c r="I15" s="8"/>
      <c r="J15" s="8" cm="1">
        <f t="array" ref="J15">51 - MAX(IF(NOT(ISNA(K15:BB15)),K15:BB15))</f>
        <v>7</v>
      </c>
      <c r="K15">
        <f>_xlfn.IFNA(51-MATCH(Songs!$A15,Data!G$2:G$51,0),NA())</f>
        <v>40</v>
      </c>
      <c r="L15">
        <f>_xlfn.IFNA(51-MATCH(Songs!$A15,Data!H$2:H$51,0),NA())</f>
        <v>39</v>
      </c>
      <c r="M15">
        <f>_xlfn.IFNA(51-MATCH(Songs!$A15,Data!I$2:I$51,0),NA())</f>
        <v>40</v>
      </c>
      <c r="N15">
        <f>_xlfn.IFNA(51-MATCH(Songs!$A15,Data!J$2:J$51,0),NA())</f>
        <v>38</v>
      </c>
      <c r="O15">
        <f>_xlfn.IFNA(51-MATCH(Songs!$A15,Data!K$2:K$51,0),NA())</f>
        <v>40</v>
      </c>
      <c r="P15">
        <f>_xlfn.IFNA(51-MATCH(Songs!$A15,Data!L$2:L$51,0),NA())</f>
        <v>41</v>
      </c>
      <c r="Q15">
        <f>_xlfn.IFNA(51-MATCH(Songs!$A15,Data!M$2:M$51,0),NA())</f>
        <v>37</v>
      </c>
      <c r="R15">
        <f>_xlfn.IFNA(51-MATCH(Songs!$A15,Data!N$2:N$51,0),NA())</f>
        <v>44</v>
      </c>
      <c r="S15" t="e">
        <f>_xlfn.IFNA(51-MATCH(Songs!$A15,Data!O$2:O$51,0),NA())</f>
        <v>#N/A</v>
      </c>
      <c r="T15" t="e">
        <f>_xlfn.IFNA(51-MATCH(Songs!$A15,Data!P$2:P$51,0),NA())</f>
        <v>#N/A</v>
      </c>
      <c r="U15" t="e">
        <f>_xlfn.IFNA(51-MATCH(Songs!$A15,Data!Q$2:Q$51,0),NA())</f>
        <v>#N/A</v>
      </c>
      <c r="V15" t="e">
        <f>_xlfn.IFNA(51-MATCH(Songs!$A15,Data!R$2:R$51,0),NA())</f>
        <v>#N/A</v>
      </c>
      <c r="W15" t="e">
        <f>_xlfn.IFNA(51-MATCH(Songs!$A15,Data!S$2:S$51,0),NA())</f>
        <v>#N/A</v>
      </c>
      <c r="X15" t="e">
        <f>_xlfn.IFNA(51-MATCH(Songs!$A15,Data!T$2:T$51,0),NA())</f>
        <v>#N/A</v>
      </c>
      <c r="Y15" t="e">
        <f>_xlfn.IFNA(51-MATCH(Songs!$A15,Data!U$2:U$51,0),NA())</f>
        <v>#N/A</v>
      </c>
      <c r="Z15" t="e">
        <f>_xlfn.IFNA(51-MATCH(Songs!$A15,Data!V$2:V$51,0),NA())</f>
        <v>#N/A</v>
      </c>
      <c r="AA15" t="e">
        <f>_xlfn.IFNA(51-MATCH(Songs!$A15,Data!W$2:W$51,0),NA())</f>
        <v>#N/A</v>
      </c>
      <c r="AB15" t="e">
        <f>_xlfn.IFNA(51-MATCH(Songs!$A15,Data!X$2:X$51,0),NA())</f>
        <v>#N/A</v>
      </c>
      <c r="AC15" t="e">
        <f>_xlfn.IFNA(51-MATCH(Songs!$A15,Data!Y$2:Y$51,0),NA())</f>
        <v>#N/A</v>
      </c>
      <c r="AD15" t="e">
        <f>_xlfn.IFNA(51-MATCH(Songs!$A15,Data!Z$2:Z$51,0),NA())</f>
        <v>#N/A</v>
      </c>
      <c r="AE15" t="e">
        <f>_xlfn.IFNA(51-MATCH(Songs!$A15,Data!AA$2:AA$51,0),NA())</f>
        <v>#N/A</v>
      </c>
      <c r="AF15" t="e">
        <f>_xlfn.IFNA(51-MATCH(Songs!$A15,Data!AB$2:AB$51,0),NA())</f>
        <v>#N/A</v>
      </c>
      <c r="AG15" t="e">
        <f>_xlfn.IFNA(51-MATCH(Songs!$A15,Data!AC$2:AC$51,0),NA())</f>
        <v>#N/A</v>
      </c>
      <c r="AH15" t="e">
        <f>_xlfn.IFNA(51-MATCH(Songs!$A15,Data!AD$2:AD$51,0),NA())</f>
        <v>#N/A</v>
      </c>
      <c r="AI15" t="e">
        <f>_xlfn.IFNA(51-MATCH(Songs!$A15,Data!AE$2:AE$51,0),NA())</f>
        <v>#N/A</v>
      </c>
    </row>
    <row r="16" spans="1:35" ht="13.2" x14ac:dyDescent="0.25">
      <c r="A16" s="2" t="s">
        <v>21</v>
      </c>
      <c r="B16" s="2" t="s">
        <v>86</v>
      </c>
      <c r="D16" s="2" t="s">
        <v>77</v>
      </c>
      <c r="E16" s="2"/>
      <c r="F16" s="2">
        <v>22</v>
      </c>
      <c r="G16" s="2">
        <f ca="1">COUNTIF(INDIRECT(_xlfn.CONCAT("Data!$B$2:", ADDRESS(51,COUNTA(Data!$1:$1)+1,1,1))), Songs!A16) + F16</f>
        <v>27</v>
      </c>
      <c r="H16" s="8"/>
      <c r="I16" s="8"/>
      <c r="J16" s="8" cm="1">
        <f t="array" ref="J16">51 - MAX(IF(NOT(ISNA(K16:BB16)),K16:BB16))</f>
        <v>51</v>
      </c>
      <c r="K16" t="e">
        <f>_xlfn.IFNA(51-MATCH(Songs!$A16,Data!G$2:G$51,0),NA())</f>
        <v>#N/A</v>
      </c>
      <c r="L16" t="e">
        <f>_xlfn.IFNA(51-MATCH(Songs!$A16,Data!H$2:H$51,0),NA())</f>
        <v>#N/A</v>
      </c>
      <c r="M16" t="e">
        <f>_xlfn.IFNA(51-MATCH(Songs!$A16,Data!I$2:I$51,0),NA())</f>
        <v>#N/A</v>
      </c>
      <c r="N16" t="e">
        <f>_xlfn.IFNA(51-MATCH(Songs!$A16,Data!J$2:J$51,0),NA())</f>
        <v>#N/A</v>
      </c>
      <c r="O16" t="e">
        <f>_xlfn.IFNA(51-MATCH(Songs!$A16,Data!K$2:K$51,0),NA())</f>
        <v>#N/A</v>
      </c>
      <c r="P16" t="e">
        <f>_xlfn.IFNA(51-MATCH(Songs!$A16,Data!L$2:L$51,0),NA())</f>
        <v>#N/A</v>
      </c>
      <c r="Q16" t="e">
        <f>_xlfn.IFNA(51-MATCH(Songs!$A16,Data!M$2:M$51,0),NA())</f>
        <v>#N/A</v>
      </c>
      <c r="R16" t="e">
        <f>_xlfn.IFNA(51-MATCH(Songs!$A16,Data!N$2:N$51,0),NA())</f>
        <v>#N/A</v>
      </c>
      <c r="S16" t="e">
        <f>_xlfn.IFNA(51-MATCH(Songs!$A16,Data!O$2:O$51,0),NA())</f>
        <v>#N/A</v>
      </c>
      <c r="T16" t="e">
        <f>_xlfn.IFNA(51-MATCH(Songs!$A16,Data!P$2:P$51,0),NA())</f>
        <v>#N/A</v>
      </c>
      <c r="U16" t="e">
        <f>_xlfn.IFNA(51-MATCH(Songs!$A16,Data!Q$2:Q$51,0),NA())</f>
        <v>#N/A</v>
      </c>
      <c r="V16" t="e">
        <f>_xlfn.IFNA(51-MATCH(Songs!$A16,Data!R$2:R$51,0),NA())</f>
        <v>#N/A</v>
      </c>
      <c r="W16" t="e">
        <f>_xlfn.IFNA(51-MATCH(Songs!$A16,Data!S$2:S$51,0),NA())</f>
        <v>#N/A</v>
      </c>
      <c r="X16" t="e">
        <f>_xlfn.IFNA(51-MATCH(Songs!$A16,Data!T$2:T$51,0),NA())</f>
        <v>#N/A</v>
      </c>
      <c r="Y16" t="e">
        <f>_xlfn.IFNA(51-MATCH(Songs!$A16,Data!U$2:U$51,0),NA())</f>
        <v>#N/A</v>
      </c>
      <c r="Z16" t="e">
        <f>_xlfn.IFNA(51-MATCH(Songs!$A16,Data!V$2:V$51,0),NA())</f>
        <v>#N/A</v>
      </c>
      <c r="AA16" t="e">
        <f>_xlfn.IFNA(51-MATCH(Songs!$A16,Data!W$2:W$51,0),NA())</f>
        <v>#N/A</v>
      </c>
      <c r="AB16" t="e">
        <f>_xlfn.IFNA(51-MATCH(Songs!$A16,Data!X$2:X$51,0),NA())</f>
        <v>#N/A</v>
      </c>
      <c r="AC16" t="e">
        <f>_xlfn.IFNA(51-MATCH(Songs!$A16,Data!Y$2:Y$51,0),NA())</f>
        <v>#N/A</v>
      </c>
      <c r="AD16" t="e">
        <f>_xlfn.IFNA(51-MATCH(Songs!$A16,Data!Z$2:Z$51,0),NA())</f>
        <v>#N/A</v>
      </c>
      <c r="AE16" t="e">
        <f>_xlfn.IFNA(51-MATCH(Songs!$A16,Data!AA$2:AA$51,0),NA())</f>
        <v>#N/A</v>
      </c>
      <c r="AF16" t="e">
        <f>_xlfn.IFNA(51-MATCH(Songs!$A16,Data!AB$2:AB$51,0),NA())</f>
        <v>#N/A</v>
      </c>
      <c r="AG16" t="e">
        <f>_xlfn.IFNA(51-MATCH(Songs!$A16,Data!AC$2:AC$51,0),NA())</f>
        <v>#N/A</v>
      </c>
      <c r="AH16" t="e">
        <f>_xlfn.IFNA(51-MATCH(Songs!$A16,Data!AD$2:AD$51,0),NA())</f>
        <v>#N/A</v>
      </c>
      <c r="AI16" t="e">
        <f>_xlfn.IFNA(51-MATCH(Songs!$A16,Data!AE$2:AE$51,0),NA())</f>
        <v>#N/A</v>
      </c>
    </row>
    <row r="17" spans="1:35" ht="13.2" x14ac:dyDescent="0.25">
      <c r="A17" s="2" t="s">
        <v>20</v>
      </c>
      <c r="B17" s="2" t="s">
        <v>76</v>
      </c>
      <c r="D17" s="2" t="s">
        <v>87</v>
      </c>
      <c r="E17" s="2"/>
      <c r="F17" s="2">
        <v>22</v>
      </c>
      <c r="G17" s="2">
        <f ca="1">COUNTIF(INDIRECT(_xlfn.CONCAT("Data!$B$2:", ADDRESS(51,COUNTA(Data!$1:$1)+1,1,1))), Songs!A17) + F17</f>
        <v>36</v>
      </c>
      <c r="H17" s="8"/>
      <c r="I17" s="8"/>
      <c r="J17" s="8" cm="1">
        <f t="array" ref="J17">51 - MAX(IF(NOT(ISNA(K17:BB17)),K17:BB17))</f>
        <v>3</v>
      </c>
      <c r="K17">
        <f>_xlfn.IFNA(51-MATCH(Songs!$A17,Data!G$2:G$51,0),NA())</f>
        <v>39</v>
      </c>
      <c r="L17">
        <f>_xlfn.IFNA(51-MATCH(Songs!$A17,Data!H$2:H$51,0),NA())</f>
        <v>40</v>
      </c>
      <c r="M17">
        <f>_xlfn.IFNA(51-MATCH(Songs!$A17,Data!I$2:I$51,0),NA())</f>
        <v>39</v>
      </c>
      <c r="N17">
        <f>_xlfn.IFNA(51-MATCH(Songs!$A17,Data!J$2:J$51,0),NA())</f>
        <v>40</v>
      </c>
      <c r="O17">
        <f>_xlfn.IFNA(51-MATCH(Songs!$A17,Data!K$2:K$51,0),NA())</f>
        <v>44</v>
      </c>
      <c r="P17">
        <f>_xlfn.IFNA(51-MATCH(Songs!$A17,Data!L$2:L$51,0),NA())</f>
        <v>45</v>
      </c>
      <c r="Q17">
        <f>_xlfn.IFNA(51-MATCH(Songs!$A17,Data!M$2:M$51,0),NA())</f>
        <v>43</v>
      </c>
      <c r="R17">
        <f>_xlfn.IFNA(51-MATCH(Songs!$A17,Data!N$2:N$51,0),NA())</f>
        <v>48</v>
      </c>
      <c r="S17">
        <f>_xlfn.IFNA(51-MATCH(Songs!$A17,Data!O$2:O$51,0),NA())</f>
        <v>46</v>
      </c>
      <c r="T17" t="e">
        <f>_xlfn.IFNA(51-MATCH(Songs!$A17,Data!P$2:P$51,0),NA())</f>
        <v>#N/A</v>
      </c>
      <c r="U17" t="e">
        <f>_xlfn.IFNA(51-MATCH(Songs!$A17,Data!Q$2:Q$51,0),NA())</f>
        <v>#N/A</v>
      </c>
      <c r="V17" t="e">
        <f>_xlfn.IFNA(51-MATCH(Songs!$A17,Data!R$2:R$51,0),NA())</f>
        <v>#N/A</v>
      </c>
      <c r="W17" t="e">
        <f>_xlfn.IFNA(51-MATCH(Songs!$A17,Data!S$2:S$51,0),NA())</f>
        <v>#N/A</v>
      </c>
      <c r="X17" t="e">
        <f>_xlfn.IFNA(51-MATCH(Songs!$A17,Data!T$2:T$51,0),NA())</f>
        <v>#N/A</v>
      </c>
      <c r="Y17" t="e">
        <f>_xlfn.IFNA(51-MATCH(Songs!$A17,Data!U$2:U$51,0),NA())</f>
        <v>#N/A</v>
      </c>
      <c r="Z17" t="e">
        <f>_xlfn.IFNA(51-MATCH(Songs!$A17,Data!V$2:V$51,0),NA())</f>
        <v>#N/A</v>
      </c>
      <c r="AA17" t="e">
        <f>_xlfn.IFNA(51-MATCH(Songs!$A17,Data!W$2:W$51,0),NA())</f>
        <v>#N/A</v>
      </c>
      <c r="AB17" t="e">
        <f>_xlfn.IFNA(51-MATCH(Songs!$A17,Data!X$2:X$51,0),NA())</f>
        <v>#N/A</v>
      </c>
      <c r="AC17" t="e">
        <f>_xlfn.IFNA(51-MATCH(Songs!$A17,Data!Y$2:Y$51,0),NA())</f>
        <v>#N/A</v>
      </c>
      <c r="AD17" t="e">
        <f>_xlfn.IFNA(51-MATCH(Songs!$A17,Data!Z$2:Z$51,0),NA())</f>
        <v>#N/A</v>
      </c>
      <c r="AE17" t="e">
        <f>_xlfn.IFNA(51-MATCH(Songs!$A17,Data!AA$2:AA$51,0),NA())</f>
        <v>#N/A</v>
      </c>
      <c r="AF17" t="e">
        <f>_xlfn.IFNA(51-MATCH(Songs!$A17,Data!AB$2:AB$51,0),NA())</f>
        <v>#N/A</v>
      </c>
      <c r="AG17" t="e">
        <f>_xlfn.IFNA(51-MATCH(Songs!$A17,Data!AC$2:AC$51,0),NA())</f>
        <v>#N/A</v>
      </c>
      <c r="AH17" t="e">
        <f>_xlfn.IFNA(51-MATCH(Songs!$A17,Data!AD$2:AD$51,0),NA())</f>
        <v>#N/A</v>
      </c>
      <c r="AI17" t="e">
        <f>_xlfn.IFNA(51-MATCH(Songs!$A17,Data!AE$2:AE$51,0),NA())</f>
        <v>#N/A</v>
      </c>
    </row>
    <row r="18" spans="1:35" ht="13.2" x14ac:dyDescent="0.25">
      <c r="A18" s="2" t="s">
        <v>23</v>
      </c>
      <c r="B18" s="2" t="s">
        <v>74</v>
      </c>
      <c r="D18" s="2" t="s">
        <v>88</v>
      </c>
      <c r="E18" s="2"/>
      <c r="F18" s="2">
        <v>21</v>
      </c>
      <c r="G18" s="2">
        <f ca="1">COUNTIF(INDIRECT(_xlfn.CONCAT("Data!$B$2:", ADDRESS(51,COUNTA(Data!$1:$1)+1,1,1))), Songs!A18) + F18</f>
        <v>28</v>
      </c>
      <c r="H18" s="8"/>
      <c r="I18" s="8"/>
      <c r="J18" s="8" cm="1">
        <f t="array" ref="J18">51 - MAX(IF(NOT(ISNA(K18:BB18)),K18:BB18))</f>
        <v>16</v>
      </c>
      <c r="K18">
        <f>_xlfn.IFNA(51-MATCH(Songs!$A18,Data!G$2:G$51,0),NA())</f>
        <v>33</v>
      </c>
      <c r="L18">
        <f>_xlfn.IFNA(51-MATCH(Songs!$A18,Data!H$2:H$51,0),NA())</f>
        <v>35</v>
      </c>
      <c r="M18" t="e">
        <f>_xlfn.IFNA(51-MATCH(Songs!$A18,Data!I$2:I$51,0),NA())</f>
        <v>#N/A</v>
      </c>
      <c r="N18" t="e">
        <f>_xlfn.IFNA(51-MATCH(Songs!$A18,Data!J$2:J$51,0),NA())</f>
        <v>#N/A</v>
      </c>
      <c r="O18" t="e">
        <f>_xlfn.IFNA(51-MATCH(Songs!$A18,Data!K$2:K$51,0),NA())</f>
        <v>#N/A</v>
      </c>
      <c r="P18" t="e">
        <f>_xlfn.IFNA(51-MATCH(Songs!$A18,Data!L$2:L$51,0),NA())</f>
        <v>#N/A</v>
      </c>
      <c r="Q18" t="e">
        <f>_xlfn.IFNA(51-MATCH(Songs!$A18,Data!M$2:M$51,0),NA())</f>
        <v>#N/A</v>
      </c>
      <c r="R18" t="e">
        <f>_xlfn.IFNA(51-MATCH(Songs!$A18,Data!N$2:N$51,0),NA())</f>
        <v>#N/A</v>
      </c>
      <c r="S18" t="e">
        <f>_xlfn.IFNA(51-MATCH(Songs!$A18,Data!O$2:O$51,0),NA())</f>
        <v>#N/A</v>
      </c>
      <c r="T18" t="e">
        <f>_xlfn.IFNA(51-MATCH(Songs!$A18,Data!P$2:P$51,0),NA())</f>
        <v>#N/A</v>
      </c>
      <c r="U18" t="e">
        <f>_xlfn.IFNA(51-MATCH(Songs!$A18,Data!Q$2:Q$51,0),NA())</f>
        <v>#N/A</v>
      </c>
      <c r="V18" t="e">
        <f>_xlfn.IFNA(51-MATCH(Songs!$A18,Data!R$2:R$51,0),NA())</f>
        <v>#N/A</v>
      </c>
      <c r="W18" t="e">
        <f>_xlfn.IFNA(51-MATCH(Songs!$A18,Data!S$2:S$51,0),NA())</f>
        <v>#N/A</v>
      </c>
      <c r="X18" t="e">
        <f>_xlfn.IFNA(51-MATCH(Songs!$A18,Data!T$2:T$51,0),NA())</f>
        <v>#N/A</v>
      </c>
      <c r="Y18" t="e">
        <f>_xlfn.IFNA(51-MATCH(Songs!$A18,Data!U$2:U$51,0),NA())</f>
        <v>#N/A</v>
      </c>
      <c r="Z18" t="e">
        <f>_xlfn.IFNA(51-MATCH(Songs!$A18,Data!V$2:V$51,0),NA())</f>
        <v>#N/A</v>
      </c>
      <c r="AA18" t="e">
        <f>_xlfn.IFNA(51-MATCH(Songs!$A18,Data!W$2:W$51,0),NA())</f>
        <v>#N/A</v>
      </c>
      <c r="AB18" t="e">
        <f>_xlfn.IFNA(51-MATCH(Songs!$A18,Data!X$2:X$51,0),NA())</f>
        <v>#N/A</v>
      </c>
      <c r="AC18" t="e">
        <f>_xlfn.IFNA(51-MATCH(Songs!$A18,Data!Y$2:Y$51,0),NA())</f>
        <v>#N/A</v>
      </c>
      <c r="AD18" t="e">
        <f>_xlfn.IFNA(51-MATCH(Songs!$A18,Data!Z$2:Z$51,0),NA())</f>
        <v>#N/A</v>
      </c>
      <c r="AE18" t="e">
        <f>_xlfn.IFNA(51-MATCH(Songs!$A18,Data!AA$2:AA$51,0),NA())</f>
        <v>#N/A</v>
      </c>
      <c r="AF18" t="e">
        <f>_xlfn.IFNA(51-MATCH(Songs!$A18,Data!AB$2:AB$51,0),NA())</f>
        <v>#N/A</v>
      </c>
      <c r="AG18" t="e">
        <f>_xlfn.IFNA(51-MATCH(Songs!$A18,Data!AC$2:AC$51,0),NA())</f>
        <v>#N/A</v>
      </c>
      <c r="AH18" t="e">
        <f>_xlfn.IFNA(51-MATCH(Songs!$A18,Data!AD$2:AD$51,0),NA())</f>
        <v>#N/A</v>
      </c>
      <c r="AI18" t="e">
        <f>_xlfn.IFNA(51-MATCH(Songs!$A18,Data!AE$2:AE$51,0),NA())</f>
        <v>#N/A</v>
      </c>
    </row>
    <row r="19" spans="1:35" ht="13.2" x14ac:dyDescent="0.25">
      <c r="A19" s="2" t="s">
        <v>24</v>
      </c>
      <c r="B19" s="2" t="s">
        <v>89</v>
      </c>
      <c r="F19" s="2">
        <v>17</v>
      </c>
      <c r="G19" s="2">
        <f ca="1">COUNTIF(INDIRECT(_xlfn.CONCAT("Data!$B$2:", ADDRESS(51,COUNTA(Data!$1:$1)+1,1,1))), Songs!A19) + F19</f>
        <v>27</v>
      </c>
      <c r="H19" s="8"/>
      <c r="I19" s="8"/>
      <c r="J19" s="8" cm="1">
        <f t="array" ref="J19">51 - MAX(IF(NOT(ISNA(K19:BB19)),K19:BB19))</f>
        <v>13</v>
      </c>
      <c r="K19">
        <f>_xlfn.IFNA(51-MATCH(Songs!$A19,Data!G$2:G$51,0),NA())</f>
        <v>36</v>
      </c>
      <c r="L19">
        <f>_xlfn.IFNA(51-MATCH(Songs!$A19,Data!H$2:H$51,0),NA())</f>
        <v>37</v>
      </c>
      <c r="M19">
        <f>_xlfn.IFNA(51-MATCH(Songs!$A19,Data!I$2:I$51,0),NA())</f>
        <v>38</v>
      </c>
      <c r="N19">
        <f>_xlfn.IFNA(51-MATCH(Songs!$A19,Data!J$2:J$51,0),NA())</f>
        <v>37</v>
      </c>
      <c r="O19">
        <f>_xlfn.IFNA(51-MATCH(Songs!$A19,Data!K$2:K$51,0),NA())</f>
        <v>35</v>
      </c>
      <c r="P19" t="e">
        <f>_xlfn.IFNA(51-MATCH(Songs!$A19,Data!L$2:L$51,0),NA())</f>
        <v>#N/A</v>
      </c>
      <c r="Q19" t="e">
        <f>_xlfn.IFNA(51-MATCH(Songs!$A19,Data!M$2:M$51,0),NA())</f>
        <v>#N/A</v>
      </c>
      <c r="R19" t="e">
        <f>_xlfn.IFNA(51-MATCH(Songs!$A19,Data!N$2:N$51,0),NA())</f>
        <v>#N/A</v>
      </c>
      <c r="S19" t="e">
        <f>_xlfn.IFNA(51-MATCH(Songs!$A19,Data!O$2:O$51,0),NA())</f>
        <v>#N/A</v>
      </c>
      <c r="T19" t="e">
        <f>_xlfn.IFNA(51-MATCH(Songs!$A19,Data!P$2:P$51,0),NA())</f>
        <v>#N/A</v>
      </c>
      <c r="U19" t="e">
        <f>_xlfn.IFNA(51-MATCH(Songs!$A19,Data!Q$2:Q$51,0),NA())</f>
        <v>#N/A</v>
      </c>
      <c r="V19" t="e">
        <f>_xlfn.IFNA(51-MATCH(Songs!$A19,Data!R$2:R$51,0),NA())</f>
        <v>#N/A</v>
      </c>
      <c r="W19" t="e">
        <f>_xlfn.IFNA(51-MATCH(Songs!$A19,Data!S$2:S$51,0),NA())</f>
        <v>#N/A</v>
      </c>
      <c r="X19" t="e">
        <f>_xlfn.IFNA(51-MATCH(Songs!$A19,Data!T$2:T$51,0),NA())</f>
        <v>#N/A</v>
      </c>
      <c r="Y19" t="e">
        <f>_xlfn.IFNA(51-MATCH(Songs!$A19,Data!U$2:U$51,0),NA())</f>
        <v>#N/A</v>
      </c>
      <c r="Z19" t="e">
        <f>_xlfn.IFNA(51-MATCH(Songs!$A19,Data!V$2:V$51,0),NA())</f>
        <v>#N/A</v>
      </c>
      <c r="AA19" t="e">
        <f>_xlfn.IFNA(51-MATCH(Songs!$A19,Data!W$2:W$51,0),NA())</f>
        <v>#N/A</v>
      </c>
      <c r="AB19" t="e">
        <f>_xlfn.IFNA(51-MATCH(Songs!$A19,Data!X$2:X$51,0),NA())</f>
        <v>#N/A</v>
      </c>
      <c r="AC19" t="e">
        <f>_xlfn.IFNA(51-MATCH(Songs!$A19,Data!Y$2:Y$51,0),NA())</f>
        <v>#N/A</v>
      </c>
      <c r="AD19" t="e">
        <f>_xlfn.IFNA(51-MATCH(Songs!$A19,Data!Z$2:Z$51,0),NA())</f>
        <v>#N/A</v>
      </c>
      <c r="AE19" t="e">
        <f>_xlfn.IFNA(51-MATCH(Songs!$A19,Data!AA$2:AA$51,0),NA())</f>
        <v>#N/A</v>
      </c>
      <c r="AF19" t="e">
        <f>_xlfn.IFNA(51-MATCH(Songs!$A19,Data!AB$2:AB$51,0),NA())</f>
        <v>#N/A</v>
      </c>
      <c r="AG19" t="e">
        <f>_xlfn.IFNA(51-MATCH(Songs!$A19,Data!AC$2:AC$51,0),NA())</f>
        <v>#N/A</v>
      </c>
      <c r="AH19" t="e">
        <f>_xlfn.IFNA(51-MATCH(Songs!$A19,Data!AD$2:AD$51,0),NA())</f>
        <v>#N/A</v>
      </c>
      <c r="AI19" t="e">
        <f>_xlfn.IFNA(51-MATCH(Songs!$A19,Data!AE$2:AE$51,0),NA())</f>
        <v>#N/A</v>
      </c>
    </row>
    <row r="20" spans="1:35" ht="13.2" x14ac:dyDescent="0.25">
      <c r="A20" s="2" t="s">
        <v>26</v>
      </c>
      <c r="B20" s="2" t="s">
        <v>90</v>
      </c>
      <c r="F20" s="2">
        <v>25</v>
      </c>
      <c r="G20" s="2">
        <f ca="1">COUNTIF(INDIRECT(_xlfn.CONCAT("Data!$B$2:", ADDRESS(51,COUNTA(Data!$1:$1)+1,1,1))), Songs!A20) + F20</f>
        <v>27</v>
      </c>
      <c r="H20" s="8"/>
      <c r="I20" s="8"/>
      <c r="J20" s="8" cm="1">
        <f t="array" ref="J20">51 - MAX(IF(NOT(ISNA(K20:BB20)),K20:BB20))</f>
        <v>51</v>
      </c>
      <c r="K20" t="e">
        <f>_xlfn.IFNA(51-MATCH(Songs!$A20,Data!G$2:G$51,0),NA())</f>
        <v>#N/A</v>
      </c>
      <c r="L20" t="e">
        <f>_xlfn.IFNA(51-MATCH(Songs!$A20,Data!H$2:H$51,0),NA())</f>
        <v>#N/A</v>
      </c>
      <c r="M20" t="e">
        <f>_xlfn.IFNA(51-MATCH(Songs!$A20,Data!I$2:I$51,0),NA())</f>
        <v>#N/A</v>
      </c>
      <c r="N20" t="e">
        <f>_xlfn.IFNA(51-MATCH(Songs!$A20,Data!J$2:J$51,0),NA())</f>
        <v>#N/A</v>
      </c>
      <c r="O20" t="e">
        <f>_xlfn.IFNA(51-MATCH(Songs!$A20,Data!K$2:K$51,0),NA())</f>
        <v>#N/A</v>
      </c>
      <c r="P20" t="e">
        <f>_xlfn.IFNA(51-MATCH(Songs!$A20,Data!L$2:L$51,0),NA())</f>
        <v>#N/A</v>
      </c>
      <c r="Q20" t="e">
        <f>_xlfn.IFNA(51-MATCH(Songs!$A20,Data!M$2:M$51,0),NA())</f>
        <v>#N/A</v>
      </c>
      <c r="R20" t="e">
        <f>_xlfn.IFNA(51-MATCH(Songs!$A20,Data!N$2:N$51,0),NA())</f>
        <v>#N/A</v>
      </c>
      <c r="S20" t="e">
        <f>_xlfn.IFNA(51-MATCH(Songs!$A20,Data!O$2:O$51,0),NA())</f>
        <v>#N/A</v>
      </c>
      <c r="T20" t="e">
        <f>_xlfn.IFNA(51-MATCH(Songs!$A20,Data!P$2:P$51,0),NA())</f>
        <v>#N/A</v>
      </c>
      <c r="U20" t="e">
        <f>_xlfn.IFNA(51-MATCH(Songs!$A20,Data!Q$2:Q$51,0),NA())</f>
        <v>#N/A</v>
      </c>
      <c r="V20" t="e">
        <f>_xlfn.IFNA(51-MATCH(Songs!$A20,Data!R$2:R$51,0),NA())</f>
        <v>#N/A</v>
      </c>
      <c r="W20" t="e">
        <f>_xlfn.IFNA(51-MATCH(Songs!$A20,Data!S$2:S$51,0),NA())</f>
        <v>#N/A</v>
      </c>
      <c r="X20" t="e">
        <f>_xlfn.IFNA(51-MATCH(Songs!$A20,Data!T$2:T$51,0),NA())</f>
        <v>#N/A</v>
      </c>
      <c r="Y20" t="e">
        <f>_xlfn.IFNA(51-MATCH(Songs!$A20,Data!U$2:U$51,0),NA())</f>
        <v>#N/A</v>
      </c>
      <c r="Z20" t="e">
        <f>_xlfn.IFNA(51-MATCH(Songs!$A20,Data!V$2:V$51,0),NA())</f>
        <v>#N/A</v>
      </c>
      <c r="AA20" t="e">
        <f>_xlfn.IFNA(51-MATCH(Songs!$A20,Data!W$2:W$51,0),NA())</f>
        <v>#N/A</v>
      </c>
      <c r="AB20" t="e">
        <f>_xlfn.IFNA(51-MATCH(Songs!$A20,Data!X$2:X$51,0),NA())</f>
        <v>#N/A</v>
      </c>
      <c r="AC20" t="e">
        <f>_xlfn.IFNA(51-MATCH(Songs!$A20,Data!Y$2:Y$51,0),NA())</f>
        <v>#N/A</v>
      </c>
      <c r="AD20" t="e">
        <f>_xlfn.IFNA(51-MATCH(Songs!$A20,Data!Z$2:Z$51,0),NA())</f>
        <v>#N/A</v>
      </c>
      <c r="AE20" t="e">
        <f>_xlfn.IFNA(51-MATCH(Songs!$A20,Data!AA$2:AA$51,0),NA())</f>
        <v>#N/A</v>
      </c>
      <c r="AF20" t="e">
        <f>_xlfn.IFNA(51-MATCH(Songs!$A20,Data!AB$2:AB$51,0),NA())</f>
        <v>#N/A</v>
      </c>
      <c r="AG20" t="e">
        <f>_xlfn.IFNA(51-MATCH(Songs!$A20,Data!AC$2:AC$51,0),NA())</f>
        <v>#N/A</v>
      </c>
      <c r="AH20" t="e">
        <f>_xlfn.IFNA(51-MATCH(Songs!$A20,Data!AD$2:AD$51,0),NA())</f>
        <v>#N/A</v>
      </c>
      <c r="AI20" t="e">
        <f>_xlfn.IFNA(51-MATCH(Songs!$A20,Data!AE$2:AE$51,0),NA())</f>
        <v>#N/A</v>
      </c>
    </row>
    <row r="21" spans="1:35" ht="13.2" x14ac:dyDescent="0.25">
      <c r="A21" s="4" t="s">
        <v>25</v>
      </c>
      <c r="B21" s="2" t="s">
        <v>91</v>
      </c>
      <c r="F21" s="2">
        <v>35</v>
      </c>
      <c r="G21" s="2">
        <f ca="1">COUNTIF(INDIRECT(_xlfn.CONCAT("Data!$B$2:", ADDRESS(51,COUNTA(Data!$1:$1)+1,1,1))), Songs!A21) + F21</f>
        <v>46</v>
      </c>
      <c r="H21" s="8"/>
      <c r="I21" s="8"/>
      <c r="J21" s="8" cm="1">
        <f t="array" ref="J21">51 - MAX(IF(NOT(ISNA(K21:BB21)),K21:BB21))</f>
        <v>8</v>
      </c>
      <c r="K21">
        <f>_xlfn.IFNA(51-MATCH(Songs!$A21,Data!G$2:G$51,0),NA())</f>
        <v>37</v>
      </c>
      <c r="L21">
        <f>_xlfn.IFNA(51-MATCH(Songs!$A21,Data!H$2:H$51,0),NA())</f>
        <v>36</v>
      </c>
      <c r="M21">
        <f>_xlfn.IFNA(51-MATCH(Songs!$A21,Data!I$2:I$51,0),NA())</f>
        <v>37</v>
      </c>
      <c r="N21">
        <f>_xlfn.IFNA(51-MATCH(Songs!$A21,Data!J$2:J$51,0),NA())</f>
        <v>39</v>
      </c>
      <c r="O21">
        <f>_xlfn.IFNA(51-MATCH(Songs!$A21,Data!K$2:K$51,0),NA())</f>
        <v>39</v>
      </c>
      <c r="P21">
        <f>_xlfn.IFNA(51-MATCH(Songs!$A21,Data!L$2:L$51,0),NA())</f>
        <v>43</v>
      </c>
      <c r="Q21" t="e">
        <f>_xlfn.IFNA(51-MATCH(Songs!$A21,Data!M$2:M$51,0),NA())</f>
        <v>#N/A</v>
      </c>
      <c r="R21" t="e">
        <f>_xlfn.IFNA(51-MATCH(Songs!$A21,Data!N$2:N$51,0),NA())</f>
        <v>#N/A</v>
      </c>
      <c r="S21" t="e">
        <f>_xlfn.IFNA(51-MATCH(Songs!$A21,Data!O$2:O$51,0),NA())</f>
        <v>#N/A</v>
      </c>
      <c r="T21" t="e">
        <f>_xlfn.IFNA(51-MATCH(Songs!$A21,Data!P$2:P$51,0),NA())</f>
        <v>#N/A</v>
      </c>
      <c r="U21" t="e">
        <f>_xlfn.IFNA(51-MATCH(Songs!$A21,Data!Q$2:Q$51,0),NA())</f>
        <v>#N/A</v>
      </c>
      <c r="V21" t="e">
        <f>_xlfn.IFNA(51-MATCH(Songs!$A21,Data!R$2:R$51,0),NA())</f>
        <v>#N/A</v>
      </c>
      <c r="W21" t="e">
        <f>_xlfn.IFNA(51-MATCH(Songs!$A21,Data!S$2:S$51,0),NA())</f>
        <v>#N/A</v>
      </c>
      <c r="X21" t="e">
        <f>_xlfn.IFNA(51-MATCH(Songs!$A21,Data!T$2:T$51,0),NA())</f>
        <v>#N/A</v>
      </c>
      <c r="Y21" t="e">
        <f>_xlfn.IFNA(51-MATCH(Songs!$A21,Data!U$2:U$51,0),NA())</f>
        <v>#N/A</v>
      </c>
      <c r="Z21" t="e">
        <f>_xlfn.IFNA(51-MATCH(Songs!$A21,Data!V$2:V$51,0),NA())</f>
        <v>#N/A</v>
      </c>
      <c r="AA21" t="e">
        <f>_xlfn.IFNA(51-MATCH(Songs!$A21,Data!W$2:W$51,0),NA())</f>
        <v>#N/A</v>
      </c>
      <c r="AB21" t="e">
        <f>_xlfn.IFNA(51-MATCH(Songs!$A21,Data!X$2:X$51,0),NA())</f>
        <v>#N/A</v>
      </c>
      <c r="AC21" t="e">
        <f>_xlfn.IFNA(51-MATCH(Songs!$A21,Data!Y$2:Y$51,0),NA())</f>
        <v>#N/A</v>
      </c>
      <c r="AD21" t="e">
        <f>_xlfn.IFNA(51-MATCH(Songs!$A21,Data!Z$2:Z$51,0),NA())</f>
        <v>#N/A</v>
      </c>
      <c r="AE21" t="e">
        <f>_xlfn.IFNA(51-MATCH(Songs!$A21,Data!AA$2:AA$51,0),NA())</f>
        <v>#N/A</v>
      </c>
      <c r="AF21" t="e">
        <f>_xlfn.IFNA(51-MATCH(Songs!$A21,Data!AB$2:AB$51,0),NA())</f>
        <v>#N/A</v>
      </c>
      <c r="AG21" t="e">
        <f>_xlfn.IFNA(51-MATCH(Songs!$A21,Data!AC$2:AC$51,0),NA())</f>
        <v>#N/A</v>
      </c>
      <c r="AH21" t="e">
        <f>_xlfn.IFNA(51-MATCH(Songs!$A21,Data!AD$2:AD$51,0),NA())</f>
        <v>#N/A</v>
      </c>
      <c r="AI21" t="e">
        <f>_xlfn.IFNA(51-MATCH(Songs!$A21,Data!AE$2:AE$51,0),NA())</f>
        <v>#N/A</v>
      </c>
    </row>
    <row r="22" spans="1:35" ht="13.2" x14ac:dyDescent="0.25">
      <c r="A22" s="2" t="s">
        <v>27</v>
      </c>
      <c r="B22" s="2" t="s">
        <v>92</v>
      </c>
      <c r="D22" s="2" t="s">
        <v>78</v>
      </c>
      <c r="E22" s="2"/>
      <c r="F22" s="2">
        <v>22</v>
      </c>
      <c r="G22" s="2">
        <f ca="1">COUNTIF(INDIRECT(_xlfn.CONCAT("Data!$B$2:", ADDRESS(51,COUNTA(Data!$1:$1)+1,1,1))), Songs!A22) + F22</f>
        <v>46</v>
      </c>
      <c r="H22" s="8"/>
      <c r="I22" s="8"/>
      <c r="J22" s="8" cm="1">
        <f t="array" ref="J22">51 - MAX(IF(NOT(ISNA(K22:BB22)),K22:BB22))</f>
        <v>21</v>
      </c>
      <c r="K22">
        <f>_xlfn.IFNA(51-MATCH(Songs!$A22,Data!G$2:G$51,0),NA())</f>
        <v>25</v>
      </c>
      <c r="L22">
        <f>_xlfn.IFNA(51-MATCH(Songs!$A22,Data!H$2:H$51,0),NA())</f>
        <v>23</v>
      </c>
      <c r="M22">
        <f>_xlfn.IFNA(51-MATCH(Songs!$A22,Data!I$2:I$51,0),NA())</f>
        <v>30</v>
      </c>
      <c r="N22">
        <f>_xlfn.IFNA(51-MATCH(Songs!$A22,Data!J$2:J$51,0),NA())</f>
        <v>24</v>
      </c>
      <c r="O22">
        <f>_xlfn.IFNA(51-MATCH(Songs!$A22,Data!K$2:K$51,0),NA())</f>
        <v>26</v>
      </c>
      <c r="P22">
        <f>_xlfn.IFNA(51-MATCH(Songs!$A22,Data!L$2:L$51,0),NA())</f>
        <v>25</v>
      </c>
      <c r="Q22">
        <f>_xlfn.IFNA(51-MATCH(Songs!$A22,Data!M$2:M$51,0),NA())</f>
        <v>13</v>
      </c>
      <c r="R22">
        <f>_xlfn.IFNA(51-MATCH(Songs!$A22,Data!N$2:N$51,0),NA())</f>
        <v>21</v>
      </c>
      <c r="S22">
        <f>_xlfn.IFNA(51-MATCH(Songs!$A22,Data!O$2:O$51,0),NA())</f>
        <v>22</v>
      </c>
      <c r="T22">
        <f>_xlfn.IFNA(51-MATCH(Songs!$A22,Data!P$2:P$51,0),NA())</f>
        <v>27</v>
      </c>
      <c r="U22">
        <f>_xlfn.IFNA(51-MATCH(Songs!$A22,Data!Q$2:Q$51,0),NA())</f>
        <v>28</v>
      </c>
      <c r="V22">
        <f>_xlfn.IFNA(51-MATCH(Songs!$A22,Data!R$2:R$51,0),NA())</f>
        <v>26</v>
      </c>
      <c r="W22">
        <f>_xlfn.IFNA(51-MATCH(Songs!$A22,Data!S$2:S$51,0),NA())</f>
        <v>24</v>
      </c>
      <c r="X22">
        <f>_xlfn.IFNA(51-MATCH(Songs!$A22,Data!T$2:T$51,0),NA())</f>
        <v>24</v>
      </c>
      <c r="Y22">
        <f>_xlfn.IFNA(51-MATCH(Songs!$A22,Data!U$2:U$51,0),NA())</f>
        <v>25</v>
      </c>
      <c r="Z22">
        <f>_xlfn.IFNA(51-MATCH(Songs!$A22,Data!V$2:V$51,0),NA())</f>
        <v>23</v>
      </c>
      <c r="AA22">
        <f>_xlfn.IFNA(51-MATCH(Songs!$A22,Data!W$2:W$51,0),NA())</f>
        <v>22</v>
      </c>
      <c r="AB22">
        <f>_xlfn.IFNA(51-MATCH(Songs!$A22,Data!X$2:X$51,0),NA())</f>
        <v>19</v>
      </c>
      <c r="AC22">
        <f>_xlfn.IFNA(51-MATCH(Songs!$A22,Data!Y$2:Y$51,0),NA())</f>
        <v>24</v>
      </c>
      <c r="AD22" t="e">
        <f>_xlfn.IFNA(51-MATCH(Songs!$A22,Data!Z$2:Z$51,0),NA())</f>
        <v>#N/A</v>
      </c>
      <c r="AE22" t="e">
        <f>_xlfn.IFNA(51-MATCH(Songs!$A22,Data!AA$2:AA$51,0),NA())</f>
        <v>#N/A</v>
      </c>
      <c r="AF22" t="e">
        <f>_xlfn.IFNA(51-MATCH(Songs!$A22,Data!AB$2:AB$51,0),NA())</f>
        <v>#N/A</v>
      </c>
      <c r="AG22" t="e">
        <f>_xlfn.IFNA(51-MATCH(Songs!$A22,Data!AC$2:AC$51,0),NA())</f>
        <v>#N/A</v>
      </c>
      <c r="AH22" t="e">
        <f>_xlfn.IFNA(51-MATCH(Songs!$A22,Data!AD$2:AD$51,0),NA())</f>
        <v>#N/A</v>
      </c>
      <c r="AI22" t="e">
        <f>_xlfn.IFNA(51-MATCH(Songs!$A22,Data!AE$2:AE$51,0),NA())</f>
        <v>#N/A</v>
      </c>
    </row>
    <row r="23" spans="1:35" ht="13.2" x14ac:dyDescent="0.25">
      <c r="A23" s="2" t="s">
        <v>30</v>
      </c>
      <c r="B23" s="2" t="s">
        <v>93</v>
      </c>
      <c r="F23" s="2">
        <v>7</v>
      </c>
      <c r="G23" s="2">
        <f ca="1">COUNTIF(INDIRECT(_xlfn.CONCAT("Data!$B$2:", ADDRESS(51,COUNTA(Data!$1:$1)+1,1,1))), Songs!A23) + F23</f>
        <v>29</v>
      </c>
      <c r="H23" s="8"/>
      <c r="I23" s="8"/>
      <c r="J23" s="8" cm="1">
        <f t="array" ref="J23">51 - MAX(IF(NOT(ISNA(K23:BB23)),K23:BB23))</f>
        <v>18</v>
      </c>
      <c r="K23">
        <f>_xlfn.IFNA(51-MATCH(Songs!$A23,Data!G$2:G$51,0),NA())</f>
        <v>30</v>
      </c>
      <c r="L23">
        <f>_xlfn.IFNA(51-MATCH(Songs!$A23,Data!H$2:H$51,0),NA())</f>
        <v>28</v>
      </c>
      <c r="M23">
        <f>_xlfn.IFNA(51-MATCH(Songs!$A23,Data!I$2:I$51,0),NA())</f>
        <v>27</v>
      </c>
      <c r="N23">
        <f>_xlfn.IFNA(51-MATCH(Songs!$A23,Data!J$2:J$51,0),NA())</f>
        <v>26</v>
      </c>
      <c r="O23">
        <f>_xlfn.IFNA(51-MATCH(Songs!$A23,Data!K$2:K$51,0),NA())</f>
        <v>24</v>
      </c>
      <c r="P23">
        <f>_xlfn.IFNA(51-MATCH(Songs!$A23,Data!L$2:L$51,0),NA())</f>
        <v>26</v>
      </c>
      <c r="Q23">
        <f>_xlfn.IFNA(51-MATCH(Songs!$A23,Data!M$2:M$51,0),NA())</f>
        <v>14</v>
      </c>
      <c r="R23">
        <f>_xlfn.IFNA(51-MATCH(Songs!$A23,Data!N$2:N$51,0),NA())</f>
        <v>16</v>
      </c>
      <c r="S23">
        <f>_xlfn.IFNA(51-MATCH(Songs!$A23,Data!O$2:O$51,0),NA())</f>
        <v>24</v>
      </c>
      <c r="T23">
        <f>_xlfn.IFNA(51-MATCH(Songs!$A23,Data!P$2:P$51,0),NA())</f>
        <v>26</v>
      </c>
      <c r="U23">
        <f>_xlfn.IFNA(51-MATCH(Songs!$A23,Data!Q$2:Q$51,0),NA())</f>
        <v>29</v>
      </c>
      <c r="V23">
        <f>_xlfn.IFNA(51-MATCH(Songs!$A23,Data!R$2:R$51,0),NA())</f>
        <v>29</v>
      </c>
      <c r="W23">
        <f>_xlfn.IFNA(51-MATCH(Songs!$A23,Data!S$2:S$51,0),NA())</f>
        <v>27</v>
      </c>
      <c r="X23">
        <f>_xlfn.IFNA(51-MATCH(Songs!$A23,Data!T$2:T$51,0),NA())</f>
        <v>27</v>
      </c>
      <c r="Y23">
        <f>_xlfn.IFNA(51-MATCH(Songs!$A23,Data!U$2:U$51,0),NA())</f>
        <v>30</v>
      </c>
      <c r="Z23">
        <f>_xlfn.IFNA(51-MATCH(Songs!$A23,Data!V$2:V$51,0),NA())</f>
        <v>33</v>
      </c>
      <c r="AA23">
        <f>_xlfn.IFNA(51-MATCH(Songs!$A23,Data!W$2:W$51,0),NA())</f>
        <v>28</v>
      </c>
      <c r="AB23" t="e">
        <f>_xlfn.IFNA(51-MATCH(Songs!$A23,Data!X$2:X$51,0),NA())</f>
        <v>#N/A</v>
      </c>
      <c r="AC23" t="e">
        <f>_xlfn.IFNA(51-MATCH(Songs!$A23,Data!Y$2:Y$51,0),NA())</f>
        <v>#N/A</v>
      </c>
      <c r="AD23" t="e">
        <f>_xlfn.IFNA(51-MATCH(Songs!$A23,Data!Z$2:Z$51,0),NA())</f>
        <v>#N/A</v>
      </c>
      <c r="AE23" t="e">
        <f>_xlfn.IFNA(51-MATCH(Songs!$A23,Data!AA$2:AA$51,0),NA())</f>
        <v>#N/A</v>
      </c>
      <c r="AF23" t="e">
        <f>_xlfn.IFNA(51-MATCH(Songs!$A23,Data!AB$2:AB$51,0),NA())</f>
        <v>#N/A</v>
      </c>
      <c r="AG23" t="e">
        <f>_xlfn.IFNA(51-MATCH(Songs!$A23,Data!AC$2:AC$51,0),NA())</f>
        <v>#N/A</v>
      </c>
      <c r="AH23" t="e">
        <f>_xlfn.IFNA(51-MATCH(Songs!$A23,Data!AD$2:AD$51,0),NA())</f>
        <v>#N/A</v>
      </c>
      <c r="AI23" t="e">
        <f>_xlfn.IFNA(51-MATCH(Songs!$A23,Data!AE$2:AE$51,0),NA())</f>
        <v>#N/A</v>
      </c>
    </row>
    <row r="24" spans="1:35" ht="13.2" x14ac:dyDescent="0.25">
      <c r="A24" s="2" t="s">
        <v>33</v>
      </c>
      <c r="B24" s="2" t="s">
        <v>94</v>
      </c>
      <c r="F24" s="2">
        <v>23</v>
      </c>
      <c r="G24" s="2">
        <f ca="1">COUNTIF(INDIRECT(_xlfn.CONCAT("Data!$B$2:", ADDRESS(51,COUNTA(Data!$1:$1)+1,1,1))), Songs!A24) + F24</f>
        <v>25</v>
      </c>
      <c r="H24" s="8"/>
      <c r="I24" s="8"/>
      <c r="J24" s="8" cm="1">
        <f t="array" ref="J24">51 - MAX(IF(NOT(ISNA(K24:BB24)),K24:BB24))</f>
        <v>51</v>
      </c>
      <c r="K24" t="e">
        <f>_xlfn.IFNA(51-MATCH(Songs!$A24,Data!G$2:G$51,0),NA())</f>
        <v>#N/A</v>
      </c>
      <c r="L24" t="e">
        <f>_xlfn.IFNA(51-MATCH(Songs!$A24,Data!H$2:H$51,0),NA())</f>
        <v>#N/A</v>
      </c>
      <c r="M24" t="e">
        <f>_xlfn.IFNA(51-MATCH(Songs!$A24,Data!I$2:I$51,0),NA())</f>
        <v>#N/A</v>
      </c>
      <c r="N24" t="e">
        <f>_xlfn.IFNA(51-MATCH(Songs!$A24,Data!J$2:J$51,0),NA())</f>
        <v>#N/A</v>
      </c>
      <c r="O24" t="e">
        <f>_xlfn.IFNA(51-MATCH(Songs!$A24,Data!K$2:K$51,0),NA())</f>
        <v>#N/A</v>
      </c>
      <c r="P24" t="e">
        <f>_xlfn.IFNA(51-MATCH(Songs!$A24,Data!L$2:L$51,0),NA())</f>
        <v>#N/A</v>
      </c>
      <c r="Q24" t="e">
        <f>_xlfn.IFNA(51-MATCH(Songs!$A24,Data!M$2:M$51,0),NA())</f>
        <v>#N/A</v>
      </c>
      <c r="R24" t="e">
        <f>_xlfn.IFNA(51-MATCH(Songs!$A24,Data!N$2:N$51,0),NA())</f>
        <v>#N/A</v>
      </c>
      <c r="S24" t="e">
        <f>_xlfn.IFNA(51-MATCH(Songs!$A24,Data!O$2:O$51,0),NA())</f>
        <v>#N/A</v>
      </c>
      <c r="T24" t="e">
        <f>_xlfn.IFNA(51-MATCH(Songs!$A24,Data!P$2:P$51,0),NA())</f>
        <v>#N/A</v>
      </c>
      <c r="U24" t="e">
        <f>_xlfn.IFNA(51-MATCH(Songs!$A24,Data!Q$2:Q$51,0),NA())</f>
        <v>#N/A</v>
      </c>
      <c r="V24" t="e">
        <f>_xlfn.IFNA(51-MATCH(Songs!$A24,Data!R$2:R$51,0),NA())</f>
        <v>#N/A</v>
      </c>
      <c r="W24" t="e">
        <f>_xlfn.IFNA(51-MATCH(Songs!$A24,Data!S$2:S$51,0),NA())</f>
        <v>#N/A</v>
      </c>
      <c r="X24" t="e">
        <f>_xlfn.IFNA(51-MATCH(Songs!$A24,Data!T$2:T$51,0),NA())</f>
        <v>#N/A</v>
      </c>
      <c r="Y24" t="e">
        <f>_xlfn.IFNA(51-MATCH(Songs!$A24,Data!U$2:U$51,0),NA())</f>
        <v>#N/A</v>
      </c>
      <c r="Z24" t="e">
        <f>_xlfn.IFNA(51-MATCH(Songs!$A24,Data!V$2:V$51,0),NA())</f>
        <v>#N/A</v>
      </c>
      <c r="AA24" t="e">
        <f>_xlfn.IFNA(51-MATCH(Songs!$A24,Data!W$2:W$51,0),NA())</f>
        <v>#N/A</v>
      </c>
      <c r="AB24" t="e">
        <f>_xlfn.IFNA(51-MATCH(Songs!$A24,Data!X$2:X$51,0),NA())</f>
        <v>#N/A</v>
      </c>
      <c r="AC24" t="e">
        <f>_xlfn.IFNA(51-MATCH(Songs!$A24,Data!Y$2:Y$51,0),NA())</f>
        <v>#N/A</v>
      </c>
      <c r="AD24" t="e">
        <f>_xlfn.IFNA(51-MATCH(Songs!$A24,Data!Z$2:Z$51,0),NA())</f>
        <v>#N/A</v>
      </c>
      <c r="AE24" t="e">
        <f>_xlfn.IFNA(51-MATCH(Songs!$A24,Data!AA$2:AA$51,0),NA())</f>
        <v>#N/A</v>
      </c>
      <c r="AF24" t="e">
        <f>_xlfn.IFNA(51-MATCH(Songs!$A24,Data!AB$2:AB$51,0),NA())</f>
        <v>#N/A</v>
      </c>
      <c r="AG24" t="e">
        <f>_xlfn.IFNA(51-MATCH(Songs!$A24,Data!AC$2:AC$51,0),NA())</f>
        <v>#N/A</v>
      </c>
      <c r="AH24" t="e">
        <f>_xlfn.IFNA(51-MATCH(Songs!$A24,Data!AD$2:AD$51,0),NA())</f>
        <v>#N/A</v>
      </c>
      <c r="AI24" t="e">
        <f>_xlfn.IFNA(51-MATCH(Songs!$A24,Data!AE$2:AE$51,0),NA())</f>
        <v>#N/A</v>
      </c>
    </row>
    <row r="25" spans="1:35" ht="13.2" x14ac:dyDescent="0.25">
      <c r="A25" s="2" t="s">
        <v>29</v>
      </c>
      <c r="B25" s="2" t="s">
        <v>95</v>
      </c>
      <c r="D25" s="2" t="s">
        <v>76</v>
      </c>
      <c r="E25" s="2"/>
      <c r="F25" s="2">
        <v>16</v>
      </c>
      <c r="G25" s="2">
        <f ca="1">COUNTIF(INDIRECT(_xlfn.CONCAT("Data!$B$2:", ADDRESS(51,COUNTA(Data!$1:$1)+1,1,1))), Songs!A25) + F25</f>
        <v>27</v>
      </c>
      <c r="H25" s="8"/>
      <c r="I25" s="8"/>
      <c r="J25" s="8" cm="1">
        <f t="array" ref="J25">51 - MAX(IF(NOT(ISNA(K25:BB25)),K25:BB25))</f>
        <v>14</v>
      </c>
      <c r="K25">
        <f>_xlfn.IFNA(51-MATCH(Songs!$A25,Data!G$2:G$51,0),NA())</f>
        <v>34</v>
      </c>
      <c r="L25">
        <f>_xlfn.IFNA(51-MATCH(Songs!$A25,Data!H$2:H$51,0),NA())</f>
        <v>34</v>
      </c>
      <c r="M25">
        <f>_xlfn.IFNA(51-MATCH(Songs!$A25,Data!I$2:I$51,0),NA())</f>
        <v>36</v>
      </c>
      <c r="N25">
        <f>_xlfn.IFNA(51-MATCH(Songs!$A25,Data!J$2:J$51,0),NA())</f>
        <v>35</v>
      </c>
      <c r="O25">
        <f>_xlfn.IFNA(51-MATCH(Songs!$A25,Data!K$2:K$51,0),NA())</f>
        <v>37</v>
      </c>
      <c r="P25">
        <f>_xlfn.IFNA(51-MATCH(Songs!$A25,Data!L$2:L$51,0),NA())</f>
        <v>37</v>
      </c>
      <c r="Q25" t="e">
        <f>_xlfn.IFNA(51-MATCH(Songs!$A25,Data!M$2:M$51,0),NA())</f>
        <v>#N/A</v>
      </c>
      <c r="R25" t="e">
        <f>_xlfn.IFNA(51-MATCH(Songs!$A25,Data!N$2:N$51,0),NA())</f>
        <v>#N/A</v>
      </c>
      <c r="S25" t="e">
        <f>_xlfn.IFNA(51-MATCH(Songs!$A25,Data!O$2:O$51,0),NA())</f>
        <v>#N/A</v>
      </c>
      <c r="T25" t="e">
        <f>_xlfn.IFNA(51-MATCH(Songs!$A25,Data!P$2:P$51,0),NA())</f>
        <v>#N/A</v>
      </c>
      <c r="U25" t="e">
        <f>_xlfn.IFNA(51-MATCH(Songs!$A25,Data!Q$2:Q$51,0),NA())</f>
        <v>#N/A</v>
      </c>
      <c r="V25" t="e">
        <f>_xlfn.IFNA(51-MATCH(Songs!$A25,Data!R$2:R$51,0),NA())</f>
        <v>#N/A</v>
      </c>
      <c r="W25" t="e">
        <f>_xlfn.IFNA(51-MATCH(Songs!$A25,Data!S$2:S$51,0),NA())</f>
        <v>#N/A</v>
      </c>
      <c r="X25" t="e">
        <f>_xlfn.IFNA(51-MATCH(Songs!$A25,Data!T$2:T$51,0),NA())</f>
        <v>#N/A</v>
      </c>
      <c r="Y25" t="e">
        <f>_xlfn.IFNA(51-MATCH(Songs!$A25,Data!U$2:U$51,0),NA())</f>
        <v>#N/A</v>
      </c>
      <c r="Z25" t="e">
        <f>_xlfn.IFNA(51-MATCH(Songs!$A25,Data!V$2:V$51,0),NA())</f>
        <v>#N/A</v>
      </c>
      <c r="AA25" t="e">
        <f>_xlfn.IFNA(51-MATCH(Songs!$A25,Data!W$2:W$51,0),NA())</f>
        <v>#N/A</v>
      </c>
      <c r="AB25" t="e">
        <f>_xlfn.IFNA(51-MATCH(Songs!$A25,Data!X$2:X$51,0),NA())</f>
        <v>#N/A</v>
      </c>
      <c r="AC25" t="e">
        <f>_xlfn.IFNA(51-MATCH(Songs!$A25,Data!Y$2:Y$51,0),NA())</f>
        <v>#N/A</v>
      </c>
      <c r="AD25" t="e">
        <f>_xlfn.IFNA(51-MATCH(Songs!$A25,Data!Z$2:Z$51,0),NA())</f>
        <v>#N/A</v>
      </c>
      <c r="AE25" t="e">
        <f>_xlfn.IFNA(51-MATCH(Songs!$A25,Data!AA$2:AA$51,0),NA())</f>
        <v>#N/A</v>
      </c>
      <c r="AF25" t="e">
        <f>_xlfn.IFNA(51-MATCH(Songs!$A25,Data!AB$2:AB$51,0),NA())</f>
        <v>#N/A</v>
      </c>
      <c r="AG25" t="e">
        <f>_xlfn.IFNA(51-MATCH(Songs!$A25,Data!AC$2:AC$51,0),NA())</f>
        <v>#N/A</v>
      </c>
      <c r="AH25" t="e">
        <f>_xlfn.IFNA(51-MATCH(Songs!$A25,Data!AD$2:AD$51,0),NA())</f>
        <v>#N/A</v>
      </c>
      <c r="AI25" t="e">
        <f>_xlfn.IFNA(51-MATCH(Songs!$A25,Data!AE$2:AE$51,0),NA())</f>
        <v>#N/A</v>
      </c>
    </row>
    <row r="26" spans="1:35" ht="13.2" x14ac:dyDescent="0.25">
      <c r="A26" s="2" t="s">
        <v>31</v>
      </c>
      <c r="B26" s="2" t="s">
        <v>96</v>
      </c>
      <c r="F26" s="2">
        <v>15</v>
      </c>
      <c r="G26" s="2">
        <f ca="1">COUNTIF(INDIRECT(_xlfn.CONCAT("Data!$B$2:", ADDRESS(51,COUNTA(Data!$1:$1)+1,1,1))), Songs!A26) + F26</f>
        <v>29</v>
      </c>
      <c r="H26" s="8"/>
      <c r="I26" s="8"/>
      <c r="J26" s="8" cm="1">
        <f t="array" ref="J26">51 - MAX(IF(NOT(ISNA(K26:BB26)),K26:BB26))</f>
        <v>19</v>
      </c>
      <c r="K26">
        <f>_xlfn.IFNA(51-MATCH(Songs!$A26,Data!G$2:G$51,0),NA())</f>
        <v>31</v>
      </c>
      <c r="L26">
        <f>_xlfn.IFNA(51-MATCH(Songs!$A26,Data!H$2:H$51,0),NA())</f>
        <v>31</v>
      </c>
      <c r="M26">
        <f>_xlfn.IFNA(51-MATCH(Songs!$A26,Data!I$2:I$51,0),NA())</f>
        <v>32</v>
      </c>
      <c r="N26">
        <f>_xlfn.IFNA(51-MATCH(Songs!$A26,Data!J$2:J$51,0),NA())</f>
        <v>31</v>
      </c>
      <c r="O26">
        <f>_xlfn.IFNA(51-MATCH(Songs!$A26,Data!K$2:K$51,0),NA())</f>
        <v>30</v>
      </c>
      <c r="P26">
        <f>_xlfn.IFNA(51-MATCH(Songs!$A26,Data!L$2:L$51,0),NA())</f>
        <v>31</v>
      </c>
      <c r="Q26">
        <f>_xlfn.IFNA(51-MATCH(Songs!$A26,Data!M$2:M$51,0),NA())</f>
        <v>19</v>
      </c>
      <c r="R26">
        <f>_xlfn.IFNA(51-MATCH(Songs!$A26,Data!N$2:N$51,0),NA())</f>
        <v>24</v>
      </c>
      <c r="S26">
        <f>_xlfn.IFNA(51-MATCH(Songs!$A26,Data!O$2:O$51,0),NA())</f>
        <v>25</v>
      </c>
      <c r="T26" t="e">
        <f>_xlfn.IFNA(51-MATCH(Songs!$A26,Data!P$2:P$51,0),NA())</f>
        <v>#N/A</v>
      </c>
      <c r="U26" t="e">
        <f>_xlfn.IFNA(51-MATCH(Songs!$A26,Data!Q$2:Q$51,0),NA())</f>
        <v>#N/A</v>
      </c>
      <c r="V26" t="e">
        <f>_xlfn.IFNA(51-MATCH(Songs!$A26,Data!R$2:R$51,0),NA())</f>
        <v>#N/A</v>
      </c>
      <c r="W26" t="e">
        <f>_xlfn.IFNA(51-MATCH(Songs!$A26,Data!S$2:S$51,0),NA())</f>
        <v>#N/A</v>
      </c>
      <c r="X26" t="e">
        <f>_xlfn.IFNA(51-MATCH(Songs!$A26,Data!T$2:T$51,0),NA())</f>
        <v>#N/A</v>
      </c>
      <c r="Y26" t="e">
        <f>_xlfn.IFNA(51-MATCH(Songs!$A26,Data!U$2:U$51,0),NA())</f>
        <v>#N/A</v>
      </c>
      <c r="Z26" t="e">
        <f>_xlfn.IFNA(51-MATCH(Songs!$A26,Data!V$2:V$51,0),NA())</f>
        <v>#N/A</v>
      </c>
      <c r="AA26" t="e">
        <f>_xlfn.IFNA(51-MATCH(Songs!$A26,Data!W$2:W$51,0),NA())</f>
        <v>#N/A</v>
      </c>
      <c r="AB26" t="e">
        <f>_xlfn.IFNA(51-MATCH(Songs!$A26,Data!X$2:X$51,0),NA())</f>
        <v>#N/A</v>
      </c>
      <c r="AC26" t="e">
        <f>_xlfn.IFNA(51-MATCH(Songs!$A26,Data!Y$2:Y$51,0),NA())</f>
        <v>#N/A</v>
      </c>
      <c r="AD26" t="e">
        <f>_xlfn.IFNA(51-MATCH(Songs!$A26,Data!Z$2:Z$51,0),NA())</f>
        <v>#N/A</v>
      </c>
      <c r="AE26" t="e">
        <f>_xlfn.IFNA(51-MATCH(Songs!$A26,Data!AA$2:AA$51,0),NA())</f>
        <v>#N/A</v>
      </c>
      <c r="AF26" t="e">
        <f>_xlfn.IFNA(51-MATCH(Songs!$A26,Data!AB$2:AB$51,0),NA())</f>
        <v>#N/A</v>
      </c>
      <c r="AG26" t="e">
        <f>_xlfn.IFNA(51-MATCH(Songs!$A26,Data!AC$2:AC$51,0),NA())</f>
        <v>#N/A</v>
      </c>
      <c r="AH26" t="e">
        <f>_xlfn.IFNA(51-MATCH(Songs!$A26,Data!AD$2:AD$51,0),NA())</f>
        <v>#N/A</v>
      </c>
      <c r="AI26" t="e">
        <f>_xlfn.IFNA(51-MATCH(Songs!$A26,Data!AE$2:AE$51,0),NA())</f>
        <v>#N/A</v>
      </c>
    </row>
    <row r="27" spans="1:35" ht="13.2" x14ac:dyDescent="0.25">
      <c r="A27" s="2" t="s">
        <v>37</v>
      </c>
      <c r="B27" s="2" t="s">
        <v>97</v>
      </c>
      <c r="F27" s="2">
        <v>14</v>
      </c>
      <c r="G27" s="2">
        <f ca="1">COUNTIF(INDIRECT(_xlfn.CONCAT("Data!$B$2:", ADDRESS(51,COUNTA(Data!$1:$1)+1,1,1))), Songs!A27) + F27</f>
        <v>21</v>
      </c>
      <c r="H27" s="8"/>
      <c r="I27" s="8"/>
      <c r="J27" s="8" cm="1">
        <f t="array" ref="J27">51 - MAX(IF(NOT(ISNA(K27:BB27)),K27:BB27))</f>
        <v>38</v>
      </c>
      <c r="K27">
        <f>_xlfn.IFNA(51-MATCH(Songs!$A27,Data!G$2:G$51,0),NA())</f>
        <v>13</v>
      </c>
      <c r="L27">
        <f>_xlfn.IFNA(51-MATCH(Songs!$A27,Data!H$2:H$51,0),NA())</f>
        <v>9</v>
      </c>
      <c r="M27" t="e">
        <f>_xlfn.IFNA(51-MATCH(Songs!$A27,Data!I$2:I$51,0),NA())</f>
        <v>#N/A</v>
      </c>
      <c r="N27" t="e">
        <f>_xlfn.IFNA(51-MATCH(Songs!$A27,Data!J$2:J$51,0),NA())</f>
        <v>#N/A</v>
      </c>
      <c r="O27" t="e">
        <f>_xlfn.IFNA(51-MATCH(Songs!$A27,Data!K$2:K$51,0),NA())</f>
        <v>#N/A</v>
      </c>
      <c r="P27" t="e">
        <f>_xlfn.IFNA(51-MATCH(Songs!$A27,Data!L$2:L$51,0),NA())</f>
        <v>#N/A</v>
      </c>
      <c r="Q27" t="e">
        <f>_xlfn.IFNA(51-MATCH(Songs!$A27,Data!M$2:M$51,0),NA())</f>
        <v>#N/A</v>
      </c>
      <c r="R27" t="e">
        <f>_xlfn.IFNA(51-MATCH(Songs!$A27,Data!N$2:N$51,0),NA())</f>
        <v>#N/A</v>
      </c>
      <c r="S27" t="e">
        <f>_xlfn.IFNA(51-MATCH(Songs!$A27,Data!O$2:O$51,0),NA())</f>
        <v>#N/A</v>
      </c>
      <c r="T27" t="e">
        <f>_xlfn.IFNA(51-MATCH(Songs!$A27,Data!P$2:P$51,0),NA())</f>
        <v>#N/A</v>
      </c>
      <c r="U27" t="e">
        <f>_xlfn.IFNA(51-MATCH(Songs!$A27,Data!Q$2:Q$51,0),NA())</f>
        <v>#N/A</v>
      </c>
      <c r="V27" t="e">
        <f>_xlfn.IFNA(51-MATCH(Songs!$A27,Data!R$2:R$51,0),NA())</f>
        <v>#N/A</v>
      </c>
      <c r="W27" t="e">
        <f>_xlfn.IFNA(51-MATCH(Songs!$A27,Data!S$2:S$51,0),NA())</f>
        <v>#N/A</v>
      </c>
      <c r="X27" t="e">
        <f>_xlfn.IFNA(51-MATCH(Songs!$A27,Data!T$2:T$51,0),NA())</f>
        <v>#N/A</v>
      </c>
      <c r="Y27" t="e">
        <f>_xlfn.IFNA(51-MATCH(Songs!$A27,Data!U$2:U$51,0),NA())</f>
        <v>#N/A</v>
      </c>
      <c r="Z27" t="e">
        <f>_xlfn.IFNA(51-MATCH(Songs!$A27,Data!V$2:V$51,0),NA())</f>
        <v>#N/A</v>
      </c>
      <c r="AA27" t="e">
        <f>_xlfn.IFNA(51-MATCH(Songs!$A27,Data!W$2:W$51,0),NA())</f>
        <v>#N/A</v>
      </c>
      <c r="AB27" t="e">
        <f>_xlfn.IFNA(51-MATCH(Songs!$A27,Data!X$2:X$51,0),NA())</f>
        <v>#N/A</v>
      </c>
      <c r="AC27" t="e">
        <f>_xlfn.IFNA(51-MATCH(Songs!$A27,Data!Y$2:Y$51,0),NA())</f>
        <v>#N/A</v>
      </c>
      <c r="AD27" t="e">
        <f>_xlfn.IFNA(51-MATCH(Songs!$A27,Data!Z$2:Z$51,0),NA())</f>
        <v>#N/A</v>
      </c>
      <c r="AE27" t="e">
        <f>_xlfn.IFNA(51-MATCH(Songs!$A27,Data!AA$2:AA$51,0),NA())</f>
        <v>#N/A</v>
      </c>
      <c r="AF27" t="e">
        <f>_xlfn.IFNA(51-MATCH(Songs!$A27,Data!AB$2:AB$51,0),NA())</f>
        <v>#N/A</v>
      </c>
      <c r="AG27" t="e">
        <f>_xlfn.IFNA(51-MATCH(Songs!$A27,Data!AC$2:AC$51,0),NA())</f>
        <v>#N/A</v>
      </c>
      <c r="AH27" t="e">
        <f>_xlfn.IFNA(51-MATCH(Songs!$A27,Data!AD$2:AD$51,0),NA())</f>
        <v>#N/A</v>
      </c>
      <c r="AI27" t="e">
        <f>_xlfn.IFNA(51-MATCH(Songs!$A27,Data!AE$2:AE$51,0),NA())</f>
        <v>#N/A</v>
      </c>
    </row>
    <row r="28" spans="1:35" ht="13.2" x14ac:dyDescent="0.25">
      <c r="A28" s="2" t="s">
        <v>36</v>
      </c>
      <c r="B28" s="2" t="s">
        <v>98</v>
      </c>
      <c r="F28" s="2">
        <v>9</v>
      </c>
      <c r="G28" s="2">
        <f ca="1">COUNTIF(INDIRECT(_xlfn.CONCAT("Data!$B$2:", ADDRESS(51,COUNTA(Data!$1:$1)+1,1,1))), Songs!A28) + F28</f>
        <v>27</v>
      </c>
      <c r="H28" s="8"/>
      <c r="I28" s="8"/>
      <c r="J28" s="8" cm="1">
        <f t="array" ref="J28">51 - MAX(IF(NOT(ISNA(K28:BB28)),K28:BB28))</f>
        <v>8</v>
      </c>
      <c r="K28">
        <f>_xlfn.IFNA(51-MATCH(Songs!$A28,Data!G$2:G$51,0),NA())</f>
        <v>32</v>
      </c>
      <c r="L28">
        <f>_xlfn.IFNA(51-MATCH(Songs!$A28,Data!H$2:H$51,0),NA())</f>
        <v>33</v>
      </c>
      <c r="M28">
        <f>_xlfn.IFNA(51-MATCH(Songs!$A28,Data!I$2:I$51,0),NA())</f>
        <v>35</v>
      </c>
      <c r="N28">
        <f>_xlfn.IFNA(51-MATCH(Songs!$A28,Data!J$2:J$51,0),NA())</f>
        <v>36</v>
      </c>
      <c r="O28">
        <f>_xlfn.IFNA(51-MATCH(Songs!$A28,Data!K$2:K$51,0),NA())</f>
        <v>38</v>
      </c>
      <c r="P28">
        <f>_xlfn.IFNA(51-MATCH(Songs!$A28,Data!L$2:L$51,0),NA())</f>
        <v>38</v>
      </c>
      <c r="Q28">
        <f>_xlfn.IFNA(51-MATCH(Songs!$A28,Data!M$2:M$51,0),NA())</f>
        <v>30</v>
      </c>
      <c r="R28">
        <f>_xlfn.IFNA(51-MATCH(Songs!$A28,Data!N$2:N$51,0),NA())</f>
        <v>40</v>
      </c>
      <c r="S28">
        <f>_xlfn.IFNA(51-MATCH(Songs!$A28,Data!O$2:O$51,0),NA())</f>
        <v>41</v>
      </c>
      <c r="T28">
        <f>_xlfn.IFNA(51-MATCH(Songs!$A28,Data!P$2:P$51,0),NA())</f>
        <v>43</v>
      </c>
      <c r="U28">
        <f>_xlfn.IFNA(51-MATCH(Songs!$A28,Data!Q$2:Q$51,0),NA())</f>
        <v>43</v>
      </c>
      <c r="V28">
        <f>_xlfn.IFNA(51-MATCH(Songs!$A28,Data!R$2:R$51,0),NA())</f>
        <v>41</v>
      </c>
      <c r="W28">
        <f>_xlfn.IFNA(51-MATCH(Songs!$A28,Data!S$2:S$51,0),NA())</f>
        <v>37</v>
      </c>
      <c r="X28" t="e">
        <f>_xlfn.IFNA(51-MATCH(Songs!$A28,Data!T$2:T$51,0),NA())</f>
        <v>#N/A</v>
      </c>
      <c r="Y28" t="e">
        <f>_xlfn.IFNA(51-MATCH(Songs!$A28,Data!U$2:U$51,0),NA())</f>
        <v>#N/A</v>
      </c>
      <c r="Z28" t="e">
        <f>_xlfn.IFNA(51-MATCH(Songs!$A28,Data!V$2:V$51,0),NA())</f>
        <v>#N/A</v>
      </c>
      <c r="AA28" t="e">
        <f>_xlfn.IFNA(51-MATCH(Songs!$A28,Data!W$2:W$51,0),NA())</f>
        <v>#N/A</v>
      </c>
      <c r="AB28" t="e">
        <f>_xlfn.IFNA(51-MATCH(Songs!$A28,Data!X$2:X$51,0),NA())</f>
        <v>#N/A</v>
      </c>
      <c r="AC28" t="e">
        <f>_xlfn.IFNA(51-MATCH(Songs!$A28,Data!Y$2:Y$51,0),NA())</f>
        <v>#N/A</v>
      </c>
      <c r="AD28" t="e">
        <f>_xlfn.IFNA(51-MATCH(Songs!$A28,Data!Z$2:Z$51,0),NA())</f>
        <v>#N/A</v>
      </c>
      <c r="AE28" t="e">
        <f>_xlfn.IFNA(51-MATCH(Songs!$A28,Data!AA$2:AA$51,0),NA())</f>
        <v>#N/A</v>
      </c>
      <c r="AF28" t="e">
        <f>_xlfn.IFNA(51-MATCH(Songs!$A28,Data!AB$2:AB$51,0),NA())</f>
        <v>#N/A</v>
      </c>
      <c r="AG28" t="e">
        <f>_xlfn.IFNA(51-MATCH(Songs!$A28,Data!AC$2:AC$51,0),NA())</f>
        <v>#N/A</v>
      </c>
      <c r="AH28" t="e">
        <f>_xlfn.IFNA(51-MATCH(Songs!$A28,Data!AD$2:AD$51,0),NA())</f>
        <v>#N/A</v>
      </c>
      <c r="AI28" t="e">
        <f>_xlfn.IFNA(51-MATCH(Songs!$A28,Data!AE$2:AE$51,0),NA())</f>
        <v>#N/A</v>
      </c>
    </row>
    <row r="29" spans="1:35" ht="13.2" x14ac:dyDescent="0.25">
      <c r="A29" s="2" t="s">
        <v>38</v>
      </c>
      <c r="B29" s="2" t="s">
        <v>99</v>
      </c>
      <c r="F29" s="2">
        <v>16</v>
      </c>
      <c r="G29" s="2">
        <f ca="1">COUNTIF(INDIRECT(_xlfn.CONCAT("Data!$B$2:", ADDRESS(51,COUNTA(Data!$1:$1)+1,1,1))), Songs!A29) + F29</f>
        <v>20</v>
      </c>
      <c r="H29" s="8"/>
      <c r="I29" s="8"/>
      <c r="J29" s="8" cm="1">
        <f t="array" ref="J29">51 - MAX(IF(NOT(ISNA(K29:BB29)),K29:BB29))</f>
        <v>51</v>
      </c>
      <c r="K29" t="e">
        <f>_xlfn.IFNA(51-MATCH(Songs!$A29,Data!G$2:G$51,0),NA())</f>
        <v>#N/A</v>
      </c>
      <c r="L29" t="e">
        <f>_xlfn.IFNA(51-MATCH(Songs!$A29,Data!H$2:H$51,0),NA())</f>
        <v>#N/A</v>
      </c>
      <c r="M29" t="e">
        <f>_xlfn.IFNA(51-MATCH(Songs!$A29,Data!I$2:I$51,0),NA())</f>
        <v>#N/A</v>
      </c>
      <c r="N29" t="e">
        <f>_xlfn.IFNA(51-MATCH(Songs!$A29,Data!J$2:J$51,0),NA())</f>
        <v>#N/A</v>
      </c>
      <c r="O29" t="e">
        <f>_xlfn.IFNA(51-MATCH(Songs!$A29,Data!K$2:K$51,0),NA())</f>
        <v>#N/A</v>
      </c>
      <c r="P29" t="e">
        <f>_xlfn.IFNA(51-MATCH(Songs!$A29,Data!L$2:L$51,0),NA())</f>
        <v>#N/A</v>
      </c>
      <c r="Q29" t="e">
        <f>_xlfn.IFNA(51-MATCH(Songs!$A29,Data!M$2:M$51,0),NA())</f>
        <v>#N/A</v>
      </c>
      <c r="R29" t="e">
        <f>_xlfn.IFNA(51-MATCH(Songs!$A29,Data!N$2:N$51,0),NA())</f>
        <v>#N/A</v>
      </c>
      <c r="S29" t="e">
        <f>_xlfn.IFNA(51-MATCH(Songs!$A29,Data!O$2:O$51,0),NA())</f>
        <v>#N/A</v>
      </c>
      <c r="T29" t="e">
        <f>_xlfn.IFNA(51-MATCH(Songs!$A29,Data!P$2:P$51,0),NA())</f>
        <v>#N/A</v>
      </c>
      <c r="U29" t="e">
        <f>_xlfn.IFNA(51-MATCH(Songs!$A29,Data!Q$2:Q$51,0),NA())</f>
        <v>#N/A</v>
      </c>
      <c r="V29" t="e">
        <f>_xlfn.IFNA(51-MATCH(Songs!$A29,Data!R$2:R$51,0),NA())</f>
        <v>#N/A</v>
      </c>
      <c r="W29" t="e">
        <f>_xlfn.IFNA(51-MATCH(Songs!$A29,Data!S$2:S$51,0),NA())</f>
        <v>#N/A</v>
      </c>
      <c r="X29" t="e">
        <f>_xlfn.IFNA(51-MATCH(Songs!$A29,Data!T$2:T$51,0),NA())</f>
        <v>#N/A</v>
      </c>
      <c r="Y29" t="e">
        <f>_xlfn.IFNA(51-MATCH(Songs!$A29,Data!U$2:U$51,0),NA())</f>
        <v>#N/A</v>
      </c>
      <c r="Z29" t="e">
        <f>_xlfn.IFNA(51-MATCH(Songs!$A29,Data!V$2:V$51,0),NA())</f>
        <v>#N/A</v>
      </c>
      <c r="AA29" t="e">
        <f>_xlfn.IFNA(51-MATCH(Songs!$A29,Data!W$2:W$51,0),NA())</f>
        <v>#N/A</v>
      </c>
      <c r="AB29" t="e">
        <f>_xlfn.IFNA(51-MATCH(Songs!$A29,Data!X$2:X$51,0),NA())</f>
        <v>#N/A</v>
      </c>
      <c r="AC29" t="e">
        <f>_xlfn.IFNA(51-MATCH(Songs!$A29,Data!Y$2:Y$51,0),NA())</f>
        <v>#N/A</v>
      </c>
      <c r="AD29" t="e">
        <f>_xlfn.IFNA(51-MATCH(Songs!$A29,Data!Z$2:Z$51,0),NA())</f>
        <v>#N/A</v>
      </c>
      <c r="AE29" t="e">
        <f>_xlfn.IFNA(51-MATCH(Songs!$A29,Data!AA$2:AA$51,0),NA())</f>
        <v>#N/A</v>
      </c>
      <c r="AF29" t="e">
        <f>_xlfn.IFNA(51-MATCH(Songs!$A29,Data!AB$2:AB$51,0),NA())</f>
        <v>#N/A</v>
      </c>
      <c r="AG29" t="e">
        <f>_xlfn.IFNA(51-MATCH(Songs!$A29,Data!AC$2:AC$51,0),NA())</f>
        <v>#N/A</v>
      </c>
      <c r="AH29" t="e">
        <f>_xlfn.IFNA(51-MATCH(Songs!$A29,Data!AD$2:AD$51,0),NA())</f>
        <v>#N/A</v>
      </c>
      <c r="AI29" t="e">
        <f>_xlfn.IFNA(51-MATCH(Songs!$A29,Data!AE$2:AE$51,0),NA())</f>
        <v>#N/A</v>
      </c>
    </row>
    <row r="30" spans="1:35" ht="13.2" x14ac:dyDescent="0.25">
      <c r="A30" s="2" t="s">
        <v>40</v>
      </c>
      <c r="B30" s="2" t="s">
        <v>100</v>
      </c>
      <c r="F30" s="2">
        <v>25</v>
      </c>
      <c r="G30" s="2">
        <f ca="1">COUNTIF(INDIRECT(_xlfn.CONCAT("Data!$B$2:", ADDRESS(51,COUNTA(Data!$1:$1)+1,1,1))), Songs!A30) + F30</f>
        <v>41</v>
      </c>
      <c r="H30" s="8"/>
      <c r="I30" s="8"/>
      <c r="J30" s="8" cm="1">
        <f t="array" ref="J30">51 - MAX(IF(NOT(ISNA(K30:BB30)),K30:BB30))</f>
        <v>30</v>
      </c>
      <c r="K30">
        <f>_xlfn.IFNA(51-MATCH(Songs!$A30,Data!G$2:G$51,0),NA())</f>
        <v>21</v>
      </c>
      <c r="L30">
        <f>_xlfn.IFNA(51-MATCH(Songs!$A30,Data!H$2:H$51,0),NA())</f>
        <v>14</v>
      </c>
      <c r="M30">
        <f>_xlfn.IFNA(51-MATCH(Songs!$A30,Data!I$2:I$51,0),NA())</f>
        <v>17</v>
      </c>
      <c r="N30">
        <f>_xlfn.IFNA(51-MATCH(Songs!$A30,Data!J$2:J$51,0),NA())</f>
        <v>10</v>
      </c>
      <c r="O30">
        <f>_xlfn.IFNA(51-MATCH(Songs!$A30,Data!K$2:K$51,0),NA())</f>
        <v>10</v>
      </c>
      <c r="P30">
        <f>_xlfn.IFNA(51-MATCH(Songs!$A30,Data!L$2:L$51,0),NA())</f>
        <v>16</v>
      </c>
      <c r="Q30">
        <f>_xlfn.IFNA(51-MATCH(Songs!$A30,Data!M$2:M$51,0),NA())</f>
        <v>1</v>
      </c>
      <c r="R30" t="e">
        <f>_xlfn.IFNA(51-MATCH(Songs!$A30,Data!N$2:N$51,0),NA())</f>
        <v>#N/A</v>
      </c>
      <c r="S30">
        <f>_xlfn.IFNA(51-MATCH(Songs!$A30,Data!O$2:O$51,0),NA())</f>
        <v>4</v>
      </c>
      <c r="T30">
        <f>_xlfn.IFNA(51-MATCH(Songs!$A30,Data!P$2:P$51,0),NA())</f>
        <v>7</v>
      </c>
      <c r="U30">
        <f>_xlfn.IFNA(51-MATCH(Songs!$A30,Data!Q$2:Q$51,0),NA())</f>
        <v>10</v>
      </c>
      <c r="V30">
        <f>_xlfn.IFNA(51-MATCH(Songs!$A30,Data!R$2:R$51,0),NA())</f>
        <v>12</v>
      </c>
      <c r="W30" t="e">
        <f>_xlfn.IFNA(51-MATCH(Songs!$A30,Data!S$2:S$51,0),NA())</f>
        <v>#N/A</v>
      </c>
      <c r="X30" t="e">
        <f>_xlfn.IFNA(51-MATCH(Songs!$A30,Data!T$2:T$51,0),NA())</f>
        <v>#N/A</v>
      </c>
      <c r="Y30" t="e">
        <f>_xlfn.IFNA(51-MATCH(Songs!$A30,Data!U$2:U$51,0),NA())</f>
        <v>#N/A</v>
      </c>
      <c r="Z30" t="e">
        <f>_xlfn.IFNA(51-MATCH(Songs!$A30,Data!V$2:V$51,0),NA())</f>
        <v>#N/A</v>
      </c>
      <c r="AA30" t="e">
        <f>_xlfn.IFNA(51-MATCH(Songs!$A30,Data!W$2:W$51,0),NA())</f>
        <v>#N/A</v>
      </c>
      <c r="AB30" t="e">
        <f>_xlfn.IFNA(51-MATCH(Songs!$A30,Data!X$2:X$51,0),NA())</f>
        <v>#N/A</v>
      </c>
      <c r="AC30" t="e">
        <f>_xlfn.IFNA(51-MATCH(Songs!$A30,Data!Y$2:Y$51,0),NA())</f>
        <v>#N/A</v>
      </c>
      <c r="AD30" t="e">
        <f>_xlfn.IFNA(51-MATCH(Songs!$A30,Data!Z$2:Z$51,0),NA())</f>
        <v>#N/A</v>
      </c>
      <c r="AE30" t="e">
        <f>_xlfn.IFNA(51-MATCH(Songs!$A30,Data!AA$2:AA$51,0),NA())</f>
        <v>#N/A</v>
      </c>
      <c r="AF30" t="e">
        <f>_xlfn.IFNA(51-MATCH(Songs!$A30,Data!AB$2:AB$51,0),NA())</f>
        <v>#N/A</v>
      </c>
      <c r="AG30" t="e">
        <f>_xlfn.IFNA(51-MATCH(Songs!$A30,Data!AC$2:AC$51,0),NA())</f>
        <v>#N/A</v>
      </c>
      <c r="AH30" t="e">
        <f>_xlfn.IFNA(51-MATCH(Songs!$A30,Data!AD$2:AD$51,0),NA())</f>
        <v>#N/A</v>
      </c>
      <c r="AI30" t="e">
        <f>_xlfn.IFNA(51-MATCH(Songs!$A30,Data!AE$2:AE$51,0),NA())</f>
        <v>#N/A</v>
      </c>
    </row>
    <row r="31" spans="1:35" ht="13.2" x14ac:dyDescent="0.25">
      <c r="A31" s="2" t="s">
        <v>41</v>
      </c>
      <c r="B31" s="2" t="s">
        <v>101</v>
      </c>
      <c r="F31" s="2">
        <v>26</v>
      </c>
      <c r="G31" s="2">
        <f ca="1">COUNTIF(INDIRECT(_xlfn.CONCAT("Data!$B$2:", ADDRESS(51,COUNTA(Data!$1:$1)+1,1,1))), Songs!A31) + F31</f>
        <v>52</v>
      </c>
      <c r="H31" s="8"/>
      <c r="I31" s="8"/>
      <c r="J31" s="8" cm="1">
        <f t="array" ref="J31">51 - MAX(IF(NOT(ISNA(K31:BB31)),K31:BB31))</f>
        <v>16</v>
      </c>
      <c r="K31">
        <f>_xlfn.IFNA(51-MATCH(Songs!$A31,Data!G$2:G$51,0),NA())</f>
        <v>23</v>
      </c>
      <c r="L31">
        <f>_xlfn.IFNA(51-MATCH(Songs!$A31,Data!H$2:H$51,0),NA())</f>
        <v>21</v>
      </c>
      <c r="M31">
        <f>_xlfn.IFNA(51-MATCH(Songs!$A31,Data!I$2:I$51,0),NA())</f>
        <v>24</v>
      </c>
      <c r="N31">
        <f>_xlfn.IFNA(51-MATCH(Songs!$A31,Data!J$2:J$51,0),NA())</f>
        <v>27</v>
      </c>
      <c r="O31">
        <f>_xlfn.IFNA(51-MATCH(Songs!$A31,Data!K$2:K$51,0),NA())</f>
        <v>27</v>
      </c>
      <c r="P31">
        <f>_xlfn.IFNA(51-MATCH(Songs!$A31,Data!L$2:L$51,0),NA())</f>
        <v>28</v>
      </c>
      <c r="Q31">
        <f>_xlfn.IFNA(51-MATCH(Songs!$A31,Data!M$2:M$51,0),NA())</f>
        <v>21</v>
      </c>
      <c r="R31">
        <f>_xlfn.IFNA(51-MATCH(Songs!$A31,Data!N$2:N$51,0),NA())</f>
        <v>27</v>
      </c>
      <c r="S31">
        <f>_xlfn.IFNA(51-MATCH(Songs!$A31,Data!O$2:O$51,0),NA())</f>
        <v>28</v>
      </c>
      <c r="T31">
        <f>_xlfn.IFNA(51-MATCH(Songs!$A31,Data!P$2:P$51,0),NA())</f>
        <v>32</v>
      </c>
      <c r="U31">
        <f>_xlfn.IFNA(51-MATCH(Songs!$A31,Data!Q$2:Q$51,0),NA())</f>
        <v>35</v>
      </c>
      <c r="V31">
        <f>_xlfn.IFNA(51-MATCH(Songs!$A31,Data!R$2:R$51,0),NA())</f>
        <v>35</v>
      </c>
      <c r="W31">
        <f>_xlfn.IFNA(51-MATCH(Songs!$A31,Data!S$2:S$51,0),NA())</f>
        <v>34</v>
      </c>
      <c r="X31">
        <f>_xlfn.IFNA(51-MATCH(Songs!$A31,Data!T$2:T$51,0),NA())</f>
        <v>33</v>
      </c>
      <c r="Y31">
        <f>_xlfn.IFNA(51-MATCH(Songs!$A31,Data!U$2:U$51,0),NA())</f>
        <v>34</v>
      </c>
      <c r="Z31">
        <f>_xlfn.IFNA(51-MATCH(Songs!$A31,Data!V$2:V$51,0),NA())</f>
        <v>35</v>
      </c>
      <c r="AA31">
        <f>_xlfn.IFNA(51-MATCH(Songs!$A31,Data!W$2:W$51,0),NA())</f>
        <v>34</v>
      </c>
      <c r="AB31">
        <f>_xlfn.IFNA(51-MATCH(Songs!$A31,Data!X$2:X$51,0),NA())</f>
        <v>33</v>
      </c>
      <c r="AC31">
        <f>_xlfn.IFNA(51-MATCH(Songs!$A31,Data!Y$2:Y$51,0),NA())</f>
        <v>35</v>
      </c>
      <c r="AD31">
        <f>_xlfn.IFNA(51-MATCH(Songs!$A31,Data!Z$2:Z$51,0),NA())</f>
        <v>34</v>
      </c>
      <c r="AE31">
        <f>_xlfn.IFNA(51-MATCH(Songs!$A31,Data!AA$2:AA$51,0),NA())</f>
        <v>30</v>
      </c>
      <c r="AF31" t="e">
        <f>_xlfn.IFNA(51-MATCH(Songs!$A31,Data!AB$2:AB$51,0),NA())</f>
        <v>#N/A</v>
      </c>
      <c r="AG31" t="e">
        <f>_xlfn.IFNA(51-MATCH(Songs!$A31,Data!AC$2:AC$51,0),NA())</f>
        <v>#N/A</v>
      </c>
      <c r="AH31" t="e">
        <f>_xlfn.IFNA(51-MATCH(Songs!$A31,Data!AD$2:AD$51,0),NA())</f>
        <v>#N/A</v>
      </c>
      <c r="AI31" t="e">
        <f>_xlfn.IFNA(51-MATCH(Songs!$A31,Data!AE$2:AE$51,0),NA())</f>
        <v>#N/A</v>
      </c>
    </row>
    <row r="32" spans="1:35" ht="13.2" x14ac:dyDescent="0.25">
      <c r="A32" s="2" t="s">
        <v>34</v>
      </c>
      <c r="B32" s="2" t="s">
        <v>102</v>
      </c>
      <c r="F32" s="2">
        <v>9</v>
      </c>
      <c r="G32" s="2">
        <f ca="1">COUNTIF(INDIRECT(_xlfn.CONCAT("Data!$B$2:", ADDRESS(51,COUNTA(Data!$1:$1)+1,1,1))), Songs!A32) + F32</f>
        <v>19</v>
      </c>
      <c r="H32" s="8"/>
      <c r="I32" s="8"/>
      <c r="J32" s="8" cm="1">
        <f t="array" ref="J32">51 - MAX(IF(NOT(ISNA(K32:BB32)),K32:BB32))</f>
        <v>22</v>
      </c>
      <c r="K32">
        <f>_xlfn.IFNA(51-MATCH(Songs!$A32,Data!G$2:G$51,0),NA())</f>
        <v>27</v>
      </c>
      <c r="L32">
        <f>_xlfn.IFNA(51-MATCH(Songs!$A32,Data!H$2:H$51,0),NA())</f>
        <v>27</v>
      </c>
      <c r="M32">
        <f>_xlfn.IFNA(51-MATCH(Songs!$A32,Data!I$2:I$51,0),NA())</f>
        <v>29</v>
      </c>
      <c r="N32">
        <f>_xlfn.IFNA(51-MATCH(Songs!$A32,Data!J$2:J$51,0),NA())</f>
        <v>25</v>
      </c>
      <c r="O32">
        <f>_xlfn.IFNA(51-MATCH(Songs!$A32,Data!K$2:K$51,0),NA())</f>
        <v>1</v>
      </c>
      <c r="P32" t="e">
        <f>_xlfn.IFNA(51-MATCH(Songs!$A32,Data!L$2:L$51,0),NA())</f>
        <v>#N/A</v>
      </c>
      <c r="Q32" t="e">
        <f>_xlfn.IFNA(51-MATCH(Songs!$A32,Data!M$2:M$51,0),NA())</f>
        <v>#N/A</v>
      </c>
      <c r="R32" t="e">
        <f>_xlfn.IFNA(51-MATCH(Songs!$A32,Data!N$2:N$51,0),NA())</f>
        <v>#N/A</v>
      </c>
      <c r="S32" t="e">
        <f>_xlfn.IFNA(51-MATCH(Songs!$A32,Data!O$2:O$51,0),NA())</f>
        <v>#N/A</v>
      </c>
      <c r="T32" t="e">
        <f>_xlfn.IFNA(51-MATCH(Songs!$A32,Data!P$2:P$51,0),NA())</f>
        <v>#N/A</v>
      </c>
      <c r="U32" t="e">
        <f>_xlfn.IFNA(51-MATCH(Songs!$A32,Data!Q$2:Q$51,0),NA())</f>
        <v>#N/A</v>
      </c>
      <c r="V32" t="e">
        <f>_xlfn.IFNA(51-MATCH(Songs!$A32,Data!R$2:R$51,0),NA())</f>
        <v>#N/A</v>
      </c>
      <c r="W32" t="e">
        <f>_xlfn.IFNA(51-MATCH(Songs!$A32,Data!S$2:S$51,0),NA())</f>
        <v>#N/A</v>
      </c>
      <c r="X32" t="e">
        <f>_xlfn.IFNA(51-MATCH(Songs!$A32,Data!T$2:T$51,0),NA())</f>
        <v>#N/A</v>
      </c>
      <c r="Y32" t="e">
        <f>_xlfn.IFNA(51-MATCH(Songs!$A32,Data!U$2:U$51,0),NA())</f>
        <v>#N/A</v>
      </c>
      <c r="Z32" t="e">
        <f>_xlfn.IFNA(51-MATCH(Songs!$A32,Data!V$2:V$51,0),NA())</f>
        <v>#N/A</v>
      </c>
      <c r="AA32" t="e">
        <f>_xlfn.IFNA(51-MATCH(Songs!$A32,Data!W$2:W$51,0),NA())</f>
        <v>#N/A</v>
      </c>
      <c r="AB32" t="e">
        <f>_xlfn.IFNA(51-MATCH(Songs!$A32,Data!X$2:X$51,0),NA())</f>
        <v>#N/A</v>
      </c>
      <c r="AC32" t="e">
        <f>_xlfn.IFNA(51-MATCH(Songs!$A32,Data!Y$2:Y$51,0),NA())</f>
        <v>#N/A</v>
      </c>
      <c r="AD32" t="e">
        <f>_xlfn.IFNA(51-MATCH(Songs!$A32,Data!Z$2:Z$51,0),NA())</f>
        <v>#N/A</v>
      </c>
      <c r="AE32" t="e">
        <f>_xlfn.IFNA(51-MATCH(Songs!$A32,Data!AA$2:AA$51,0),NA())</f>
        <v>#N/A</v>
      </c>
      <c r="AF32" t="e">
        <f>_xlfn.IFNA(51-MATCH(Songs!$A32,Data!AB$2:AB$51,0),NA())</f>
        <v>#N/A</v>
      </c>
      <c r="AG32" t="e">
        <f>_xlfn.IFNA(51-MATCH(Songs!$A32,Data!AC$2:AC$51,0),NA())</f>
        <v>#N/A</v>
      </c>
      <c r="AH32" t="e">
        <f>_xlfn.IFNA(51-MATCH(Songs!$A32,Data!AD$2:AD$51,0),NA())</f>
        <v>#N/A</v>
      </c>
      <c r="AI32" t="e">
        <f>_xlfn.IFNA(51-MATCH(Songs!$A32,Data!AE$2:AE$51,0),NA())</f>
        <v>#N/A</v>
      </c>
    </row>
    <row r="33" spans="1:35" ht="13.2" x14ac:dyDescent="0.25">
      <c r="A33" s="2" t="s">
        <v>44</v>
      </c>
      <c r="B33" s="2" t="s">
        <v>103</v>
      </c>
      <c r="F33" s="2">
        <v>8</v>
      </c>
      <c r="G33" s="2">
        <f ca="1">COUNTIF(INDIRECT(_xlfn.CONCAT("Data!$B$2:", ADDRESS(51,COUNTA(Data!$1:$1)+1,1,1))), Songs!A33) + F33</f>
        <v>27</v>
      </c>
      <c r="H33" s="8"/>
      <c r="I33" s="8"/>
      <c r="J33" s="8" cm="1">
        <f t="array" ref="J33">51 - MAX(IF(NOT(ISNA(K33:BB33)),K33:BB33))</f>
        <v>13</v>
      </c>
      <c r="K33">
        <f>_xlfn.IFNA(51-MATCH(Songs!$A33,Data!G$2:G$51,0),NA())</f>
        <v>24</v>
      </c>
      <c r="L33">
        <f>_xlfn.IFNA(51-MATCH(Songs!$A33,Data!H$2:H$51,0),NA())</f>
        <v>25</v>
      </c>
      <c r="M33">
        <f>_xlfn.IFNA(51-MATCH(Songs!$A33,Data!I$2:I$51,0),NA())</f>
        <v>31</v>
      </c>
      <c r="N33">
        <f>_xlfn.IFNA(51-MATCH(Songs!$A33,Data!J$2:J$51,0),NA())</f>
        <v>30</v>
      </c>
      <c r="O33">
        <f>_xlfn.IFNA(51-MATCH(Songs!$A33,Data!K$2:K$51,0),NA())</f>
        <v>32</v>
      </c>
      <c r="P33">
        <f>_xlfn.IFNA(51-MATCH(Songs!$A33,Data!L$2:L$51,0),NA())</f>
        <v>35</v>
      </c>
      <c r="Q33">
        <f>_xlfn.IFNA(51-MATCH(Songs!$A33,Data!M$2:M$51,0),NA())</f>
        <v>23</v>
      </c>
      <c r="R33">
        <f>_xlfn.IFNA(51-MATCH(Songs!$A33,Data!N$2:N$51,0),NA())</f>
        <v>36</v>
      </c>
      <c r="S33">
        <f>_xlfn.IFNA(51-MATCH(Songs!$A33,Data!O$2:O$51,0),NA())</f>
        <v>35</v>
      </c>
      <c r="T33">
        <f>_xlfn.IFNA(51-MATCH(Songs!$A33,Data!P$2:P$51,0),NA())</f>
        <v>36</v>
      </c>
      <c r="U33">
        <f>_xlfn.IFNA(51-MATCH(Songs!$A33,Data!Q$2:Q$51,0),NA())</f>
        <v>36</v>
      </c>
      <c r="V33">
        <f>_xlfn.IFNA(51-MATCH(Songs!$A33,Data!R$2:R$51,0),NA())</f>
        <v>38</v>
      </c>
      <c r="W33">
        <f>_xlfn.IFNA(51-MATCH(Songs!$A33,Data!S$2:S$51,0),NA())</f>
        <v>36</v>
      </c>
      <c r="X33">
        <f>_xlfn.IFNA(51-MATCH(Songs!$A33,Data!T$2:T$51,0),NA())</f>
        <v>32</v>
      </c>
      <c r="Y33" t="e">
        <f>_xlfn.IFNA(51-MATCH(Songs!$A33,Data!U$2:U$51,0),NA())</f>
        <v>#N/A</v>
      </c>
      <c r="Z33" t="e">
        <f>_xlfn.IFNA(51-MATCH(Songs!$A33,Data!V$2:V$51,0),NA())</f>
        <v>#N/A</v>
      </c>
      <c r="AA33" t="e">
        <f>_xlfn.IFNA(51-MATCH(Songs!$A33,Data!W$2:W$51,0),NA())</f>
        <v>#N/A</v>
      </c>
      <c r="AB33" t="e">
        <f>_xlfn.IFNA(51-MATCH(Songs!$A33,Data!X$2:X$51,0),NA())</f>
        <v>#N/A</v>
      </c>
      <c r="AC33" t="e">
        <f>_xlfn.IFNA(51-MATCH(Songs!$A33,Data!Y$2:Y$51,0),NA())</f>
        <v>#N/A</v>
      </c>
      <c r="AD33" t="e">
        <f>_xlfn.IFNA(51-MATCH(Songs!$A33,Data!Z$2:Z$51,0),NA())</f>
        <v>#N/A</v>
      </c>
      <c r="AE33" t="e">
        <f>_xlfn.IFNA(51-MATCH(Songs!$A33,Data!AA$2:AA$51,0),NA())</f>
        <v>#N/A</v>
      </c>
      <c r="AF33" t="e">
        <f>_xlfn.IFNA(51-MATCH(Songs!$A33,Data!AB$2:AB$51,0),NA())</f>
        <v>#N/A</v>
      </c>
      <c r="AG33" t="e">
        <f>_xlfn.IFNA(51-MATCH(Songs!$A33,Data!AC$2:AC$51,0),NA())</f>
        <v>#N/A</v>
      </c>
      <c r="AH33" t="e">
        <f>_xlfn.IFNA(51-MATCH(Songs!$A33,Data!AD$2:AD$51,0),NA())</f>
        <v>#N/A</v>
      </c>
      <c r="AI33" t="e">
        <f>_xlfn.IFNA(51-MATCH(Songs!$A33,Data!AE$2:AE$51,0),NA())</f>
        <v>#N/A</v>
      </c>
    </row>
    <row r="34" spans="1:35" ht="13.2" x14ac:dyDescent="0.25">
      <c r="A34" s="2" t="s">
        <v>46</v>
      </c>
      <c r="B34" s="2" t="s">
        <v>104</v>
      </c>
      <c r="F34" s="2">
        <v>20</v>
      </c>
      <c r="G34" s="2">
        <f ca="1">COUNTIF(INDIRECT(_xlfn.CONCAT("Data!$B$2:", ADDRESS(51,COUNTA(Data!$1:$1)+1,1,1))), Songs!A34) + F34</f>
        <v>45</v>
      </c>
      <c r="H34" s="8"/>
      <c r="I34" s="8"/>
      <c r="J34" s="8" cm="1">
        <f t="array" ref="J34">51 - MAX(IF(NOT(ISNA(K34:BB34)),K34:BB34))</f>
        <v>32</v>
      </c>
      <c r="K34">
        <f>_xlfn.IFNA(51-MATCH(Songs!$A34,Data!G$2:G$51,0),NA())</f>
        <v>18</v>
      </c>
      <c r="L34">
        <f>_xlfn.IFNA(51-MATCH(Songs!$A34,Data!H$2:H$51,0),NA())</f>
        <v>11</v>
      </c>
      <c r="M34">
        <f>_xlfn.IFNA(51-MATCH(Songs!$A34,Data!I$2:I$51,0),NA())</f>
        <v>13</v>
      </c>
      <c r="N34">
        <f>_xlfn.IFNA(51-MATCH(Songs!$A34,Data!J$2:J$51,0),NA())</f>
        <v>12</v>
      </c>
      <c r="O34">
        <f>_xlfn.IFNA(51-MATCH(Songs!$A34,Data!K$2:K$51,0),NA())</f>
        <v>14</v>
      </c>
      <c r="P34">
        <f>_xlfn.IFNA(51-MATCH(Songs!$A34,Data!L$2:L$51,0),NA())</f>
        <v>17</v>
      </c>
      <c r="Q34">
        <f>_xlfn.IFNA(51-MATCH(Songs!$A34,Data!M$2:M$51,0),NA())</f>
        <v>8</v>
      </c>
      <c r="R34">
        <f>_xlfn.IFNA(51-MATCH(Songs!$A34,Data!N$2:N$51,0),NA())</f>
        <v>2</v>
      </c>
      <c r="S34">
        <f>_xlfn.IFNA(51-MATCH(Songs!$A34,Data!O$2:O$51,0),NA())</f>
        <v>9</v>
      </c>
      <c r="T34">
        <f>_xlfn.IFNA(51-MATCH(Songs!$A34,Data!P$2:P$51,0),NA())</f>
        <v>14</v>
      </c>
      <c r="U34">
        <f>_xlfn.IFNA(51-MATCH(Songs!$A34,Data!Q$2:Q$51,0),NA())</f>
        <v>19</v>
      </c>
      <c r="V34">
        <f>_xlfn.IFNA(51-MATCH(Songs!$A34,Data!R$2:R$51,0),NA())</f>
        <v>19</v>
      </c>
      <c r="W34">
        <f>_xlfn.IFNA(51-MATCH(Songs!$A34,Data!S$2:S$51,0),NA())</f>
        <v>16</v>
      </c>
      <c r="X34">
        <f>_xlfn.IFNA(51-MATCH(Songs!$A34,Data!T$2:T$51,0),NA())</f>
        <v>12</v>
      </c>
      <c r="Y34">
        <f>_xlfn.IFNA(51-MATCH(Songs!$A34,Data!U$2:U$51,0),NA())</f>
        <v>16</v>
      </c>
      <c r="Z34">
        <f>_xlfn.IFNA(51-MATCH(Songs!$A34,Data!V$2:V$51,0),NA())</f>
        <v>17</v>
      </c>
      <c r="AA34">
        <f>_xlfn.IFNA(51-MATCH(Songs!$A34,Data!W$2:W$51,0),NA())</f>
        <v>12</v>
      </c>
      <c r="AB34">
        <f>_xlfn.IFNA(51-MATCH(Songs!$A34,Data!X$2:X$51,0),NA())</f>
        <v>10</v>
      </c>
      <c r="AC34">
        <f>_xlfn.IFNA(51-MATCH(Songs!$A34,Data!Y$2:Y$51,0),NA())</f>
        <v>16</v>
      </c>
      <c r="AD34">
        <f>_xlfn.IFNA(51-MATCH(Songs!$A34,Data!Z$2:Z$51,0),NA())</f>
        <v>14</v>
      </c>
      <c r="AE34" t="e">
        <f>_xlfn.IFNA(51-MATCH(Songs!$A34,Data!AA$2:AA$51,0),NA())</f>
        <v>#N/A</v>
      </c>
      <c r="AF34" t="e">
        <f>_xlfn.IFNA(51-MATCH(Songs!$A34,Data!AB$2:AB$51,0),NA())</f>
        <v>#N/A</v>
      </c>
      <c r="AG34" t="e">
        <f>_xlfn.IFNA(51-MATCH(Songs!$A34,Data!AC$2:AC$51,0),NA())</f>
        <v>#N/A</v>
      </c>
      <c r="AH34" t="e">
        <f>_xlfn.IFNA(51-MATCH(Songs!$A34,Data!AD$2:AD$51,0),NA())</f>
        <v>#N/A</v>
      </c>
      <c r="AI34" t="e">
        <f>_xlfn.IFNA(51-MATCH(Songs!$A34,Data!AE$2:AE$51,0),NA())</f>
        <v>#N/A</v>
      </c>
    </row>
    <row r="35" spans="1:35" ht="13.2" x14ac:dyDescent="0.25">
      <c r="A35" s="2" t="s">
        <v>48</v>
      </c>
      <c r="B35" s="2" t="s">
        <v>105</v>
      </c>
      <c r="F35" s="2">
        <v>5</v>
      </c>
      <c r="G35" s="2">
        <f ca="1">COUNTIF(INDIRECT(_xlfn.CONCAT("Data!$B$2:", ADDRESS(51,COUNTA(Data!$1:$1)+1,1,1))), Songs!A35) + F35</f>
        <v>21</v>
      </c>
      <c r="H35" s="8"/>
      <c r="I35" s="8"/>
      <c r="J35" s="8" cm="1">
        <f t="array" ref="J35">51 - MAX(IF(NOT(ISNA(K35:BB35)),K35:BB35))</f>
        <v>31</v>
      </c>
      <c r="K35">
        <f>_xlfn.IFNA(51-MATCH(Songs!$A35,Data!G$2:G$51,0),NA())</f>
        <v>11</v>
      </c>
      <c r="L35">
        <f>_xlfn.IFNA(51-MATCH(Songs!$A35,Data!H$2:H$51,0),NA())</f>
        <v>7</v>
      </c>
      <c r="M35">
        <f>_xlfn.IFNA(51-MATCH(Songs!$A35,Data!I$2:I$51,0),NA())</f>
        <v>8</v>
      </c>
      <c r="N35">
        <f>_xlfn.IFNA(51-MATCH(Songs!$A35,Data!J$2:J$51,0),NA())</f>
        <v>8</v>
      </c>
      <c r="O35">
        <f>_xlfn.IFNA(51-MATCH(Songs!$A35,Data!K$2:K$51,0),NA())</f>
        <v>9</v>
      </c>
      <c r="P35">
        <f>_xlfn.IFNA(51-MATCH(Songs!$A35,Data!L$2:L$51,0),NA())</f>
        <v>15</v>
      </c>
      <c r="Q35">
        <f>_xlfn.IFNA(51-MATCH(Songs!$A35,Data!M$2:M$51,0),NA())</f>
        <v>6</v>
      </c>
      <c r="R35">
        <f>_xlfn.IFNA(51-MATCH(Songs!$A35,Data!N$2:N$51,0),NA())</f>
        <v>6</v>
      </c>
      <c r="S35">
        <f>_xlfn.IFNA(51-MATCH(Songs!$A35,Data!O$2:O$51,0),NA())</f>
        <v>14</v>
      </c>
      <c r="T35">
        <f>_xlfn.IFNA(51-MATCH(Songs!$A35,Data!P$2:P$51,0),NA())</f>
        <v>16</v>
      </c>
      <c r="U35">
        <f>_xlfn.IFNA(51-MATCH(Songs!$A35,Data!Q$2:Q$51,0),NA())</f>
        <v>20</v>
      </c>
      <c r="V35" t="e">
        <f>_xlfn.IFNA(51-MATCH(Songs!$A35,Data!R$2:R$51,0),NA())</f>
        <v>#N/A</v>
      </c>
      <c r="W35" t="e">
        <f>_xlfn.IFNA(51-MATCH(Songs!$A35,Data!S$2:S$51,0),NA())</f>
        <v>#N/A</v>
      </c>
      <c r="X35" t="e">
        <f>_xlfn.IFNA(51-MATCH(Songs!$A35,Data!T$2:T$51,0),NA())</f>
        <v>#N/A</v>
      </c>
      <c r="Y35" t="e">
        <f>_xlfn.IFNA(51-MATCH(Songs!$A35,Data!U$2:U$51,0),NA())</f>
        <v>#N/A</v>
      </c>
      <c r="Z35" t="e">
        <f>_xlfn.IFNA(51-MATCH(Songs!$A35,Data!V$2:V$51,0),NA())</f>
        <v>#N/A</v>
      </c>
      <c r="AA35" t="e">
        <f>_xlfn.IFNA(51-MATCH(Songs!$A35,Data!W$2:W$51,0),NA())</f>
        <v>#N/A</v>
      </c>
      <c r="AB35" t="e">
        <f>_xlfn.IFNA(51-MATCH(Songs!$A35,Data!X$2:X$51,0),NA())</f>
        <v>#N/A</v>
      </c>
      <c r="AC35" t="e">
        <f>_xlfn.IFNA(51-MATCH(Songs!$A35,Data!Y$2:Y$51,0),NA())</f>
        <v>#N/A</v>
      </c>
      <c r="AD35" t="e">
        <f>_xlfn.IFNA(51-MATCH(Songs!$A35,Data!Z$2:Z$51,0),NA())</f>
        <v>#N/A</v>
      </c>
      <c r="AE35" t="e">
        <f>_xlfn.IFNA(51-MATCH(Songs!$A35,Data!AA$2:AA$51,0),NA())</f>
        <v>#N/A</v>
      </c>
      <c r="AF35" t="e">
        <f>_xlfn.IFNA(51-MATCH(Songs!$A35,Data!AB$2:AB$51,0),NA())</f>
        <v>#N/A</v>
      </c>
      <c r="AG35" t="e">
        <f>_xlfn.IFNA(51-MATCH(Songs!$A35,Data!AC$2:AC$51,0),NA())</f>
        <v>#N/A</v>
      </c>
      <c r="AH35" t="e">
        <f>_xlfn.IFNA(51-MATCH(Songs!$A35,Data!AD$2:AD$51,0),NA())</f>
        <v>#N/A</v>
      </c>
      <c r="AI35" t="e">
        <f>_xlfn.IFNA(51-MATCH(Songs!$A35,Data!AE$2:AE$51,0),NA())</f>
        <v>#N/A</v>
      </c>
    </row>
    <row r="36" spans="1:35" ht="13.2" x14ac:dyDescent="0.25">
      <c r="A36" s="2" t="s">
        <v>47</v>
      </c>
      <c r="B36" s="2" t="s">
        <v>74</v>
      </c>
      <c r="D36" s="2" t="s">
        <v>106</v>
      </c>
      <c r="E36" s="2"/>
      <c r="F36" s="2">
        <v>17</v>
      </c>
      <c r="G36" s="2">
        <f ca="1">COUNTIF(INDIRECT(_xlfn.CONCAT("Data!$B$2:", ADDRESS(51,COUNTA(Data!$1:$1)+1,1,1))), Songs!A36) + F36</f>
        <v>21</v>
      </c>
      <c r="H36" s="8"/>
      <c r="I36" s="8"/>
      <c r="J36" s="8" cm="1">
        <f t="array" ref="J36">51 - MAX(IF(NOT(ISNA(K36:BB36)),K36:BB36))</f>
        <v>51</v>
      </c>
      <c r="K36" t="e">
        <f>_xlfn.IFNA(51-MATCH(Songs!$A36,Data!G$2:G$51,0),NA())</f>
        <v>#N/A</v>
      </c>
      <c r="L36" t="e">
        <f>_xlfn.IFNA(51-MATCH(Songs!$A36,Data!H$2:H$51,0),NA())</f>
        <v>#N/A</v>
      </c>
      <c r="M36" t="e">
        <f>_xlfn.IFNA(51-MATCH(Songs!$A36,Data!I$2:I$51,0),NA())</f>
        <v>#N/A</v>
      </c>
      <c r="N36" t="e">
        <f>_xlfn.IFNA(51-MATCH(Songs!$A36,Data!J$2:J$51,0),NA())</f>
        <v>#N/A</v>
      </c>
      <c r="O36" t="e">
        <f>_xlfn.IFNA(51-MATCH(Songs!$A36,Data!K$2:K$51,0),NA())</f>
        <v>#N/A</v>
      </c>
      <c r="P36" t="e">
        <f>_xlfn.IFNA(51-MATCH(Songs!$A36,Data!L$2:L$51,0),NA())</f>
        <v>#N/A</v>
      </c>
      <c r="Q36" t="e">
        <f>_xlfn.IFNA(51-MATCH(Songs!$A36,Data!M$2:M$51,0),NA())</f>
        <v>#N/A</v>
      </c>
      <c r="R36" t="e">
        <f>_xlfn.IFNA(51-MATCH(Songs!$A36,Data!N$2:N$51,0),NA())</f>
        <v>#N/A</v>
      </c>
      <c r="S36" t="e">
        <f>_xlfn.IFNA(51-MATCH(Songs!$A36,Data!O$2:O$51,0),NA())</f>
        <v>#N/A</v>
      </c>
      <c r="T36" t="e">
        <f>_xlfn.IFNA(51-MATCH(Songs!$A36,Data!P$2:P$51,0),NA())</f>
        <v>#N/A</v>
      </c>
      <c r="U36" t="e">
        <f>_xlfn.IFNA(51-MATCH(Songs!$A36,Data!Q$2:Q$51,0),NA())</f>
        <v>#N/A</v>
      </c>
      <c r="V36" t="e">
        <f>_xlfn.IFNA(51-MATCH(Songs!$A36,Data!R$2:R$51,0),NA())</f>
        <v>#N/A</v>
      </c>
      <c r="W36" t="e">
        <f>_xlfn.IFNA(51-MATCH(Songs!$A36,Data!S$2:S$51,0),NA())</f>
        <v>#N/A</v>
      </c>
      <c r="X36" t="e">
        <f>_xlfn.IFNA(51-MATCH(Songs!$A36,Data!T$2:T$51,0),NA())</f>
        <v>#N/A</v>
      </c>
      <c r="Y36" t="e">
        <f>_xlfn.IFNA(51-MATCH(Songs!$A36,Data!U$2:U$51,0),NA())</f>
        <v>#N/A</v>
      </c>
      <c r="Z36" t="e">
        <f>_xlfn.IFNA(51-MATCH(Songs!$A36,Data!V$2:V$51,0),NA())</f>
        <v>#N/A</v>
      </c>
      <c r="AA36" t="e">
        <f>_xlfn.IFNA(51-MATCH(Songs!$A36,Data!W$2:W$51,0),NA())</f>
        <v>#N/A</v>
      </c>
      <c r="AB36" t="e">
        <f>_xlfn.IFNA(51-MATCH(Songs!$A36,Data!X$2:X$51,0),NA())</f>
        <v>#N/A</v>
      </c>
      <c r="AC36" t="e">
        <f>_xlfn.IFNA(51-MATCH(Songs!$A36,Data!Y$2:Y$51,0),NA())</f>
        <v>#N/A</v>
      </c>
      <c r="AD36" t="e">
        <f>_xlfn.IFNA(51-MATCH(Songs!$A36,Data!Z$2:Z$51,0),NA())</f>
        <v>#N/A</v>
      </c>
      <c r="AE36" t="e">
        <f>_xlfn.IFNA(51-MATCH(Songs!$A36,Data!AA$2:AA$51,0),NA())</f>
        <v>#N/A</v>
      </c>
      <c r="AF36" t="e">
        <f>_xlfn.IFNA(51-MATCH(Songs!$A36,Data!AB$2:AB$51,0),NA())</f>
        <v>#N/A</v>
      </c>
      <c r="AG36" t="e">
        <f>_xlfn.IFNA(51-MATCH(Songs!$A36,Data!AC$2:AC$51,0),NA())</f>
        <v>#N/A</v>
      </c>
      <c r="AH36" t="e">
        <f>_xlfn.IFNA(51-MATCH(Songs!$A36,Data!AD$2:AD$51,0),NA())</f>
        <v>#N/A</v>
      </c>
      <c r="AI36" t="e">
        <f>_xlfn.IFNA(51-MATCH(Songs!$A36,Data!AE$2:AE$51,0),NA())</f>
        <v>#N/A</v>
      </c>
    </row>
    <row r="37" spans="1:35" ht="13.2" x14ac:dyDescent="0.25">
      <c r="A37" s="2" t="s">
        <v>49</v>
      </c>
      <c r="B37" s="2" t="s">
        <v>107</v>
      </c>
      <c r="F37" s="2">
        <v>10</v>
      </c>
      <c r="G37" s="2">
        <f ca="1">COUNTIF(INDIRECT(_xlfn.CONCAT("Data!$B$2:", ADDRESS(51,COUNTA(Data!$1:$1)+1,1,1))), Songs!A37) + F37</f>
        <v>17</v>
      </c>
      <c r="H37" s="8"/>
      <c r="I37" s="8"/>
      <c r="J37" s="8" cm="1">
        <f t="array" ref="J37">51 - MAX(IF(NOT(ISNA(K37:BB37)),K37:BB37))</f>
        <v>47</v>
      </c>
      <c r="K37">
        <f>_xlfn.IFNA(51-MATCH(Songs!$A37,Data!G$2:G$51,0),NA())</f>
        <v>4</v>
      </c>
      <c r="L37">
        <f>_xlfn.IFNA(51-MATCH(Songs!$A37,Data!H$2:H$51,0),NA())</f>
        <v>1</v>
      </c>
      <c r="M37" t="e">
        <f>_xlfn.IFNA(51-MATCH(Songs!$A37,Data!I$2:I$51,0),NA())</f>
        <v>#N/A</v>
      </c>
      <c r="N37" t="e">
        <f>_xlfn.IFNA(51-MATCH(Songs!$A37,Data!J$2:J$51,0),NA())</f>
        <v>#N/A</v>
      </c>
      <c r="O37" t="e">
        <f>_xlfn.IFNA(51-MATCH(Songs!$A37,Data!K$2:K$51,0),NA())</f>
        <v>#N/A</v>
      </c>
      <c r="P37" t="e">
        <f>_xlfn.IFNA(51-MATCH(Songs!$A37,Data!L$2:L$51,0),NA())</f>
        <v>#N/A</v>
      </c>
      <c r="Q37" t="e">
        <f>_xlfn.IFNA(51-MATCH(Songs!$A37,Data!M$2:M$51,0),NA())</f>
        <v>#N/A</v>
      </c>
      <c r="R37" t="e">
        <f>_xlfn.IFNA(51-MATCH(Songs!$A37,Data!N$2:N$51,0),NA())</f>
        <v>#N/A</v>
      </c>
      <c r="S37" t="e">
        <f>_xlfn.IFNA(51-MATCH(Songs!$A37,Data!O$2:O$51,0),NA())</f>
        <v>#N/A</v>
      </c>
      <c r="T37" t="e">
        <f>_xlfn.IFNA(51-MATCH(Songs!$A37,Data!P$2:P$51,0),NA())</f>
        <v>#N/A</v>
      </c>
      <c r="U37" t="e">
        <f>_xlfn.IFNA(51-MATCH(Songs!$A37,Data!Q$2:Q$51,0),NA())</f>
        <v>#N/A</v>
      </c>
      <c r="V37" t="e">
        <f>_xlfn.IFNA(51-MATCH(Songs!$A37,Data!R$2:R$51,0),NA())</f>
        <v>#N/A</v>
      </c>
      <c r="W37" t="e">
        <f>_xlfn.IFNA(51-MATCH(Songs!$A37,Data!S$2:S$51,0),NA())</f>
        <v>#N/A</v>
      </c>
      <c r="X37" t="e">
        <f>_xlfn.IFNA(51-MATCH(Songs!$A37,Data!T$2:T$51,0),NA())</f>
        <v>#N/A</v>
      </c>
      <c r="Y37" t="e">
        <f>_xlfn.IFNA(51-MATCH(Songs!$A37,Data!U$2:U$51,0),NA())</f>
        <v>#N/A</v>
      </c>
      <c r="Z37" t="e">
        <f>_xlfn.IFNA(51-MATCH(Songs!$A37,Data!V$2:V$51,0),NA())</f>
        <v>#N/A</v>
      </c>
      <c r="AA37" t="e">
        <f>_xlfn.IFNA(51-MATCH(Songs!$A37,Data!W$2:W$51,0),NA())</f>
        <v>#N/A</v>
      </c>
      <c r="AB37" t="e">
        <f>_xlfn.IFNA(51-MATCH(Songs!$A37,Data!X$2:X$51,0),NA())</f>
        <v>#N/A</v>
      </c>
      <c r="AC37" t="e">
        <f>_xlfn.IFNA(51-MATCH(Songs!$A37,Data!Y$2:Y$51,0),NA())</f>
        <v>#N/A</v>
      </c>
      <c r="AD37" t="e">
        <f>_xlfn.IFNA(51-MATCH(Songs!$A37,Data!Z$2:Z$51,0),NA())</f>
        <v>#N/A</v>
      </c>
      <c r="AE37" t="e">
        <f>_xlfn.IFNA(51-MATCH(Songs!$A37,Data!AA$2:AA$51,0),NA())</f>
        <v>#N/A</v>
      </c>
      <c r="AF37" t="e">
        <f>_xlfn.IFNA(51-MATCH(Songs!$A37,Data!AB$2:AB$51,0),NA())</f>
        <v>#N/A</v>
      </c>
      <c r="AG37" t="e">
        <f>_xlfn.IFNA(51-MATCH(Songs!$A37,Data!AC$2:AC$51,0),NA())</f>
        <v>#N/A</v>
      </c>
      <c r="AH37" t="e">
        <f>_xlfn.IFNA(51-MATCH(Songs!$A37,Data!AD$2:AD$51,0),NA())</f>
        <v>#N/A</v>
      </c>
      <c r="AI37" t="e">
        <f>_xlfn.IFNA(51-MATCH(Songs!$A37,Data!AE$2:AE$51,0),NA())</f>
        <v>#N/A</v>
      </c>
    </row>
    <row r="38" spans="1:35" ht="13.2" x14ac:dyDescent="0.25">
      <c r="A38" s="2" t="s">
        <v>52</v>
      </c>
      <c r="B38" s="2" t="s">
        <v>108</v>
      </c>
      <c r="F38" s="2">
        <v>15</v>
      </c>
      <c r="G38" s="2">
        <f ca="1">COUNTIF(INDIRECT(_xlfn.CONCAT("Data!$B$2:", ADDRESS(51,COUNTA(Data!$1:$1)+1,1,1))), Songs!A38) + F38</f>
        <v>29</v>
      </c>
      <c r="H38" s="8"/>
      <c r="I38" s="8"/>
      <c r="J38" s="8" cm="1">
        <f t="array" ref="J38">51 - MAX(IF(NOT(ISNA(K38:BB38)),K38:BB38))</f>
        <v>14</v>
      </c>
      <c r="K38">
        <f>_xlfn.IFNA(51-MATCH(Songs!$A38,Data!G$2:G$51,0),NA())</f>
        <v>17</v>
      </c>
      <c r="L38">
        <f>_xlfn.IFNA(51-MATCH(Songs!$A38,Data!H$2:H$51,0),NA())</f>
        <v>19</v>
      </c>
      <c r="M38">
        <f>_xlfn.IFNA(51-MATCH(Songs!$A38,Data!I$2:I$51,0),NA())</f>
        <v>21</v>
      </c>
      <c r="N38">
        <f>_xlfn.IFNA(51-MATCH(Songs!$A38,Data!J$2:J$51,0),NA())</f>
        <v>28</v>
      </c>
      <c r="O38">
        <f>_xlfn.IFNA(51-MATCH(Songs!$A38,Data!K$2:K$51,0),NA())</f>
        <v>29</v>
      </c>
      <c r="P38">
        <f>_xlfn.IFNA(51-MATCH(Songs!$A38,Data!L$2:L$51,0),NA())</f>
        <v>34</v>
      </c>
      <c r="Q38">
        <f>_xlfn.IFNA(51-MATCH(Songs!$A38,Data!M$2:M$51,0),NA())</f>
        <v>25</v>
      </c>
      <c r="R38">
        <f>_xlfn.IFNA(51-MATCH(Songs!$A38,Data!N$2:N$51,0),NA())</f>
        <v>37</v>
      </c>
      <c r="S38">
        <f>_xlfn.IFNA(51-MATCH(Songs!$A38,Data!O$2:O$51,0),NA())</f>
        <v>37</v>
      </c>
      <c r="T38">
        <f>_xlfn.IFNA(51-MATCH(Songs!$A38,Data!P$2:P$51,0),NA())</f>
        <v>37</v>
      </c>
      <c r="U38" t="e">
        <f>_xlfn.IFNA(51-MATCH(Songs!$A38,Data!Q$2:Q$51,0),NA())</f>
        <v>#N/A</v>
      </c>
      <c r="V38" t="e">
        <f>_xlfn.IFNA(51-MATCH(Songs!$A38,Data!R$2:R$51,0),NA())</f>
        <v>#N/A</v>
      </c>
      <c r="W38" t="e">
        <f>_xlfn.IFNA(51-MATCH(Songs!$A38,Data!S$2:S$51,0),NA())</f>
        <v>#N/A</v>
      </c>
      <c r="X38" t="e">
        <f>_xlfn.IFNA(51-MATCH(Songs!$A38,Data!T$2:T$51,0),NA())</f>
        <v>#N/A</v>
      </c>
      <c r="Y38" t="e">
        <f>_xlfn.IFNA(51-MATCH(Songs!$A38,Data!U$2:U$51,0),NA())</f>
        <v>#N/A</v>
      </c>
      <c r="Z38" t="e">
        <f>_xlfn.IFNA(51-MATCH(Songs!$A38,Data!V$2:V$51,0),NA())</f>
        <v>#N/A</v>
      </c>
      <c r="AA38" t="e">
        <f>_xlfn.IFNA(51-MATCH(Songs!$A38,Data!W$2:W$51,0),NA())</f>
        <v>#N/A</v>
      </c>
      <c r="AB38" t="e">
        <f>_xlfn.IFNA(51-MATCH(Songs!$A38,Data!X$2:X$51,0),NA())</f>
        <v>#N/A</v>
      </c>
      <c r="AC38" t="e">
        <f>_xlfn.IFNA(51-MATCH(Songs!$A38,Data!Y$2:Y$51,0),NA())</f>
        <v>#N/A</v>
      </c>
      <c r="AD38" t="e">
        <f>_xlfn.IFNA(51-MATCH(Songs!$A38,Data!Z$2:Z$51,0),NA())</f>
        <v>#N/A</v>
      </c>
      <c r="AE38" t="e">
        <f>_xlfn.IFNA(51-MATCH(Songs!$A38,Data!AA$2:AA$51,0),NA())</f>
        <v>#N/A</v>
      </c>
      <c r="AF38" t="e">
        <f>_xlfn.IFNA(51-MATCH(Songs!$A38,Data!AB$2:AB$51,0),NA())</f>
        <v>#N/A</v>
      </c>
      <c r="AG38" t="e">
        <f>_xlfn.IFNA(51-MATCH(Songs!$A38,Data!AC$2:AC$51,0),NA())</f>
        <v>#N/A</v>
      </c>
      <c r="AH38" t="e">
        <f>_xlfn.IFNA(51-MATCH(Songs!$A38,Data!AD$2:AD$51,0),NA())</f>
        <v>#N/A</v>
      </c>
      <c r="AI38" t="e">
        <f>_xlfn.IFNA(51-MATCH(Songs!$A38,Data!AE$2:AE$51,0),NA())</f>
        <v>#N/A</v>
      </c>
    </row>
    <row r="39" spans="1:35" ht="13.2" x14ac:dyDescent="0.25">
      <c r="A39" s="2" t="s">
        <v>51</v>
      </c>
      <c r="B39" s="2" t="s">
        <v>109</v>
      </c>
      <c r="F39" s="2">
        <v>9</v>
      </c>
      <c r="G39" s="2">
        <f ca="1">COUNTIF(INDIRECT(_xlfn.CONCAT("Data!$B$2:", ADDRESS(51,COUNTA(Data!$1:$1)+1,1,1))), Songs!A39) + F39</f>
        <v>15</v>
      </c>
      <c r="H39" s="8"/>
      <c r="I39" s="8"/>
      <c r="J39" s="8" cm="1">
        <f t="array" ref="J39">51 - MAX(IF(NOT(ISNA(K39:BB39)),K39:BB39))</f>
        <v>47</v>
      </c>
      <c r="K39">
        <f>_xlfn.IFNA(51-MATCH(Songs!$A39,Data!G$2:G$51,0),NA())</f>
        <v>3</v>
      </c>
      <c r="L39">
        <f>_xlfn.IFNA(51-MATCH(Songs!$A39,Data!H$2:H$51,0),NA())</f>
        <v>4</v>
      </c>
      <c r="M39" t="e">
        <f>_xlfn.IFNA(51-MATCH(Songs!$A39,Data!I$2:I$51,0),NA())</f>
        <v>#N/A</v>
      </c>
      <c r="N39" t="e">
        <f>_xlfn.IFNA(51-MATCH(Songs!$A39,Data!J$2:J$51,0),NA())</f>
        <v>#N/A</v>
      </c>
      <c r="O39" t="e">
        <f>_xlfn.IFNA(51-MATCH(Songs!$A39,Data!K$2:K$51,0),NA())</f>
        <v>#N/A</v>
      </c>
      <c r="P39" t="e">
        <f>_xlfn.IFNA(51-MATCH(Songs!$A39,Data!L$2:L$51,0),NA())</f>
        <v>#N/A</v>
      </c>
      <c r="Q39" t="e">
        <f>_xlfn.IFNA(51-MATCH(Songs!$A39,Data!M$2:M$51,0),NA())</f>
        <v>#N/A</v>
      </c>
      <c r="R39" t="e">
        <f>_xlfn.IFNA(51-MATCH(Songs!$A39,Data!N$2:N$51,0),NA())</f>
        <v>#N/A</v>
      </c>
      <c r="S39" t="e">
        <f>_xlfn.IFNA(51-MATCH(Songs!$A39,Data!O$2:O$51,0),NA())</f>
        <v>#N/A</v>
      </c>
      <c r="T39" t="e">
        <f>_xlfn.IFNA(51-MATCH(Songs!$A39,Data!P$2:P$51,0),NA())</f>
        <v>#N/A</v>
      </c>
      <c r="U39" t="e">
        <f>_xlfn.IFNA(51-MATCH(Songs!$A39,Data!Q$2:Q$51,0),NA())</f>
        <v>#N/A</v>
      </c>
      <c r="V39" t="e">
        <f>_xlfn.IFNA(51-MATCH(Songs!$A39,Data!R$2:R$51,0),NA())</f>
        <v>#N/A</v>
      </c>
      <c r="W39" t="e">
        <f>_xlfn.IFNA(51-MATCH(Songs!$A39,Data!S$2:S$51,0),NA())</f>
        <v>#N/A</v>
      </c>
      <c r="X39" t="e">
        <f>_xlfn.IFNA(51-MATCH(Songs!$A39,Data!T$2:T$51,0),NA())</f>
        <v>#N/A</v>
      </c>
      <c r="Y39" t="e">
        <f>_xlfn.IFNA(51-MATCH(Songs!$A39,Data!U$2:U$51,0),NA())</f>
        <v>#N/A</v>
      </c>
      <c r="Z39" t="e">
        <f>_xlfn.IFNA(51-MATCH(Songs!$A39,Data!V$2:V$51,0),NA())</f>
        <v>#N/A</v>
      </c>
      <c r="AA39" t="e">
        <f>_xlfn.IFNA(51-MATCH(Songs!$A39,Data!W$2:W$51,0),NA())</f>
        <v>#N/A</v>
      </c>
      <c r="AB39" t="e">
        <f>_xlfn.IFNA(51-MATCH(Songs!$A39,Data!X$2:X$51,0),NA())</f>
        <v>#N/A</v>
      </c>
      <c r="AC39" t="e">
        <f>_xlfn.IFNA(51-MATCH(Songs!$A39,Data!Y$2:Y$51,0),NA())</f>
        <v>#N/A</v>
      </c>
      <c r="AD39" t="e">
        <f>_xlfn.IFNA(51-MATCH(Songs!$A39,Data!Z$2:Z$51,0),NA())</f>
        <v>#N/A</v>
      </c>
      <c r="AE39" t="e">
        <f>_xlfn.IFNA(51-MATCH(Songs!$A39,Data!AA$2:AA$51,0),NA())</f>
        <v>#N/A</v>
      </c>
      <c r="AF39" t="e">
        <f>_xlfn.IFNA(51-MATCH(Songs!$A39,Data!AB$2:AB$51,0),NA())</f>
        <v>#N/A</v>
      </c>
      <c r="AG39" t="e">
        <f>_xlfn.IFNA(51-MATCH(Songs!$A39,Data!AC$2:AC$51,0),NA())</f>
        <v>#N/A</v>
      </c>
      <c r="AH39" t="e">
        <f>_xlfn.IFNA(51-MATCH(Songs!$A39,Data!AD$2:AD$51,0),NA())</f>
        <v>#N/A</v>
      </c>
      <c r="AI39" t="e">
        <f>_xlfn.IFNA(51-MATCH(Songs!$A39,Data!AE$2:AE$51,0),NA())</f>
        <v>#N/A</v>
      </c>
    </row>
    <row r="40" spans="1:35" ht="13.2" x14ac:dyDescent="0.25">
      <c r="A40" s="2" t="s">
        <v>57</v>
      </c>
      <c r="B40" s="2" t="s">
        <v>110</v>
      </c>
      <c r="C40" s="2" t="s">
        <v>203</v>
      </c>
      <c r="F40" s="2">
        <v>6</v>
      </c>
      <c r="G40" s="2">
        <f ca="1">COUNTIF(INDIRECT(_xlfn.CONCAT("Data!$B$2:", ADDRESS(51,COUNTA(Data!$1:$1)+1,1,1))), Songs!A40) + F40</f>
        <v>29</v>
      </c>
      <c r="H40" s="8"/>
      <c r="I40" s="8"/>
      <c r="J40" s="8" cm="1">
        <f t="array" ref="J40">51 - MAX(IF(NOT(ISNA(K40:BB40)),K40:BB40))</f>
        <v>36</v>
      </c>
      <c r="K40">
        <f>_xlfn.IFNA(51-MATCH(Songs!$A40,Data!G$2:G$51,0),NA())</f>
        <v>15</v>
      </c>
      <c r="L40">
        <f>_xlfn.IFNA(51-MATCH(Songs!$A40,Data!H$2:H$51,0),NA())</f>
        <v>8</v>
      </c>
      <c r="M40">
        <f>_xlfn.IFNA(51-MATCH(Songs!$A40,Data!I$2:I$51,0),NA())</f>
        <v>7</v>
      </c>
      <c r="N40">
        <f>_xlfn.IFNA(51-MATCH(Songs!$A40,Data!J$2:J$51,0),NA())</f>
        <v>7</v>
      </c>
      <c r="O40">
        <f>_xlfn.IFNA(51-MATCH(Songs!$A40,Data!K$2:K$51,0),NA())</f>
        <v>4</v>
      </c>
      <c r="P40">
        <f>_xlfn.IFNA(51-MATCH(Songs!$A40,Data!L$2:L$51,0),NA())</f>
        <v>6</v>
      </c>
      <c r="Q40" t="e">
        <f>_xlfn.IFNA(51-MATCH(Songs!$A40,Data!M$2:M$51,0),NA())</f>
        <v>#N/A</v>
      </c>
      <c r="R40" t="e">
        <f>_xlfn.IFNA(51-MATCH(Songs!$A40,Data!N$2:N$51,0),NA())</f>
        <v>#N/A</v>
      </c>
      <c r="S40" t="e">
        <f>_xlfn.IFNA(51-MATCH(Songs!$A40,Data!O$2:O$51,0),NA())</f>
        <v>#N/A</v>
      </c>
      <c r="T40">
        <f>_xlfn.IFNA(51-MATCH(Songs!$A40,Data!P$2:P$51,0),NA())</f>
        <v>4</v>
      </c>
      <c r="U40">
        <f>_xlfn.IFNA(51-MATCH(Songs!$A40,Data!Q$2:Q$51,0),NA())</f>
        <v>9</v>
      </c>
      <c r="V40">
        <f>_xlfn.IFNA(51-MATCH(Songs!$A40,Data!R$2:R$51,0),NA())</f>
        <v>11</v>
      </c>
      <c r="W40">
        <f>_xlfn.IFNA(51-MATCH(Songs!$A40,Data!S$2:S$51,0),NA())</f>
        <v>7</v>
      </c>
      <c r="X40">
        <f>_xlfn.IFNA(51-MATCH(Songs!$A40,Data!T$2:T$51,0),NA())</f>
        <v>6</v>
      </c>
      <c r="Y40">
        <f>_xlfn.IFNA(51-MATCH(Songs!$A40,Data!U$2:U$51,0),NA())</f>
        <v>9</v>
      </c>
      <c r="Z40">
        <f>_xlfn.IFNA(51-MATCH(Songs!$A40,Data!V$2:V$51,0),NA())</f>
        <v>9</v>
      </c>
      <c r="AA40">
        <f>_xlfn.IFNA(51-MATCH(Songs!$A40,Data!W$2:W$51,0),NA())</f>
        <v>6</v>
      </c>
      <c r="AB40">
        <f>_xlfn.IFNA(51-MATCH(Songs!$A40,Data!X$2:X$51,0),NA())</f>
        <v>1</v>
      </c>
      <c r="AC40">
        <f>_xlfn.IFNA(51-MATCH(Songs!$A40,Data!Y$2:Y$51,0),NA())</f>
        <v>8</v>
      </c>
      <c r="AD40">
        <f>_xlfn.IFNA(51-MATCH(Songs!$A40,Data!Z$2:Z$51,0),NA())</f>
        <v>8</v>
      </c>
      <c r="AE40" t="e">
        <f>_xlfn.IFNA(51-MATCH(Songs!$A40,Data!AA$2:AA$51,0),NA())</f>
        <v>#N/A</v>
      </c>
      <c r="AF40" t="e">
        <f>_xlfn.IFNA(51-MATCH(Songs!$A40,Data!AB$2:AB$51,0),NA())</f>
        <v>#N/A</v>
      </c>
      <c r="AG40">
        <f>_xlfn.IFNA(51-MATCH(Songs!$A40,Data!AC$2:AC$51,0),NA())</f>
        <v>4</v>
      </c>
      <c r="AH40" t="e">
        <f>_xlfn.IFNA(51-MATCH(Songs!$A40,Data!AD$2:AD$51,0),NA())</f>
        <v>#N/A</v>
      </c>
      <c r="AI40" t="e">
        <f>_xlfn.IFNA(51-MATCH(Songs!$A40,Data!AE$2:AE$51,0),NA())</f>
        <v>#N/A</v>
      </c>
    </row>
    <row r="41" spans="1:35" ht="13.2" x14ac:dyDescent="0.25">
      <c r="A41" s="2" t="s">
        <v>42</v>
      </c>
      <c r="B41" s="2" t="s">
        <v>111</v>
      </c>
      <c r="F41" s="2">
        <v>2</v>
      </c>
      <c r="G41" s="2">
        <f ca="1">COUNTIF(INDIRECT(_xlfn.CONCAT("Data!$B$2:", ADDRESS(51,COUNTA(Data!$1:$1)+1,1,1))), Songs!A41) + F41</f>
        <v>23</v>
      </c>
      <c r="H41" s="8"/>
      <c r="I41" s="8"/>
      <c r="J41" s="8" cm="1">
        <f t="array" ref="J41">51 - MAX(IF(NOT(ISNA(K41:BB41)),K41:BB41))</f>
        <v>9</v>
      </c>
      <c r="K41">
        <f>_xlfn.IFNA(51-MATCH(Songs!$A41,Data!G$2:G$51,0),NA())</f>
        <v>26</v>
      </c>
      <c r="L41">
        <f>_xlfn.IFNA(51-MATCH(Songs!$A41,Data!H$2:H$51,0),NA())</f>
        <v>26</v>
      </c>
      <c r="M41">
        <f>_xlfn.IFNA(51-MATCH(Songs!$A41,Data!I$2:I$51,0),NA())</f>
        <v>25</v>
      </c>
      <c r="N41">
        <f>_xlfn.IFNA(51-MATCH(Songs!$A41,Data!J$2:J$51,0),NA())</f>
        <v>29</v>
      </c>
      <c r="O41">
        <f>_xlfn.IFNA(51-MATCH(Songs!$A41,Data!K$2:K$51,0),NA())</f>
        <v>31</v>
      </c>
      <c r="P41">
        <f>_xlfn.IFNA(51-MATCH(Songs!$A41,Data!L$2:L$51,0),NA())</f>
        <v>33</v>
      </c>
      <c r="Q41">
        <f>_xlfn.IFNA(51-MATCH(Songs!$A41,Data!M$2:M$51,0),NA())</f>
        <v>24</v>
      </c>
      <c r="R41">
        <f>_xlfn.IFNA(51-MATCH(Songs!$A41,Data!N$2:N$51,0),NA())</f>
        <v>33</v>
      </c>
      <c r="S41">
        <f>_xlfn.IFNA(51-MATCH(Songs!$A41,Data!O$2:O$51,0),NA())</f>
        <v>39</v>
      </c>
      <c r="T41">
        <f>_xlfn.IFNA(51-MATCH(Songs!$A41,Data!P$2:P$51,0),NA())</f>
        <v>42</v>
      </c>
      <c r="U41">
        <f>_xlfn.IFNA(51-MATCH(Songs!$A41,Data!Q$2:Q$51,0),NA())</f>
        <v>41</v>
      </c>
      <c r="V41">
        <f>_xlfn.IFNA(51-MATCH(Songs!$A41,Data!R$2:R$51,0),NA())</f>
        <v>39</v>
      </c>
      <c r="W41">
        <f>_xlfn.IFNA(51-MATCH(Songs!$A41,Data!S$2:S$51,0),NA())</f>
        <v>38</v>
      </c>
      <c r="X41">
        <f>_xlfn.IFNA(51-MATCH(Songs!$A41,Data!T$2:T$51,0),NA())</f>
        <v>34</v>
      </c>
      <c r="Y41">
        <f>_xlfn.IFNA(51-MATCH(Songs!$A41,Data!U$2:U$51,0),NA())</f>
        <v>31</v>
      </c>
      <c r="Z41">
        <f>_xlfn.IFNA(51-MATCH(Songs!$A41,Data!V$2:V$51,0),NA())</f>
        <v>29</v>
      </c>
      <c r="AA41" t="e">
        <f>_xlfn.IFNA(51-MATCH(Songs!$A41,Data!W$2:W$51,0),NA())</f>
        <v>#N/A</v>
      </c>
      <c r="AB41" t="e">
        <f>_xlfn.IFNA(51-MATCH(Songs!$A41,Data!X$2:X$51,0),NA())</f>
        <v>#N/A</v>
      </c>
      <c r="AC41" t="e">
        <f>_xlfn.IFNA(51-MATCH(Songs!$A41,Data!Y$2:Y$51,0),NA())</f>
        <v>#N/A</v>
      </c>
      <c r="AD41" t="e">
        <f>_xlfn.IFNA(51-MATCH(Songs!$A41,Data!Z$2:Z$51,0),NA())</f>
        <v>#N/A</v>
      </c>
      <c r="AE41" t="e">
        <f>_xlfn.IFNA(51-MATCH(Songs!$A41,Data!AA$2:AA$51,0),NA())</f>
        <v>#N/A</v>
      </c>
      <c r="AF41" t="e">
        <f>_xlfn.IFNA(51-MATCH(Songs!$A41,Data!AB$2:AB$51,0),NA())</f>
        <v>#N/A</v>
      </c>
      <c r="AG41" t="e">
        <f>_xlfn.IFNA(51-MATCH(Songs!$A41,Data!AC$2:AC$51,0),NA())</f>
        <v>#N/A</v>
      </c>
      <c r="AH41" t="e">
        <f>_xlfn.IFNA(51-MATCH(Songs!$A41,Data!AD$2:AD$51,0),NA())</f>
        <v>#N/A</v>
      </c>
      <c r="AI41" t="e">
        <f>_xlfn.IFNA(51-MATCH(Songs!$A41,Data!AE$2:AE$51,0),NA())</f>
        <v>#N/A</v>
      </c>
    </row>
    <row r="42" spans="1:35" ht="13.2" x14ac:dyDescent="0.25">
      <c r="A42" s="2" t="s">
        <v>60</v>
      </c>
      <c r="B42" s="2" t="s">
        <v>74</v>
      </c>
      <c r="F42" s="2">
        <v>20</v>
      </c>
      <c r="G42" s="2">
        <f ca="1">COUNTIF(INDIRECT(_xlfn.CONCAT("Data!$B$2:", ADDRESS(51,COUNTA(Data!$1:$1)+1,1,1))), Songs!A42) + F42</f>
        <v>21</v>
      </c>
      <c r="H42" s="8"/>
      <c r="I42" s="8"/>
      <c r="J42" s="8" cm="1">
        <f t="array" ref="J42">51 - MAX(IF(NOT(ISNA(K42:BB42)),K42:BB42))</f>
        <v>51</v>
      </c>
      <c r="K42" t="e">
        <f>_xlfn.IFNA(51-MATCH(Songs!$A42,Data!G$2:G$51,0),NA())</f>
        <v>#N/A</v>
      </c>
      <c r="L42" t="e">
        <f>_xlfn.IFNA(51-MATCH(Songs!$A42,Data!H$2:H$51,0),NA())</f>
        <v>#N/A</v>
      </c>
      <c r="M42" t="e">
        <f>_xlfn.IFNA(51-MATCH(Songs!$A42,Data!I$2:I$51,0),NA())</f>
        <v>#N/A</v>
      </c>
      <c r="N42" t="e">
        <f>_xlfn.IFNA(51-MATCH(Songs!$A42,Data!J$2:J$51,0),NA())</f>
        <v>#N/A</v>
      </c>
      <c r="O42" t="e">
        <f>_xlfn.IFNA(51-MATCH(Songs!$A42,Data!K$2:K$51,0),NA())</f>
        <v>#N/A</v>
      </c>
      <c r="P42" t="e">
        <f>_xlfn.IFNA(51-MATCH(Songs!$A42,Data!L$2:L$51,0),NA())</f>
        <v>#N/A</v>
      </c>
      <c r="Q42" t="e">
        <f>_xlfn.IFNA(51-MATCH(Songs!$A42,Data!M$2:M$51,0),NA())</f>
        <v>#N/A</v>
      </c>
      <c r="R42" t="e">
        <f>_xlfn.IFNA(51-MATCH(Songs!$A42,Data!N$2:N$51,0),NA())</f>
        <v>#N/A</v>
      </c>
      <c r="S42" t="e">
        <f>_xlfn.IFNA(51-MATCH(Songs!$A42,Data!O$2:O$51,0),NA())</f>
        <v>#N/A</v>
      </c>
      <c r="T42" t="e">
        <f>_xlfn.IFNA(51-MATCH(Songs!$A42,Data!P$2:P$51,0),NA())</f>
        <v>#N/A</v>
      </c>
      <c r="U42" t="e">
        <f>_xlfn.IFNA(51-MATCH(Songs!$A42,Data!Q$2:Q$51,0),NA())</f>
        <v>#N/A</v>
      </c>
      <c r="V42" t="e">
        <f>_xlfn.IFNA(51-MATCH(Songs!$A42,Data!R$2:R$51,0),NA())</f>
        <v>#N/A</v>
      </c>
      <c r="W42" t="e">
        <f>_xlfn.IFNA(51-MATCH(Songs!$A42,Data!S$2:S$51,0),NA())</f>
        <v>#N/A</v>
      </c>
      <c r="X42" t="e">
        <f>_xlfn.IFNA(51-MATCH(Songs!$A42,Data!T$2:T$51,0),NA())</f>
        <v>#N/A</v>
      </c>
      <c r="Y42" t="e">
        <f>_xlfn.IFNA(51-MATCH(Songs!$A42,Data!U$2:U$51,0),NA())</f>
        <v>#N/A</v>
      </c>
      <c r="Z42" t="e">
        <f>_xlfn.IFNA(51-MATCH(Songs!$A42,Data!V$2:V$51,0),NA())</f>
        <v>#N/A</v>
      </c>
      <c r="AA42" t="e">
        <f>_xlfn.IFNA(51-MATCH(Songs!$A42,Data!W$2:W$51,0),NA())</f>
        <v>#N/A</v>
      </c>
      <c r="AB42" t="e">
        <f>_xlfn.IFNA(51-MATCH(Songs!$A42,Data!X$2:X$51,0),NA())</f>
        <v>#N/A</v>
      </c>
      <c r="AC42" t="e">
        <f>_xlfn.IFNA(51-MATCH(Songs!$A42,Data!Y$2:Y$51,0),NA())</f>
        <v>#N/A</v>
      </c>
      <c r="AD42" t="e">
        <f>_xlfn.IFNA(51-MATCH(Songs!$A42,Data!Z$2:Z$51,0),NA())</f>
        <v>#N/A</v>
      </c>
      <c r="AE42" t="e">
        <f>_xlfn.IFNA(51-MATCH(Songs!$A42,Data!AA$2:AA$51,0),NA())</f>
        <v>#N/A</v>
      </c>
      <c r="AF42" t="e">
        <f>_xlfn.IFNA(51-MATCH(Songs!$A42,Data!AB$2:AB$51,0),NA())</f>
        <v>#N/A</v>
      </c>
      <c r="AG42" t="e">
        <f>_xlfn.IFNA(51-MATCH(Songs!$A42,Data!AC$2:AC$51,0),NA())</f>
        <v>#N/A</v>
      </c>
      <c r="AH42" t="e">
        <f>_xlfn.IFNA(51-MATCH(Songs!$A42,Data!AD$2:AD$51,0),NA())</f>
        <v>#N/A</v>
      </c>
      <c r="AI42" t="e">
        <f>_xlfn.IFNA(51-MATCH(Songs!$A42,Data!AE$2:AE$51,0),NA())</f>
        <v>#N/A</v>
      </c>
    </row>
    <row r="43" spans="1:35" ht="13.2" x14ac:dyDescent="0.25">
      <c r="A43" s="2" t="s">
        <v>50</v>
      </c>
      <c r="B43" s="2" t="s">
        <v>80</v>
      </c>
      <c r="F43" s="2">
        <v>2</v>
      </c>
      <c r="G43" s="2">
        <f ca="1">COUNTIF(INDIRECT(_xlfn.CONCAT("Data!$B$2:", ADDRESS(51,COUNTA(Data!$1:$1)+1,1,1))), Songs!A43) + F43</f>
        <v>26</v>
      </c>
      <c r="H43" s="8"/>
      <c r="I43" s="8"/>
      <c r="J43" s="8" cm="1">
        <f t="array" ref="J43">51 - MAX(IF(NOT(ISNA(K43:BB43)),K43:BB43))</f>
        <v>11</v>
      </c>
      <c r="K43">
        <f>_xlfn.IFNA(51-MATCH(Songs!$A43,Data!G$2:G$51,0),NA())</f>
        <v>19</v>
      </c>
      <c r="L43">
        <f>_xlfn.IFNA(51-MATCH(Songs!$A43,Data!H$2:H$51,0),NA())</f>
        <v>18</v>
      </c>
      <c r="M43">
        <f>_xlfn.IFNA(51-MATCH(Songs!$A43,Data!I$2:I$51,0),NA())</f>
        <v>15</v>
      </c>
      <c r="N43">
        <f>_xlfn.IFNA(51-MATCH(Songs!$A43,Data!J$2:J$51,0),NA())</f>
        <v>18</v>
      </c>
      <c r="O43">
        <f>_xlfn.IFNA(51-MATCH(Songs!$A43,Data!K$2:K$51,0),NA())</f>
        <v>23</v>
      </c>
      <c r="P43">
        <f>_xlfn.IFNA(51-MATCH(Songs!$A43,Data!L$2:L$51,0),NA())</f>
        <v>27</v>
      </c>
      <c r="Q43">
        <f>_xlfn.IFNA(51-MATCH(Songs!$A43,Data!M$2:M$51,0),NA())</f>
        <v>20</v>
      </c>
      <c r="R43">
        <f>_xlfn.IFNA(51-MATCH(Songs!$A43,Data!N$2:N$51,0),NA())</f>
        <v>34</v>
      </c>
      <c r="S43">
        <f>_xlfn.IFNA(51-MATCH(Songs!$A43,Data!O$2:O$51,0),NA())</f>
        <v>33</v>
      </c>
      <c r="T43">
        <f>_xlfn.IFNA(51-MATCH(Songs!$A43,Data!P$2:P$51,0),NA())</f>
        <v>35</v>
      </c>
      <c r="U43">
        <f>_xlfn.IFNA(51-MATCH(Songs!$A43,Data!Q$2:Q$51,0),NA())</f>
        <v>38</v>
      </c>
      <c r="V43">
        <f>_xlfn.IFNA(51-MATCH(Songs!$A43,Data!R$2:R$51,0),NA())</f>
        <v>37</v>
      </c>
      <c r="W43">
        <f>_xlfn.IFNA(51-MATCH(Songs!$A43,Data!S$2:S$51,0),NA())</f>
        <v>39</v>
      </c>
      <c r="X43">
        <f>_xlfn.IFNA(51-MATCH(Songs!$A43,Data!T$2:T$51,0),NA())</f>
        <v>37</v>
      </c>
      <c r="Y43">
        <f>_xlfn.IFNA(51-MATCH(Songs!$A43,Data!U$2:U$51,0),NA())</f>
        <v>36</v>
      </c>
      <c r="Z43">
        <f>_xlfn.IFNA(51-MATCH(Songs!$A43,Data!V$2:V$51,0),NA())</f>
        <v>40</v>
      </c>
      <c r="AA43">
        <f>_xlfn.IFNA(51-MATCH(Songs!$A43,Data!W$2:W$51,0),NA())</f>
        <v>38</v>
      </c>
      <c r="AB43">
        <f>_xlfn.IFNA(51-MATCH(Songs!$A43,Data!X$2:X$51,0),NA())</f>
        <v>29</v>
      </c>
      <c r="AC43">
        <f>_xlfn.IFNA(51-MATCH(Songs!$A43,Data!Y$2:Y$51,0),NA())</f>
        <v>27</v>
      </c>
      <c r="AD43" t="e">
        <f>_xlfn.IFNA(51-MATCH(Songs!$A43,Data!Z$2:Z$51,0),NA())</f>
        <v>#N/A</v>
      </c>
      <c r="AE43" t="e">
        <f>_xlfn.IFNA(51-MATCH(Songs!$A43,Data!AA$2:AA$51,0),NA())</f>
        <v>#N/A</v>
      </c>
      <c r="AF43" t="e">
        <f>_xlfn.IFNA(51-MATCH(Songs!$A43,Data!AB$2:AB$51,0),NA())</f>
        <v>#N/A</v>
      </c>
      <c r="AG43" t="e">
        <f>_xlfn.IFNA(51-MATCH(Songs!$A43,Data!AC$2:AC$51,0),NA())</f>
        <v>#N/A</v>
      </c>
      <c r="AH43" t="e">
        <f>_xlfn.IFNA(51-MATCH(Songs!$A43,Data!AD$2:AD$51,0),NA())</f>
        <v>#N/A</v>
      </c>
      <c r="AI43" t="e">
        <f>_xlfn.IFNA(51-MATCH(Songs!$A43,Data!AE$2:AE$51,0),NA())</f>
        <v>#N/A</v>
      </c>
    </row>
    <row r="44" spans="1:35" ht="13.2" x14ac:dyDescent="0.25">
      <c r="A44" s="2" t="s">
        <v>45</v>
      </c>
      <c r="B44" s="2" t="s">
        <v>84</v>
      </c>
      <c r="F44" s="2">
        <v>11</v>
      </c>
      <c r="G44" s="2">
        <f ca="1">COUNTIF(INDIRECT(_xlfn.CONCAT("Data!$B$2:", ADDRESS(51,COUNTA(Data!$1:$1)+1,1,1))), Songs!A44) + F44</f>
        <v>41</v>
      </c>
      <c r="H44" s="8"/>
      <c r="I44" s="8"/>
      <c r="J44" s="8" cm="1">
        <f t="array" ref="J44">51 - MAX(IF(NOT(ISNA(K44:BB44)),K44:BB44))</f>
        <v>14</v>
      </c>
      <c r="K44">
        <f>_xlfn.IFNA(51-MATCH(Songs!$A44,Data!G$2:G$51,0),NA())</f>
        <v>10</v>
      </c>
      <c r="L44">
        <f>_xlfn.IFNA(51-MATCH(Songs!$A44,Data!H$2:H$51,0),NA())</f>
        <v>16</v>
      </c>
      <c r="M44">
        <f>_xlfn.IFNA(51-MATCH(Songs!$A44,Data!I$2:I$51,0),NA())</f>
        <v>18</v>
      </c>
      <c r="N44">
        <f>_xlfn.IFNA(51-MATCH(Songs!$A44,Data!J$2:J$51,0),NA())</f>
        <v>21</v>
      </c>
      <c r="O44">
        <f>_xlfn.IFNA(51-MATCH(Songs!$A44,Data!K$2:K$51,0),NA())</f>
        <v>16</v>
      </c>
      <c r="P44">
        <f>_xlfn.IFNA(51-MATCH(Songs!$A44,Data!L$2:L$51,0),NA())</f>
        <v>21</v>
      </c>
      <c r="Q44">
        <f>_xlfn.IFNA(51-MATCH(Songs!$A44,Data!M$2:M$51,0),NA())</f>
        <v>17</v>
      </c>
      <c r="R44">
        <f>_xlfn.IFNA(51-MATCH(Songs!$A44,Data!N$2:N$51,0),NA())</f>
        <v>25</v>
      </c>
      <c r="S44">
        <f>_xlfn.IFNA(51-MATCH(Songs!$A44,Data!O$2:O$51,0),NA())</f>
        <v>29</v>
      </c>
      <c r="T44">
        <f>_xlfn.IFNA(51-MATCH(Songs!$A44,Data!P$2:P$51,0),NA())</f>
        <v>30</v>
      </c>
      <c r="U44">
        <f>_xlfn.IFNA(51-MATCH(Songs!$A44,Data!Q$2:Q$51,0),NA())</f>
        <v>34</v>
      </c>
      <c r="V44">
        <f>_xlfn.IFNA(51-MATCH(Songs!$A44,Data!R$2:R$51,0),NA())</f>
        <v>34</v>
      </c>
      <c r="W44">
        <f>_xlfn.IFNA(51-MATCH(Songs!$A44,Data!S$2:S$51,0),NA())</f>
        <v>33</v>
      </c>
      <c r="X44">
        <f>_xlfn.IFNA(51-MATCH(Songs!$A44,Data!T$2:T$51,0),NA())</f>
        <v>35</v>
      </c>
      <c r="Y44">
        <f>_xlfn.IFNA(51-MATCH(Songs!$A44,Data!U$2:U$51,0),NA())</f>
        <v>35</v>
      </c>
      <c r="Z44">
        <f>_xlfn.IFNA(51-MATCH(Songs!$A44,Data!V$2:V$51,0),NA())</f>
        <v>37</v>
      </c>
      <c r="AA44">
        <f>_xlfn.IFNA(51-MATCH(Songs!$A44,Data!W$2:W$51,0),NA())</f>
        <v>36</v>
      </c>
      <c r="AB44">
        <f>_xlfn.IFNA(51-MATCH(Songs!$A44,Data!X$2:X$51,0),NA())</f>
        <v>35</v>
      </c>
      <c r="AC44">
        <f>_xlfn.IFNA(51-MATCH(Songs!$A44,Data!Y$2:Y$51,0),NA())</f>
        <v>37</v>
      </c>
      <c r="AD44">
        <f>_xlfn.IFNA(51-MATCH(Songs!$A44,Data!Z$2:Z$51,0),NA())</f>
        <v>37</v>
      </c>
      <c r="AE44">
        <f>_xlfn.IFNA(51-MATCH(Songs!$A44,Data!AA$2:AA$51,0),NA())</f>
        <v>32</v>
      </c>
      <c r="AF44">
        <f>_xlfn.IFNA(51-MATCH(Songs!$A44,Data!AB$2:AB$51,0),NA())</f>
        <v>33</v>
      </c>
      <c r="AG44">
        <f>_xlfn.IFNA(51-MATCH(Songs!$A44,Data!AC$2:AC$51,0),NA())</f>
        <v>36</v>
      </c>
      <c r="AH44">
        <f>_xlfn.IFNA(51-MATCH(Songs!$A44,Data!AD$2:AD$51,0),NA())</f>
        <v>35</v>
      </c>
      <c r="AI44">
        <f>_xlfn.IFNA(51-MATCH(Songs!$A44,Data!AE$2:AE$51,0),NA())</f>
        <v>35</v>
      </c>
    </row>
    <row r="45" spans="1:35" ht="13.2" x14ac:dyDescent="0.25">
      <c r="A45" s="2" t="s">
        <v>55</v>
      </c>
      <c r="B45" s="2" t="s">
        <v>112</v>
      </c>
      <c r="F45" s="2">
        <v>2</v>
      </c>
      <c r="G45" s="2">
        <f ca="1">COUNTIF(INDIRECT(_xlfn.CONCAT("Data!$B$2:", ADDRESS(51,COUNTA(Data!$1:$1)+1,1,1))), Songs!A45) + F45</f>
        <v>25</v>
      </c>
      <c r="H45" s="8"/>
      <c r="I45" s="8"/>
      <c r="J45" s="8" cm="1">
        <f t="array" ref="J45">51 - MAX(IF(NOT(ISNA(K45:BB45)),K45:BB45))</f>
        <v>21</v>
      </c>
      <c r="K45">
        <f>_xlfn.IFNA(51-MATCH(Songs!$A45,Data!G$2:G$51,0),NA())</f>
        <v>16</v>
      </c>
      <c r="L45">
        <f>_xlfn.IFNA(51-MATCH(Songs!$A45,Data!H$2:H$51,0),NA())</f>
        <v>13</v>
      </c>
      <c r="M45">
        <f>_xlfn.IFNA(51-MATCH(Songs!$A45,Data!I$2:I$51,0),NA())</f>
        <v>16</v>
      </c>
      <c r="N45">
        <f>_xlfn.IFNA(51-MATCH(Songs!$A45,Data!J$2:J$51,0),NA())</f>
        <v>11</v>
      </c>
      <c r="O45">
        <f>_xlfn.IFNA(51-MATCH(Songs!$A45,Data!K$2:K$51,0),NA())</f>
        <v>17</v>
      </c>
      <c r="P45">
        <f>_xlfn.IFNA(51-MATCH(Songs!$A45,Data!L$2:L$51,0),NA())</f>
        <v>20</v>
      </c>
      <c r="Q45">
        <f>_xlfn.IFNA(51-MATCH(Songs!$A45,Data!M$2:M$51,0),NA())</f>
        <v>11</v>
      </c>
      <c r="R45">
        <f>_xlfn.IFNA(51-MATCH(Songs!$A45,Data!N$2:N$51,0),NA())</f>
        <v>13</v>
      </c>
      <c r="S45">
        <f>_xlfn.IFNA(51-MATCH(Songs!$A45,Data!O$2:O$51,0),NA())</f>
        <v>20</v>
      </c>
      <c r="T45">
        <f>_xlfn.IFNA(51-MATCH(Songs!$A45,Data!P$2:P$51,0),NA())</f>
        <v>24</v>
      </c>
      <c r="U45">
        <f>_xlfn.IFNA(51-MATCH(Songs!$A45,Data!Q$2:Q$51,0),NA())</f>
        <v>27</v>
      </c>
      <c r="V45">
        <f>_xlfn.IFNA(51-MATCH(Songs!$A45,Data!R$2:R$51,0),NA())</f>
        <v>27</v>
      </c>
      <c r="W45">
        <f>_xlfn.IFNA(51-MATCH(Songs!$A45,Data!S$2:S$51,0),NA())</f>
        <v>25</v>
      </c>
      <c r="X45">
        <f>_xlfn.IFNA(51-MATCH(Songs!$A45,Data!T$2:T$51,0),NA())</f>
        <v>26</v>
      </c>
      <c r="Y45">
        <f>_xlfn.IFNA(51-MATCH(Songs!$A45,Data!U$2:U$51,0),NA())</f>
        <v>28</v>
      </c>
      <c r="Z45">
        <f>_xlfn.IFNA(51-MATCH(Songs!$A45,Data!V$2:V$51,0),NA())</f>
        <v>30</v>
      </c>
      <c r="AA45">
        <f>_xlfn.IFNA(51-MATCH(Songs!$A45,Data!W$2:W$51,0),NA())</f>
        <v>27</v>
      </c>
      <c r="AB45">
        <f>_xlfn.IFNA(51-MATCH(Songs!$A45,Data!X$2:X$51,0),NA())</f>
        <v>27</v>
      </c>
      <c r="AC45" t="e">
        <f>_xlfn.IFNA(51-MATCH(Songs!$A45,Data!Y$2:Y$51,0),NA())</f>
        <v>#N/A</v>
      </c>
      <c r="AD45" t="e">
        <f>_xlfn.IFNA(51-MATCH(Songs!$A45,Data!Z$2:Z$51,0),NA())</f>
        <v>#N/A</v>
      </c>
      <c r="AE45" t="e">
        <f>_xlfn.IFNA(51-MATCH(Songs!$A45,Data!AA$2:AA$51,0),NA())</f>
        <v>#N/A</v>
      </c>
      <c r="AF45" t="e">
        <f>_xlfn.IFNA(51-MATCH(Songs!$A45,Data!AB$2:AB$51,0),NA())</f>
        <v>#N/A</v>
      </c>
      <c r="AG45" t="e">
        <f>_xlfn.IFNA(51-MATCH(Songs!$A45,Data!AC$2:AC$51,0),NA())</f>
        <v>#N/A</v>
      </c>
      <c r="AH45" t="e">
        <f>_xlfn.IFNA(51-MATCH(Songs!$A45,Data!AD$2:AD$51,0),NA())</f>
        <v>#N/A</v>
      </c>
      <c r="AI45" t="e">
        <f>_xlfn.IFNA(51-MATCH(Songs!$A45,Data!AE$2:AE$51,0),NA())</f>
        <v>#N/A</v>
      </c>
    </row>
    <row r="46" spans="1:35" ht="13.2" x14ac:dyDescent="0.25">
      <c r="A46" s="2" t="s">
        <v>58</v>
      </c>
      <c r="B46" s="2" t="s">
        <v>113</v>
      </c>
      <c r="F46" s="2">
        <v>8</v>
      </c>
      <c r="G46" s="2">
        <f ca="1">COUNTIF(INDIRECT(_xlfn.CONCAT("Data!$B$2:", ADDRESS(51,COUNTA(Data!$1:$1)+1,1,1))), Songs!A46) + F46</f>
        <v>24</v>
      </c>
      <c r="H46" s="8"/>
      <c r="I46" s="8"/>
      <c r="J46" s="8" cm="1">
        <f t="array" ref="J46">51 - MAX(IF(NOT(ISNA(K46:BB46)),K46:BB46))</f>
        <v>41</v>
      </c>
      <c r="K46">
        <f>_xlfn.IFNA(51-MATCH(Songs!$A46,Data!G$2:G$51,0),NA())</f>
        <v>6</v>
      </c>
      <c r="L46">
        <f>_xlfn.IFNA(51-MATCH(Songs!$A46,Data!H$2:H$51,0),NA())</f>
        <v>10</v>
      </c>
      <c r="M46">
        <f>_xlfn.IFNA(51-MATCH(Songs!$A46,Data!I$2:I$51,0),NA())</f>
        <v>5</v>
      </c>
      <c r="N46">
        <f>_xlfn.IFNA(51-MATCH(Songs!$A46,Data!J$2:J$51,0),NA())</f>
        <v>6</v>
      </c>
      <c r="O46">
        <f>_xlfn.IFNA(51-MATCH(Songs!$A46,Data!K$2:K$51,0),NA())</f>
        <v>6</v>
      </c>
      <c r="P46">
        <f>_xlfn.IFNA(51-MATCH(Songs!$A46,Data!L$2:L$51,0),NA())</f>
        <v>10</v>
      </c>
      <c r="Q46">
        <f>_xlfn.IFNA(51-MATCH(Songs!$A46,Data!M$2:M$51,0),NA())</f>
        <v>3</v>
      </c>
      <c r="R46" t="e">
        <f>_xlfn.IFNA(51-MATCH(Songs!$A46,Data!N$2:N$51,0),NA())</f>
        <v>#N/A</v>
      </c>
      <c r="S46" t="e">
        <f>_xlfn.IFNA(51-MATCH(Songs!$A46,Data!O$2:O$51,0),NA())</f>
        <v>#N/A</v>
      </c>
      <c r="T46" t="e">
        <f>_xlfn.IFNA(51-MATCH(Songs!$A46,Data!P$2:P$51,0),NA())</f>
        <v>#N/A</v>
      </c>
      <c r="U46">
        <f>_xlfn.IFNA(51-MATCH(Songs!$A46,Data!Q$2:Q$51,0),NA())</f>
        <v>1</v>
      </c>
      <c r="V46" t="e">
        <f>_xlfn.IFNA(51-MATCH(Songs!$A46,Data!R$2:R$51,0),NA())</f>
        <v>#N/A</v>
      </c>
      <c r="W46">
        <f>_xlfn.IFNA(51-MATCH(Songs!$A46,Data!S$2:S$51,0),NA())</f>
        <v>5</v>
      </c>
      <c r="X46">
        <f>_xlfn.IFNA(51-MATCH(Songs!$A46,Data!T$2:T$51,0),NA())</f>
        <v>1</v>
      </c>
      <c r="Y46" t="e">
        <f>_xlfn.IFNA(51-MATCH(Songs!$A46,Data!U$2:U$51,0),NA())</f>
        <v>#N/A</v>
      </c>
      <c r="Z46">
        <f>_xlfn.IFNA(51-MATCH(Songs!$A46,Data!V$2:V$51,0),NA())</f>
        <v>2</v>
      </c>
      <c r="AA46" t="e">
        <f>_xlfn.IFNA(51-MATCH(Songs!$A46,Data!W$2:W$51,0),NA())</f>
        <v>#N/A</v>
      </c>
      <c r="AB46" t="e">
        <f>_xlfn.IFNA(51-MATCH(Songs!$A46,Data!X$2:X$51,0),NA())</f>
        <v>#N/A</v>
      </c>
      <c r="AC46" t="e">
        <f>_xlfn.IFNA(51-MATCH(Songs!$A46,Data!Y$2:Y$51,0),NA())</f>
        <v>#N/A</v>
      </c>
      <c r="AD46" t="e">
        <f>_xlfn.IFNA(51-MATCH(Songs!$A46,Data!Z$2:Z$51,0),NA())</f>
        <v>#N/A</v>
      </c>
      <c r="AE46" t="e">
        <f>_xlfn.IFNA(51-MATCH(Songs!$A46,Data!AA$2:AA$51,0),NA())</f>
        <v>#N/A</v>
      </c>
      <c r="AF46" t="e">
        <f>_xlfn.IFNA(51-MATCH(Songs!$A46,Data!AB$2:AB$51,0),NA())</f>
        <v>#N/A</v>
      </c>
      <c r="AG46" t="e">
        <f>_xlfn.IFNA(51-MATCH(Songs!$A46,Data!AC$2:AC$51,0),NA())</f>
        <v>#N/A</v>
      </c>
      <c r="AH46" t="e">
        <f>_xlfn.IFNA(51-MATCH(Songs!$A46,Data!AD$2:AD$51,0),NA())</f>
        <v>#N/A</v>
      </c>
      <c r="AI46" t="e">
        <f>_xlfn.IFNA(51-MATCH(Songs!$A46,Data!AE$2:AE$51,0),NA())</f>
        <v>#N/A</v>
      </c>
    </row>
    <row r="47" spans="1:35" ht="13.2" x14ac:dyDescent="0.25">
      <c r="A47" s="2" t="s">
        <v>63</v>
      </c>
      <c r="B47" s="2" t="s">
        <v>114</v>
      </c>
      <c r="F47" s="2">
        <v>13</v>
      </c>
      <c r="G47" s="2">
        <f ca="1">COUNTIF(INDIRECT(_xlfn.CONCAT("Data!$B$2:", ADDRESS(51,COUNTA(Data!$1:$1)+1,1,1))), Songs!A47) + F47</f>
        <v>42</v>
      </c>
      <c r="H47" s="8"/>
      <c r="I47" s="8"/>
      <c r="J47" s="8" cm="1">
        <f t="array" ref="J47">51 - MAX(IF(NOT(ISNA(K47:BB47)),K47:BB47))</f>
        <v>29</v>
      </c>
      <c r="K47">
        <f>_xlfn.IFNA(51-MATCH(Songs!$A47,Data!G$2:G$51,0),NA())</f>
        <v>8</v>
      </c>
      <c r="L47">
        <f>_xlfn.IFNA(51-MATCH(Songs!$A47,Data!H$2:H$51,0),NA())</f>
        <v>6</v>
      </c>
      <c r="M47">
        <f>_xlfn.IFNA(51-MATCH(Songs!$A47,Data!I$2:I$51,0),NA())</f>
        <v>6</v>
      </c>
      <c r="N47">
        <f>_xlfn.IFNA(51-MATCH(Songs!$A47,Data!J$2:J$51,0),NA())</f>
        <v>5</v>
      </c>
      <c r="O47">
        <f>_xlfn.IFNA(51-MATCH(Songs!$A47,Data!K$2:K$51,0),NA())</f>
        <v>7</v>
      </c>
      <c r="P47">
        <f>_xlfn.IFNA(51-MATCH(Songs!$A47,Data!L$2:L$51,0),NA())</f>
        <v>9</v>
      </c>
      <c r="Q47" t="e">
        <f>_xlfn.IFNA(51-MATCH(Songs!$A47,Data!M$2:M$51,0),NA())</f>
        <v>#N/A</v>
      </c>
      <c r="R47">
        <f>_xlfn.IFNA(51-MATCH(Songs!$A47,Data!N$2:N$51,0),NA())</f>
        <v>3</v>
      </c>
      <c r="S47">
        <f>_xlfn.IFNA(51-MATCH(Songs!$A47,Data!O$2:O$51,0),NA())</f>
        <v>8</v>
      </c>
      <c r="T47">
        <f>_xlfn.IFNA(51-MATCH(Songs!$A47,Data!P$2:P$51,0),NA())</f>
        <v>17</v>
      </c>
      <c r="U47">
        <f>_xlfn.IFNA(51-MATCH(Songs!$A47,Data!Q$2:Q$51,0),NA())</f>
        <v>22</v>
      </c>
      <c r="V47">
        <f>_xlfn.IFNA(51-MATCH(Songs!$A47,Data!R$2:R$51,0),NA())</f>
        <v>22</v>
      </c>
      <c r="W47">
        <f>_xlfn.IFNA(51-MATCH(Songs!$A47,Data!S$2:S$51,0),NA())</f>
        <v>20</v>
      </c>
      <c r="X47">
        <f>_xlfn.IFNA(51-MATCH(Songs!$A47,Data!T$2:T$51,0),NA())</f>
        <v>16</v>
      </c>
      <c r="Y47">
        <f>_xlfn.IFNA(51-MATCH(Songs!$A47,Data!U$2:U$51,0),NA())</f>
        <v>21</v>
      </c>
      <c r="Z47">
        <f>_xlfn.IFNA(51-MATCH(Songs!$A47,Data!V$2:V$51,0),NA())</f>
        <v>21</v>
      </c>
      <c r="AA47">
        <f>_xlfn.IFNA(51-MATCH(Songs!$A47,Data!W$2:W$51,0),NA())</f>
        <v>18</v>
      </c>
      <c r="AB47">
        <f>_xlfn.IFNA(51-MATCH(Songs!$A47,Data!X$2:X$51,0),NA())</f>
        <v>15</v>
      </c>
      <c r="AC47">
        <f>_xlfn.IFNA(51-MATCH(Songs!$A47,Data!Y$2:Y$51,0),NA())</f>
        <v>13</v>
      </c>
      <c r="AD47">
        <f>_xlfn.IFNA(51-MATCH(Songs!$A47,Data!Z$2:Z$51,0),NA())</f>
        <v>13</v>
      </c>
      <c r="AE47">
        <f>_xlfn.IFNA(51-MATCH(Songs!$A47,Data!AA$2:AA$51,0),NA())</f>
        <v>1</v>
      </c>
      <c r="AF47">
        <f>_xlfn.IFNA(51-MATCH(Songs!$A47,Data!AB$2:AB$51,0),NA())</f>
        <v>12</v>
      </c>
      <c r="AG47">
        <f>_xlfn.IFNA(51-MATCH(Songs!$A47,Data!AC$2:AC$51,0),NA())</f>
        <v>19</v>
      </c>
      <c r="AH47">
        <f>_xlfn.IFNA(51-MATCH(Songs!$A47,Data!AD$2:AD$51,0),NA())</f>
        <v>20</v>
      </c>
      <c r="AI47">
        <f>_xlfn.IFNA(51-MATCH(Songs!$A47,Data!AE$2:AE$51,0),NA())</f>
        <v>21</v>
      </c>
    </row>
    <row r="48" spans="1:35" ht="13.2" x14ac:dyDescent="0.25">
      <c r="A48" s="2" t="s">
        <v>53</v>
      </c>
      <c r="B48" s="2" t="s">
        <v>78</v>
      </c>
      <c r="F48" s="2">
        <v>10</v>
      </c>
      <c r="G48" s="2">
        <f ca="1">COUNTIF(INDIRECT(_xlfn.CONCAT("Data!$B$2:", ADDRESS(51,COUNTA(Data!$1:$1)+1,1,1))), Songs!A48) + F48</f>
        <v>39</v>
      </c>
      <c r="H48" s="8"/>
      <c r="I48" s="8"/>
      <c r="J48" s="8" cm="1">
        <f t="array" ref="J48">51 - MAX(IF(NOT(ISNA(K48:BB48)),K48:BB48))</f>
        <v>12</v>
      </c>
      <c r="K48">
        <f>_xlfn.IFNA(51-MATCH(Songs!$A48,Data!G$2:G$51,0),NA())</f>
        <v>12</v>
      </c>
      <c r="L48">
        <f>_xlfn.IFNA(51-MATCH(Songs!$A48,Data!H$2:H$51,0),NA())</f>
        <v>12</v>
      </c>
      <c r="M48">
        <f>_xlfn.IFNA(51-MATCH(Songs!$A48,Data!I$2:I$51,0),NA())</f>
        <v>9</v>
      </c>
      <c r="N48">
        <f>_xlfn.IFNA(51-MATCH(Songs!$A48,Data!J$2:J$51,0),NA())</f>
        <v>17</v>
      </c>
      <c r="O48">
        <f>_xlfn.IFNA(51-MATCH(Songs!$A48,Data!K$2:K$51,0),NA())</f>
        <v>11</v>
      </c>
      <c r="P48">
        <f>_xlfn.IFNA(51-MATCH(Songs!$A48,Data!L$2:L$51,0),NA())</f>
        <v>14</v>
      </c>
      <c r="Q48">
        <f>_xlfn.IFNA(51-MATCH(Songs!$A48,Data!M$2:M$51,0),NA())</f>
        <v>4</v>
      </c>
      <c r="R48">
        <f>_xlfn.IFNA(51-MATCH(Songs!$A48,Data!N$2:N$51,0),NA())</f>
        <v>17</v>
      </c>
      <c r="S48">
        <f>_xlfn.IFNA(51-MATCH(Songs!$A48,Data!O$2:O$51,0),NA())</f>
        <v>30</v>
      </c>
      <c r="T48">
        <f>_xlfn.IFNA(51-MATCH(Songs!$A48,Data!P$2:P$51,0),NA())</f>
        <v>29</v>
      </c>
      <c r="U48">
        <f>_xlfn.IFNA(51-MATCH(Songs!$A48,Data!Q$2:Q$51,0),NA())</f>
        <v>31</v>
      </c>
      <c r="V48">
        <f>_xlfn.IFNA(51-MATCH(Songs!$A48,Data!R$2:R$51,0),NA())</f>
        <v>28</v>
      </c>
      <c r="W48">
        <f>_xlfn.IFNA(51-MATCH(Songs!$A48,Data!S$2:S$51,0),NA())</f>
        <v>30</v>
      </c>
      <c r="X48">
        <f>_xlfn.IFNA(51-MATCH(Songs!$A48,Data!T$2:T$51,0),NA())</f>
        <v>36</v>
      </c>
      <c r="Y48">
        <f>_xlfn.IFNA(51-MATCH(Songs!$A48,Data!U$2:U$51,0),NA())</f>
        <v>39</v>
      </c>
      <c r="Z48">
        <f>_xlfn.IFNA(51-MATCH(Songs!$A48,Data!V$2:V$51,0),NA())</f>
        <v>38</v>
      </c>
      <c r="AA48">
        <f>_xlfn.IFNA(51-MATCH(Songs!$A48,Data!W$2:W$51,0),NA())</f>
        <v>39</v>
      </c>
      <c r="AB48">
        <f>_xlfn.IFNA(51-MATCH(Songs!$A48,Data!X$2:X$51,0),NA())</f>
        <v>32</v>
      </c>
      <c r="AC48">
        <f>_xlfn.IFNA(51-MATCH(Songs!$A48,Data!Y$2:Y$51,0),NA())</f>
        <v>30</v>
      </c>
      <c r="AD48">
        <f>_xlfn.IFNA(51-MATCH(Songs!$A48,Data!Z$2:Z$51,0),NA())</f>
        <v>31</v>
      </c>
      <c r="AE48">
        <f>_xlfn.IFNA(51-MATCH(Songs!$A48,Data!AA$2:AA$51,0),NA())</f>
        <v>17</v>
      </c>
      <c r="AF48">
        <f>_xlfn.IFNA(51-MATCH(Songs!$A48,Data!AB$2:AB$51,0),NA())</f>
        <v>25</v>
      </c>
      <c r="AG48">
        <f>_xlfn.IFNA(51-MATCH(Songs!$A48,Data!AC$2:AC$51,0),NA())</f>
        <v>30</v>
      </c>
      <c r="AH48">
        <f>_xlfn.IFNA(51-MATCH(Songs!$A48,Data!AD$2:AD$51,0),NA())</f>
        <v>28</v>
      </c>
      <c r="AI48">
        <f>_xlfn.IFNA(51-MATCH(Songs!$A48,Data!AE$2:AE$51,0),NA())</f>
        <v>29</v>
      </c>
    </row>
    <row r="49" spans="1:35" ht="13.2" x14ac:dyDescent="0.25">
      <c r="A49" s="2" t="s">
        <v>62</v>
      </c>
      <c r="B49" s="2" t="s">
        <v>115</v>
      </c>
      <c r="F49" s="2">
        <v>1</v>
      </c>
      <c r="G49" s="2">
        <f ca="1">COUNTIF(INDIRECT(_xlfn.CONCAT("Data!$B$2:", ADDRESS(51,COUNTA(Data!$1:$1)+1,1,1))), Songs!A49) + F49</f>
        <v>19</v>
      </c>
      <c r="H49" s="8"/>
      <c r="I49" s="8"/>
      <c r="J49" s="8" cm="1">
        <f t="array" ref="J49">51 - MAX(IF(NOT(ISNA(K49:BB49)),K49:BB49))</f>
        <v>20</v>
      </c>
      <c r="K49">
        <f>_xlfn.IFNA(51-MATCH(Songs!$A49,Data!G$2:G$51,0),NA())</f>
        <v>14</v>
      </c>
      <c r="L49">
        <f>_xlfn.IFNA(51-MATCH(Songs!$A49,Data!H$2:H$51,0),NA())</f>
        <v>15</v>
      </c>
      <c r="M49">
        <f>_xlfn.IFNA(51-MATCH(Songs!$A49,Data!I$2:I$51,0),NA())</f>
        <v>14</v>
      </c>
      <c r="N49">
        <f>_xlfn.IFNA(51-MATCH(Songs!$A49,Data!J$2:J$51,0),NA())</f>
        <v>19</v>
      </c>
      <c r="O49">
        <f>_xlfn.IFNA(51-MATCH(Songs!$A49,Data!K$2:K$51,0),NA())</f>
        <v>21</v>
      </c>
      <c r="P49">
        <f>_xlfn.IFNA(51-MATCH(Songs!$A49,Data!L$2:L$51,0),NA())</f>
        <v>23</v>
      </c>
      <c r="Q49">
        <f>_xlfn.IFNA(51-MATCH(Songs!$A49,Data!M$2:M$51,0),NA())</f>
        <v>16</v>
      </c>
      <c r="R49">
        <f>_xlfn.IFNA(51-MATCH(Songs!$A49,Data!N$2:N$51,0),NA())</f>
        <v>23</v>
      </c>
      <c r="S49">
        <f>_xlfn.IFNA(51-MATCH(Songs!$A49,Data!O$2:O$51,0),NA())</f>
        <v>23</v>
      </c>
      <c r="T49">
        <f>_xlfn.IFNA(51-MATCH(Songs!$A49,Data!P$2:P$51,0),NA())</f>
        <v>31</v>
      </c>
      <c r="U49">
        <f>_xlfn.IFNA(51-MATCH(Songs!$A49,Data!Q$2:Q$51,0),NA())</f>
        <v>26</v>
      </c>
      <c r="V49">
        <f>_xlfn.IFNA(51-MATCH(Songs!$A49,Data!R$2:R$51,0),NA())</f>
        <v>8</v>
      </c>
      <c r="W49">
        <f>_xlfn.IFNA(51-MATCH(Songs!$A49,Data!S$2:S$51,0),NA())</f>
        <v>8</v>
      </c>
      <c r="X49" t="e">
        <f>_xlfn.IFNA(51-MATCH(Songs!$A49,Data!T$2:T$51,0),NA())</f>
        <v>#N/A</v>
      </c>
      <c r="Y49" t="e">
        <f>_xlfn.IFNA(51-MATCH(Songs!$A49,Data!U$2:U$51,0),NA())</f>
        <v>#N/A</v>
      </c>
      <c r="Z49" t="e">
        <f>_xlfn.IFNA(51-MATCH(Songs!$A49,Data!V$2:V$51,0),NA())</f>
        <v>#N/A</v>
      </c>
      <c r="AA49" t="e">
        <f>_xlfn.IFNA(51-MATCH(Songs!$A49,Data!W$2:W$51,0),NA())</f>
        <v>#N/A</v>
      </c>
      <c r="AB49" t="e">
        <f>_xlfn.IFNA(51-MATCH(Songs!$A49,Data!X$2:X$51,0),NA())</f>
        <v>#N/A</v>
      </c>
      <c r="AC49" t="e">
        <f>_xlfn.IFNA(51-MATCH(Songs!$A49,Data!Y$2:Y$51,0),NA())</f>
        <v>#N/A</v>
      </c>
      <c r="AD49" t="e">
        <f>_xlfn.IFNA(51-MATCH(Songs!$A49,Data!Z$2:Z$51,0),NA())</f>
        <v>#N/A</v>
      </c>
      <c r="AE49" t="e">
        <f>_xlfn.IFNA(51-MATCH(Songs!$A49,Data!AA$2:AA$51,0),NA())</f>
        <v>#N/A</v>
      </c>
      <c r="AF49" t="e">
        <f>_xlfn.IFNA(51-MATCH(Songs!$A49,Data!AB$2:AB$51,0),NA())</f>
        <v>#N/A</v>
      </c>
      <c r="AG49" t="e">
        <f>_xlfn.IFNA(51-MATCH(Songs!$A49,Data!AC$2:AC$51,0),NA())</f>
        <v>#N/A</v>
      </c>
      <c r="AH49" t="e">
        <f>_xlfn.IFNA(51-MATCH(Songs!$A49,Data!AD$2:AD$51,0),NA())</f>
        <v>#N/A</v>
      </c>
      <c r="AI49" t="e">
        <f>_xlfn.IFNA(51-MATCH(Songs!$A49,Data!AE$2:AE$51,0),NA())</f>
        <v>#N/A</v>
      </c>
    </row>
    <row r="50" spans="1:35" ht="13.2" x14ac:dyDescent="0.25">
      <c r="A50" s="2" t="s">
        <v>67</v>
      </c>
      <c r="B50" s="2" t="s">
        <v>116</v>
      </c>
      <c r="F50" s="2">
        <v>15</v>
      </c>
      <c r="G50" s="2">
        <f ca="1">COUNTIF(INDIRECT(_xlfn.CONCAT("Data!$B$2:", ADDRESS(51,COUNTA(Data!$1:$1)+1,1,1))), Songs!A50) + F50</f>
        <v>16</v>
      </c>
      <c r="H50" s="8"/>
      <c r="I50" s="8"/>
      <c r="J50" s="8" cm="1">
        <f t="array" ref="J50">51 - MAX(IF(NOT(ISNA(K50:BB50)),K50:BB50))</f>
        <v>51</v>
      </c>
      <c r="K50" t="e">
        <f>_xlfn.IFNA(51-MATCH(Songs!$A50,Data!G$2:G$51,0),NA())</f>
        <v>#N/A</v>
      </c>
      <c r="L50" t="e">
        <f>_xlfn.IFNA(51-MATCH(Songs!$A50,Data!H$2:H$51,0),NA())</f>
        <v>#N/A</v>
      </c>
      <c r="M50" t="e">
        <f>_xlfn.IFNA(51-MATCH(Songs!$A50,Data!I$2:I$51,0),NA())</f>
        <v>#N/A</v>
      </c>
      <c r="N50" t="e">
        <f>_xlfn.IFNA(51-MATCH(Songs!$A50,Data!J$2:J$51,0),NA())</f>
        <v>#N/A</v>
      </c>
      <c r="O50" t="e">
        <f>_xlfn.IFNA(51-MATCH(Songs!$A50,Data!K$2:K$51,0),NA())</f>
        <v>#N/A</v>
      </c>
      <c r="P50" t="e">
        <f>_xlfn.IFNA(51-MATCH(Songs!$A50,Data!L$2:L$51,0),NA())</f>
        <v>#N/A</v>
      </c>
      <c r="Q50" t="e">
        <f>_xlfn.IFNA(51-MATCH(Songs!$A50,Data!M$2:M$51,0),NA())</f>
        <v>#N/A</v>
      </c>
      <c r="R50" t="e">
        <f>_xlfn.IFNA(51-MATCH(Songs!$A50,Data!N$2:N$51,0),NA())</f>
        <v>#N/A</v>
      </c>
      <c r="S50" t="e">
        <f>_xlfn.IFNA(51-MATCH(Songs!$A50,Data!O$2:O$51,0),NA())</f>
        <v>#N/A</v>
      </c>
      <c r="T50" t="e">
        <f>_xlfn.IFNA(51-MATCH(Songs!$A50,Data!P$2:P$51,0),NA())</f>
        <v>#N/A</v>
      </c>
      <c r="U50" t="e">
        <f>_xlfn.IFNA(51-MATCH(Songs!$A50,Data!Q$2:Q$51,0),NA())</f>
        <v>#N/A</v>
      </c>
      <c r="V50" t="e">
        <f>_xlfn.IFNA(51-MATCH(Songs!$A50,Data!R$2:R$51,0),NA())</f>
        <v>#N/A</v>
      </c>
      <c r="W50" t="e">
        <f>_xlfn.IFNA(51-MATCH(Songs!$A50,Data!S$2:S$51,0),NA())</f>
        <v>#N/A</v>
      </c>
      <c r="X50" t="e">
        <f>_xlfn.IFNA(51-MATCH(Songs!$A50,Data!T$2:T$51,0),NA())</f>
        <v>#N/A</v>
      </c>
      <c r="Y50" t="e">
        <f>_xlfn.IFNA(51-MATCH(Songs!$A50,Data!U$2:U$51,0),NA())</f>
        <v>#N/A</v>
      </c>
      <c r="Z50" t="e">
        <f>_xlfn.IFNA(51-MATCH(Songs!$A50,Data!V$2:V$51,0),NA())</f>
        <v>#N/A</v>
      </c>
      <c r="AA50" t="e">
        <f>_xlfn.IFNA(51-MATCH(Songs!$A50,Data!W$2:W$51,0),NA())</f>
        <v>#N/A</v>
      </c>
      <c r="AB50" t="e">
        <f>_xlfn.IFNA(51-MATCH(Songs!$A50,Data!X$2:X$51,0),NA())</f>
        <v>#N/A</v>
      </c>
      <c r="AC50" t="e">
        <f>_xlfn.IFNA(51-MATCH(Songs!$A50,Data!Y$2:Y$51,0),NA())</f>
        <v>#N/A</v>
      </c>
      <c r="AD50" t="e">
        <f>_xlfn.IFNA(51-MATCH(Songs!$A50,Data!Z$2:Z$51,0),NA())</f>
        <v>#N/A</v>
      </c>
      <c r="AE50" t="e">
        <f>_xlfn.IFNA(51-MATCH(Songs!$A50,Data!AA$2:AA$51,0),NA())</f>
        <v>#N/A</v>
      </c>
      <c r="AF50" t="e">
        <f>_xlfn.IFNA(51-MATCH(Songs!$A50,Data!AB$2:AB$51,0),NA())</f>
        <v>#N/A</v>
      </c>
      <c r="AG50" t="e">
        <f>_xlfn.IFNA(51-MATCH(Songs!$A50,Data!AC$2:AC$51,0),NA())</f>
        <v>#N/A</v>
      </c>
      <c r="AH50" t="e">
        <f>_xlfn.IFNA(51-MATCH(Songs!$A50,Data!AD$2:AD$51,0),NA())</f>
        <v>#N/A</v>
      </c>
      <c r="AI50" t="e">
        <f>_xlfn.IFNA(51-MATCH(Songs!$A50,Data!AE$2:AE$51,0),NA())</f>
        <v>#N/A</v>
      </c>
    </row>
    <row r="51" spans="1:35" ht="13.2" x14ac:dyDescent="0.25">
      <c r="A51" s="2" t="s">
        <v>66</v>
      </c>
      <c r="B51" s="2" t="s">
        <v>117</v>
      </c>
      <c r="F51" s="2">
        <v>1</v>
      </c>
      <c r="G51" s="2">
        <f ca="1">COUNTIF(INDIRECT(_xlfn.CONCAT("Data!$B$2:", ADDRESS(51,COUNTA(Data!$1:$1)+1,1,1))), Songs!A51) + F51</f>
        <v>26</v>
      </c>
      <c r="H51" s="8"/>
      <c r="I51" s="8"/>
      <c r="J51" s="8" cm="1">
        <f t="array" ref="J51">51 - MAX(IF(NOT(ISNA(K51:BB51)),K51:BB51))</f>
        <v>22</v>
      </c>
      <c r="K51">
        <f>_xlfn.IFNA(51-MATCH(Songs!$A51,Data!G$2:G$51,0),NA())</f>
        <v>7</v>
      </c>
      <c r="L51">
        <f>_xlfn.IFNA(51-MATCH(Songs!$A51,Data!H$2:H$51,0),NA())</f>
        <v>3</v>
      </c>
      <c r="M51">
        <f>_xlfn.IFNA(51-MATCH(Songs!$A51,Data!I$2:I$51,0),NA())</f>
        <v>2</v>
      </c>
      <c r="N51">
        <f>_xlfn.IFNA(51-MATCH(Songs!$A51,Data!J$2:J$51,0),NA())</f>
        <v>4</v>
      </c>
      <c r="O51">
        <f>_xlfn.IFNA(51-MATCH(Songs!$A51,Data!K$2:K$51,0),NA())</f>
        <v>5</v>
      </c>
      <c r="P51">
        <f>_xlfn.IFNA(51-MATCH(Songs!$A51,Data!L$2:L$51,0),NA())</f>
        <v>11</v>
      </c>
      <c r="Q51">
        <f>_xlfn.IFNA(51-MATCH(Songs!$A51,Data!M$2:M$51,0),NA())</f>
        <v>2</v>
      </c>
      <c r="R51">
        <f>_xlfn.IFNA(51-MATCH(Songs!$A51,Data!N$2:N$51,0),NA())</f>
        <v>9</v>
      </c>
      <c r="S51">
        <f>_xlfn.IFNA(51-MATCH(Songs!$A51,Data!O$2:O$51,0),NA())</f>
        <v>17</v>
      </c>
      <c r="T51">
        <f>_xlfn.IFNA(51-MATCH(Songs!$A51,Data!P$2:P$51,0),NA())</f>
        <v>22</v>
      </c>
      <c r="U51">
        <f>_xlfn.IFNA(51-MATCH(Songs!$A51,Data!Q$2:Q$51,0),NA())</f>
        <v>25</v>
      </c>
      <c r="V51">
        <f>_xlfn.IFNA(51-MATCH(Songs!$A51,Data!R$2:R$51,0),NA())</f>
        <v>24</v>
      </c>
      <c r="W51">
        <f>_xlfn.IFNA(51-MATCH(Songs!$A51,Data!S$2:S$51,0),NA())</f>
        <v>23</v>
      </c>
      <c r="X51">
        <f>_xlfn.IFNA(51-MATCH(Songs!$A51,Data!T$2:T$51,0),NA())</f>
        <v>23</v>
      </c>
      <c r="Y51">
        <f>_xlfn.IFNA(51-MATCH(Songs!$A51,Data!U$2:U$51,0),NA())</f>
        <v>26</v>
      </c>
      <c r="Z51">
        <f>_xlfn.IFNA(51-MATCH(Songs!$A51,Data!V$2:V$51,0),NA())</f>
        <v>26</v>
      </c>
      <c r="AA51">
        <f>_xlfn.IFNA(51-MATCH(Songs!$A51,Data!W$2:W$51,0),NA())</f>
        <v>23</v>
      </c>
      <c r="AB51">
        <f>_xlfn.IFNA(51-MATCH(Songs!$A51,Data!X$2:X$51,0),NA())</f>
        <v>24</v>
      </c>
      <c r="AC51">
        <f>_xlfn.IFNA(51-MATCH(Songs!$A51,Data!Y$2:Y$51,0),NA())</f>
        <v>28</v>
      </c>
      <c r="AD51">
        <f>_xlfn.IFNA(51-MATCH(Songs!$A51,Data!Z$2:Z$51,0),NA())</f>
        <v>29</v>
      </c>
      <c r="AE51" t="e">
        <f>_xlfn.IFNA(51-MATCH(Songs!$A51,Data!AA$2:AA$51,0),NA())</f>
        <v>#N/A</v>
      </c>
      <c r="AF51" t="e">
        <f>_xlfn.IFNA(51-MATCH(Songs!$A51,Data!AB$2:AB$51,0),NA())</f>
        <v>#N/A</v>
      </c>
      <c r="AG51" t="e">
        <f>_xlfn.IFNA(51-MATCH(Songs!$A51,Data!AC$2:AC$51,0),NA())</f>
        <v>#N/A</v>
      </c>
      <c r="AH51" t="e">
        <f>_xlfn.IFNA(51-MATCH(Songs!$A51,Data!AD$2:AD$51,0),NA())</f>
        <v>#N/A</v>
      </c>
      <c r="AI51" t="e">
        <f>_xlfn.IFNA(51-MATCH(Songs!$A51,Data!AE$2:AE$51,0),NA())</f>
        <v>#N/A</v>
      </c>
    </row>
    <row r="52" spans="1:35" ht="13.2" x14ac:dyDescent="0.25">
      <c r="A52" s="2" t="s">
        <v>18</v>
      </c>
      <c r="B52" s="2" t="s">
        <v>104</v>
      </c>
      <c r="F52" s="2">
        <v>0</v>
      </c>
      <c r="G52" s="2">
        <f ca="1">COUNTIF(INDIRECT(_xlfn.CONCAT("Data!$B$2:", ADDRESS(51,COUNTA(Data!$1:$1)+1,1,1))), Songs!A52) + F52</f>
        <v>18</v>
      </c>
      <c r="H52" s="8"/>
      <c r="I52" s="8"/>
      <c r="J52" s="8" cm="1">
        <f t="array" ref="J52">51 - MAX(IF(NOT(ISNA(K52:BB52)),K52:BB52))</f>
        <v>23</v>
      </c>
      <c r="K52">
        <f>_xlfn.IFNA(51-MATCH(Songs!$A52,Data!G$2:G$51,0),NA())</f>
        <v>28</v>
      </c>
      <c r="L52">
        <f>_xlfn.IFNA(51-MATCH(Songs!$A52,Data!H$2:H$51,0),NA())</f>
        <v>22</v>
      </c>
      <c r="M52">
        <f>_xlfn.IFNA(51-MATCH(Songs!$A52,Data!I$2:I$51,0),NA())</f>
        <v>23</v>
      </c>
      <c r="N52">
        <f>_xlfn.IFNA(51-MATCH(Songs!$A52,Data!J$2:J$51,0),NA())</f>
        <v>23</v>
      </c>
      <c r="O52">
        <f>_xlfn.IFNA(51-MATCH(Songs!$A52,Data!K$2:K$51,0),NA())</f>
        <v>20</v>
      </c>
      <c r="P52">
        <f>_xlfn.IFNA(51-MATCH(Songs!$A52,Data!L$2:L$51,0),NA())</f>
        <v>18</v>
      </c>
      <c r="Q52">
        <f>_xlfn.IFNA(51-MATCH(Songs!$A52,Data!M$2:M$51,0),NA())</f>
        <v>7</v>
      </c>
      <c r="R52">
        <f>_xlfn.IFNA(51-MATCH(Songs!$A52,Data!N$2:N$51,0),NA())</f>
        <v>7</v>
      </c>
      <c r="S52">
        <f>_xlfn.IFNA(51-MATCH(Songs!$A52,Data!O$2:O$51,0),NA())</f>
        <v>15</v>
      </c>
      <c r="T52">
        <f>_xlfn.IFNA(51-MATCH(Songs!$A52,Data!P$2:P$51,0),NA())</f>
        <v>13</v>
      </c>
      <c r="U52">
        <f>_xlfn.IFNA(51-MATCH(Songs!$A52,Data!Q$2:Q$51,0),NA())</f>
        <v>16</v>
      </c>
      <c r="V52">
        <f>_xlfn.IFNA(51-MATCH(Songs!$A52,Data!R$2:R$51,0),NA())</f>
        <v>14</v>
      </c>
      <c r="W52">
        <f>_xlfn.IFNA(51-MATCH(Songs!$A52,Data!S$2:S$51,0),NA())</f>
        <v>15</v>
      </c>
      <c r="X52">
        <f>_xlfn.IFNA(51-MATCH(Songs!$A52,Data!T$2:T$51,0),NA())</f>
        <v>8</v>
      </c>
      <c r="Y52" t="e">
        <f>_xlfn.IFNA(51-MATCH(Songs!$A52,Data!U$2:U$51,0),NA())</f>
        <v>#N/A</v>
      </c>
      <c r="Z52" t="e">
        <f>_xlfn.IFNA(51-MATCH(Songs!$A52,Data!V$2:V$51,0),NA())</f>
        <v>#N/A</v>
      </c>
      <c r="AA52" t="e">
        <f>_xlfn.IFNA(51-MATCH(Songs!$A52,Data!W$2:W$51,0),NA())</f>
        <v>#N/A</v>
      </c>
      <c r="AB52" t="e">
        <f>_xlfn.IFNA(51-MATCH(Songs!$A52,Data!X$2:X$51,0),NA())</f>
        <v>#N/A</v>
      </c>
      <c r="AC52" t="e">
        <f>_xlfn.IFNA(51-MATCH(Songs!$A52,Data!Y$2:Y$51,0),NA())</f>
        <v>#N/A</v>
      </c>
      <c r="AD52" t="e">
        <f>_xlfn.IFNA(51-MATCH(Songs!$A52,Data!Z$2:Z$51,0),NA())</f>
        <v>#N/A</v>
      </c>
      <c r="AE52" t="e">
        <f>_xlfn.IFNA(51-MATCH(Songs!$A52,Data!AA$2:AA$51,0),NA())</f>
        <v>#N/A</v>
      </c>
      <c r="AF52" t="e">
        <f>_xlfn.IFNA(51-MATCH(Songs!$A52,Data!AB$2:AB$51,0),NA())</f>
        <v>#N/A</v>
      </c>
      <c r="AG52" t="e">
        <f>_xlfn.IFNA(51-MATCH(Songs!$A52,Data!AC$2:AC$51,0),NA())</f>
        <v>#N/A</v>
      </c>
      <c r="AH52" t="e">
        <f>_xlfn.IFNA(51-MATCH(Songs!$A52,Data!AD$2:AD$51,0),NA())</f>
        <v>#N/A</v>
      </c>
      <c r="AI52" t="e">
        <f>_xlfn.IFNA(51-MATCH(Songs!$A52,Data!AE$2:AE$51,0),NA())</f>
        <v>#N/A</v>
      </c>
    </row>
    <row r="53" spans="1:35" ht="13.2" x14ac:dyDescent="0.25">
      <c r="A53" s="2" t="s">
        <v>65</v>
      </c>
      <c r="B53" s="2" t="s">
        <v>118</v>
      </c>
      <c r="C53" s="2" t="s">
        <v>204</v>
      </c>
      <c r="F53" s="2">
        <v>4</v>
      </c>
      <c r="G53" s="2">
        <f ca="1">COUNTIF(INDIRECT(_xlfn.CONCAT("Data!$B$2:", ADDRESS(51,COUNTA(Data!$1:$1)+1,1,1))), Songs!A53) + F53</f>
        <v>16</v>
      </c>
      <c r="H53" s="8"/>
      <c r="I53" s="8"/>
      <c r="J53" s="8" cm="1">
        <f t="array" ref="J53">51 - MAX(IF(NOT(ISNA(K53:BB53)),K53:BB53))</f>
        <v>43</v>
      </c>
      <c r="K53">
        <f>_xlfn.IFNA(51-MATCH(Songs!$A53,Data!G$2:G$51,0),NA())</f>
        <v>5</v>
      </c>
      <c r="L53">
        <f>_xlfn.IFNA(51-MATCH(Songs!$A53,Data!H$2:H$51,0),NA())</f>
        <v>5</v>
      </c>
      <c r="M53">
        <f>_xlfn.IFNA(51-MATCH(Songs!$A53,Data!I$2:I$51,0),NA())</f>
        <v>4</v>
      </c>
      <c r="N53">
        <f>_xlfn.IFNA(51-MATCH(Songs!$A53,Data!J$2:J$51,0),NA())</f>
        <v>1</v>
      </c>
      <c r="O53" t="e">
        <f>_xlfn.IFNA(51-MATCH(Songs!$A53,Data!K$2:K$51,0),NA())</f>
        <v>#N/A</v>
      </c>
      <c r="P53">
        <f>_xlfn.IFNA(51-MATCH(Songs!$A53,Data!L$2:L$51,0),NA())</f>
        <v>7</v>
      </c>
      <c r="Q53" t="e">
        <f>_xlfn.IFNA(51-MATCH(Songs!$A53,Data!M$2:M$51,0),NA())</f>
        <v>#N/A</v>
      </c>
      <c r="R53" t="e">
        <f>_xlfn.IFNA(51-MATCH(Songs!$A53,Data!N$2:N$51,0),NA())</f>
        <v>#N/A</v>
      </c>
      <c r="S53" t="e">
        <f>_xlfn.IFNA(51-MATCH(Songs!$A53,Data!O$2:O$51,0),NA())</f>
        <v>#N/A</v>
      </c>
      <c r="T53">
        <f>_xlfn.IFNA(51-MATCH(Songs!$A53,Data!P$2:P$51,0),NA())</f>
        <v>6</v>
      </c>
      <c r="U53">
        <f>_xlfn.IFNA(51-MATCH(Songs!$A53,Data!Q$2:Q$51,0),NA())</f>
        <v>8</v>
      </c>
      <c r="V53">
        <f>_xlfn.IFNA(51-MATCH(Songs!$A53,Data!R$2:R$51,0),NA())</f>
        <v>7</v>
      </c>
      <c r="W53">
        <f>_xlfn.IFNA(51-MATCH(Songs!$A53,Data!S$2:S$51,0),NA())</f>
        <v>6</v>
      </c>
      <c r="X53">
        <f>_xlfn.IFNA(51-MATCH(Songs!$A53,Data!T$2:T$51,0),NA())</f>
        <v>5</v>
      </c>
      <c r="Y53" t="e">
        <f>_xlfn.IFNA(51-MATCH(Songs!$A53,Data!U$2:U$51,0),NA())</f>
        <v>#N/A</v>
      </c>
      <c r="Z53" t="e">
        <f>_xlfn.IFNA(51-MATCH(Songs!$A53,Data!V$2:V$51,0),NA())</f>
        <v>#N/A</v>
      </c>
      <c r="AA53" t="e">
        <f>_xlfn.IFNA(51-MATCH(Songs!$A53,Data!W$2:W$51,0),NA())</f>
        <v>#N/A</v>
      </c>
      <c r="AB53" t="e">
        <f>_xlfn.IFNA(51-MATCH(Songs!$A53,Data!X$2:X$51,0),NA())</f>
        <v>#N/A</v>
      </c>
      <c r="AC53" t="e">
        <f>_xlfn.IFNA(51-MATCH(Songs!$A53,Data!Y$2:Y$51,0),NA())</f>
        <v>#N/A</v>
      </c>
      <c r="AD53" t="e">
        <f>_xlfn.IFNA(51-MATCH(Songs!$A53,Data!Z$2:Z$51,0),NA())</f>
        <v>#N/A</v>
      </c>
      <c r="AE53" t="e">
        <f>_xlfn.IFNA(51-MATCH(Songs!$A53,Data!AA$2:AA$51,0),NA())</f>
        <v>#N/A</v>
      </c>
      <c r="AF53" t="e">
        <f>_xlfn.IFNA(51-MATCH(Songs!$A53,Data!AB$2:AB$51,0),NA())</f>
        <v>#N/A</v>
      </c>
      <c r="AG53" t="e">
        <f>_xlfn.IFNA(51-MATCH(Songs!$A53,Data!AC$2:AC$51,0),NA())</f>
        <v>#N/A</v>
      </c>
      <c r="AH53" t="e">
        <f>_xlfn.IFNA(51-MATCH(Songs!$A53,Data!AD$2:AD$51,0),NA())</f>
        <v>#N/A</v>
      </c>
      <c r="AI53" t="e">
        <f>_xlfn.IFNA(51-MATCH(Songs!$A53,Data!AE$2:AE$51,0),NA())</f>
        <v>#N/A</v>
      </c>
    </row>
    <row r="54" spans="1:35" ht="13.2" x14ac:dyDescent="0.25">
      <c r="A54" s="2" t="s">
        <v>68</v>
      </c>
      <c r="B54" s="2" t="s">
        <v>119</v>
      </c>
      <c r="F54" s="2">
        <v>12</v>
      </c>
      <c r="G54" s="2">
        <f ca="1">COUNTIF(INDIRECT(_xlfn.CONCAT("Data!$B$2:", ADDRESS(51,COUNTA(Data!$1:$1)+1,1,1))), Songs!A54) + F54</f>
        <v>15</v>
      </c>
      <c r="H54" s="8"/>
      <c r="I54" s="8"/>
      <c r="J54" s="8" cm="1">
        <f t="array" ref="J54">51 - MAX(IF(NOT(ISNA(K54:BB54)),K54:BB54))</f>
        <v>49</v>
      </c>
      <c r="K54">
        <f>_xlfn.IFNA(51-MATCH(Songs!$A54,Data!G$2:G$51,0),NA())</f>
        <v>2</v>
      </c>
      <c r="L54" t="e">
        <f>_xlfn.IFNA(51-MATCH(Songs!$A54,Data!H$2:H$51,0),NA())</f>
        <v>#N/A</v>
      </c>
      <c r="M54">
        <f>_xlfn.IFNA(51-MATCH(Songs!$A54,Data!I$2:I$51,0),NA())</f>
        <v>1</v>
      </c>
      <c r="N54" t="e">
        <f>_xlfn.IFNA(51-MATCH(Songs!$A54,Data!J$2:J$51,0),NA())</f>
        <v>#N/A</v>
      </c>
      <c r="O54" t="e">
        <f>_xlfn.IFNA(51-MATCH(Songs!$A54,Data!K$2:K$51,0),NA())</f>
        <v>#N/A</v>
      </c>
      <c r="P54" t="e">
        <f>_xlfn.IFNA(51-MATCH(Songs!$A54,Data!L$2:L$51,0),NA())</f>
        <v>#N/A</v>
      </c>
      <c r="Q54" t="e">
        <f>_xlfn.IFNA(51-MATCH(Songs!$A54,Data!M$2:M$51,0),NA())</f>
        <v>#N/A</v>
      </c>
      <c r="R54" t="e">
        <f>_xlfn.IFNA(51-MATCH(Songs!$A54,Data!N$2:N$51,0),NA())</f>
        <v>#N/A</v>
      </c>
      <c r="S54" t="e">
        <f>_xlfn.IFNA(51-MATCH(Songs!$A54,Data!O$2:O$51,0),NA())</f>
        <v>#N/A</v>
      </c>
      <c r="T54" t="e">
        <f>_xlfn.IFNA(51-MATCH(Songs!$A54,Data!P$2:P$51,0),NA())</f>
        <v>#N/A</v>
      </c>
      <c r="U54" t="e">
        <f>_xlfn.IFNA(51-MATCH(Songs!$A54,Data!Q$2:Q$51,0),NA())</f>
        <v>#N/A</v>
      </c>
      <c r="V54" t="e">
        <f>_xlfn.IFNA(51-MATCH(Songs!$A54,Data!R$2:R$51,0),NA())</f>
        <v>#N/A</v>
      </c>
      <c r="W54" t="e">
        <f>_xlfn.IFNA(51-MATCH(Songs!$A54,Data!S$2:S$51,0),NA())</f>
        <v>#N/A</v>
      </c>
      <c r="X54" t="e">
        <f>_xlfn.IFNA(51-MATCH(Songs!$A54,Data!T$2:T$51,0),NA())</f>
        <v>#N/A</v>
      </c>
      <c r="Y54" t="e">
        <f>_xlfn.IFNA(51-MATCH(Songs!$A54,Data!U$2:U$51,0),NA())</f>
        <v>#N/A</v>
      </c>
      <c r="Z54" t="e">
        <f>_xlfn.IFNA(51-MATCH(Songs!$A54,Data!V$2:V$51,0),NA())</f>
        <v>#N/A</v>
      </c>
      <c r="AA54" t="e">
        <f>_xlfn.IFNA(51-MATCH(Songs!$A54,Data!W$2:W$51,0),NA())</f>
        <v>#N/A</v>
      </c>
      <c r="AB54" t="e">
        <f>_xlfn.IFNA(51-MATCH(Songs!$A54,Data!X$2:X$51,0),NA())</f>
        <v>#N/A</v>
      </c>
      <c r="AC54" t="e">
        <f>_xlfn.IFNA(51-MATCH(Songs!$A54,Data!Y$2:Y$51,0),NA())</f>
        <v>#N/A</v>
      </c>
      <c r="AD54" t="e">
        <f>_xlfn.IFNA(51-MATCH(Songs!$A54,Data!Z$2:Z$51,0),NA())</f>
        <v>#N/A</v>
      </c>
      <c r="AE54" t="e">
        <f>_xlfn.IFNA(51-MATCH(Songs!$A54,Data!AA$2:AA$51,0),NA())</f>
        <v>#N/A</v>
      </c>
      <c r="AF54" t="e">
        <f>_xlfn.IFNA(51-MATCH(Songs!$A54,Data!AB$2:AB$51,0),NA())</f>
        <v>#N/A</v>
      </c>
      <c r="AG54" t="e">
        <f>_xlfn.IFNA(51-MATCH(Songs!$A54,Data!AC$2:AC$51,0),NA())</f>
        <v>#N/A</v>
      </c>
      <c r="AH54" t="e">
        <f>_xlfn.IFNA(51-MATCH(Songs!$A54,Data!AD$2:AD$51,0),NA())</f>
        <v>#N/A</v>
      </c>
      <c r="AI54" t="e">
        <f>_xlfn.IFNA(51-MATCH(Songs!$A54,Data!AE$2:AE$51,0),NA())</f>
        <v>#N/A</v>
      </c>
    </row>
    <row r="55" spans="1:35" ht="13.2" x14ac:dyDescent="0.25">
      <c r="A55" s="2" t="s">
        <v>6</v>
      </c>
      <c r="B55" s="2" t="s">
        <v>76</v>
      </c>
      <c r="F55" s="2">
        <v>0</v>
      </c>
      <c r="G55" s="2">
        <f ca="1">COUNTIF(INDIRECT(_xlfn.CONCAT("Data!$B$2:", ADDRESS(51,COUNTA(Data!$1:$1)+1,1,1))), Songs!A55) + F55</f>
        <v>20</v>
      </c>
      <c r="H55" s="8"/>
      <c r="I55" s="8"/>
      <c r="J55" s="8" cm="1">
        <f t="array" ref="J55">51 - MAX(IF(NOT(ISNA(K55:BB55)),K55:BB55))</f>
        <v>15</v>
      </c>
      <c r="K55">
        <f>_xlfn.IFNA(51-MATCH(Songs!$A55,Data!G$2:G$51,0),NA())</f>
        <v>35</v>
      </c>
      <c r="L55">
        <f>_xlfn.IFNA(51-MATCH(Songs!$A55,Data!H$2:H$51,0),NA())</f>
        <v>32</v>
      </c>
      <c r="M55">
        <f>_xlfn.IFNA(51-MATCH(Songs!$A55,Data!I$2:I$51,0),NA())</f>
        <v>34</v>
      </c>
      <c r="N55">
        <f>_xlfn.IFNA(51-MATCH(Songs!$A55,Data!J$2:J$51,0),NA())</f>
        <v>33</v>
      </c>
      <c r="O55">
        <f>_xlfn.IFNA(51-MATCH(Songs!$A55,Data!K$2:K$51,0),NA())</f>
        <v>33</v>
      </c>
      <c r="P55">
        <f>_xlfn.IFNA(51-MATCH(Songs!$A55,Data!L$2:L$51,0),NA())</f>
        <v>36</v>
      </c>
      <c r="Q55">
        <f>_xlfn.IFNA(51-MATCH(Songs!$A55,Data!M$2:M$51,0),NA())</f>
        <v>26</v>
      </c>
      <c r="R55">
        <f>_xlfn.IFNA(51-MATCH(Songs!$A55,Data!N$2:N$51,0),NA())</f>
        <v>32</v>
      </c>
      <c r="S55">
        <f>_xlfn.IFNA(51-MATCH(Songs!$A55,Data!O$2:O$51,0),NA())</f>
        <v>31</v>
      </c>
      <c r="T55">
        <f>_xlfn.IFNA(51-MATCH(Songs!$A55,Data!P$2:P$51,0),NA())</f>
        <v>33</v>
      </c>
      <c r="U55">
        <f>_xlfn.IFNA(51-MATCH(Songs!$A55,Data!Q$2:Q$51,0),NA())</f>
        <v>32</v>
      </c>
      <c r="V55">
        <f>_xlfn.IFNA(51-MATCH(Songs!$A55,Data!R$2:R$51,0),NA())</f>
        <v>31</v>
      </c>
      <c r="W55">
        <f>_xlfn.IFNA(51-MATCH(Songs!$A55,Data!S$2:S$51,0),NA())</f>
        <v>32</v>
      </c>
      <c r="X55">
        <f>_xlfn.IFNA(51-MATCH(Songs!$A55,Data!T$2:T$51,0),NA())</f>
        <v>31</v>
      </c>
      <c r="Y55">
        <f>_xlfn.IFNA(51-MATCH(Songs!$A55,Data!U$2:U$51,0),NA())</f>
        <v>27</v>
      </c>
      <c r="Z55">
        <f>_xlfn.IFNA(51-MATCH(Songs!$A55,Data!V$2:V$51,0),NA())</f>
        <v>28</v>
      </c>
      <c r="AA55">
        <f>_xlfn.IFNA(51-MATCH(Songs!$A55,Data!W$2:W$51,0),NA())</f>
        <v>26</v>
      </c>
      <c r="AB55" t="e">
        <f>_xlfn.IFNA(51-MATCH(Songs!$A55,Data!X$2:X$51,0),NA())</f>
        <v>#N/A</v>
      </c>
      <c r="AC55" t="e">
        <f>_xlfn.IFNA(51-MATCH(Songs!$A55,Data!Y$2:Y$51,0),NA())</f>
        <v>#N/A</v>
      </c>
      <c r="AD55" t="e">
        <f>_xlfn.IFNA(51-MATCH(Songs!$A55,Data!Z$2:Z$51,0),NA())</f>
        <v>#N/A</v>
      </c>
      <c r="AE55" t="e">
        <f>_xlfn.IFNA(51-MATCH(Songs!$A55,Data!AA$2:AA$51,0),NA())</f>
        <v>#N/A</v>
      </c>
      <c r="AF55" t="e">
        <f>_xlfn.IFNA(51-MATCH(Songs!$A55,Data!AB$2:AB$51,0),NA())</f>
        <v>#N/A</v>
      </c>
      <c r="AG55" t="e">
        <f>_xlfn.IFNA(51-MATCH(Songs!$A55,Data!AC$2:AC$51,0),NA())</f>
        <v>#N/A</v>
      </c>
      <c r="AH55" t="e">
        <f>_xlfn.IFNA(51-MATCH(Songs!$A55,Data!AD$2:AD$51,0),NA())</f>
        <v>#N/A</v>
      </c>
      <c r="AI55" t="e">
        <f>_xlfn.IFNA(51-MATCH(Songs!$A55,Data!AE$2:AE$51,0),NA())</f>
        <v>#N/A</v>
      </c>
    </row>
    <row r="56" spans="1:35" ht="13.2" x14ac:dyDescent="0.25">
      <c r="A56" s="2" t="s">
        <v>54</v>
      </c>
      <c r="B56" s="2" t="s">
        <v>116</v>
      </c>
      <c r="F56" s="2">
        <v>0</v>
      </c>
      <c r="G56" s="2">
        <f ca="1">COUNTIF(INDIRECT(_xlfn.CONCAT("Data!$B$2:", ADDRESS(51,COUNTA(Data!$1:$1)+1,1,1))), Songs!A56) + F56</f>
        <v>1</v>
      </c>
      <c r="H56" s="8"/>
      <c r="I56" s="8"/>
      <c r="J56" s="8" cm="1">
        <f t="array" ref="J56">51 - MAX(IF(NOT(ISNA(K56:BB56)),K56:BB56))</f>
        <v>51</v>
      </c>
      <c r="K56" t="e">
        <f>_xlfn.IFNA(51-MATCH(Songs!$A56,Data!G$2:G$51,0),NA())</f>
        <v>#N/A</v>
      </c>
      <c r="L56" t="e">
        <f>_xlfn.IFNA(51-MATCH(Songs!$A56,Data!H$2:H$51,0),NA())</f>
        <v>#N/A</v>
      </c>
      <c r="M56" t="e">
        <f>_xlfn.IFNA(51-MATCH(Songs!$A56,Data!I$2:I$51,0),NA())</f>
        <v>#N/A</v>
      </c>
      <c r="N56" t="e">
        <f>_xlfn.IFNA(51-MATCH(Songs!$A56,Data!J$2:J$51,0),NA())</f>
        <v>#N/A</v>
      </c>
      <c r="O56" t="e">
        <f>_xlfn.IFNA(51-MATCH(Songs!$A56,Data!K$2:K$51,0),NA())</f>
        <v>#N/A</v>
      </c>
      <c r="P56" t="e">
        <f>_xlfn.IFNA(51-MATCH(Songs!$A56,Data!L$2:L$51,0),NA())</f>
        <v>#N/A</v>
      </c>
      <c r="Q56" t="e">
        <f>_xlfn.IFNA(51-MATCH(Songs!$A56,Data!M$2:M$51,0),NA())</f>
        <v>#N/A</v>
      </c>
      <c r="R56" t="e">
        <f>_xlfn.IFNA(51-MATCH(Songs!$A56,Data!N$2:N$51,0),NA())</f>
        <v>#N/A</v>
      </c>
      <c r="S56" t="e">
        <f>_xlfn.IFNA(51-MATCH(Songs!$A56,Data!O$2:O$51,0),NA())</f>
        <v>#N/A</v>
      </c>
      <c r="T56" t="e">
        <f>_xlfn.IFNA(51-MATCH(Songs!$A56,Data!P$2:P$51,0),NA())</f>
        <v>#N/A</v>
      </c>
      <c r="U56" t="e">
        <f>_xlfn.IFNA(51-MATCH(Songs!$A56,Data!Q$2:Q$51,0),NA())</f>
        <v>#N/A</v>
      </c>
      <c r="V56" t="e">
        <f>_xlfn.IFNA(51-MATCH(Songs!$A56,Data!R$2:R$51,0),NA())</f>
        <v>#N/A</v>
      </c>
      <c r="W56" t="e">
        <f>_xlfn.IFNA(51-MATCH(Songs!$A56,Data!S$2:S$51,0),NA())</f>
        <v>#N/A</v>
      </c>
      <c r="X56" t="e">
        <f>_xlfn.IFNA(51-MATCH(Songs!$A56,Data!T$2:T$51,0),NA())</f>
        <v>#N/A</v>
      </c>
      <c r="Y56" t="e">
        <f>_xlfn.IFNA(51-MATCH(Songs!$A56,Data!U$2:U$51,0),NA())</f>
        <v>#N/A</v>
      </c>
      <c r="Z56" t="e">
        <f>_xlfn.IFNA(51-MATCH(Songs!$A56,Data!V$2:V$51,0),NA())</f>
        <v>#N/A</v>
      </c>
      <c r="AA56" t="e">
        <f>_xlfn.IFNA(51-MATCH(Songs!$A56,Data!W$2:W$51,0),NA())</f>
        <v>#N/A</v>
      </c>
      <c r="AB56" t="e">
        <f>_xlfn.IFNA(51-MATCH(Songs!$A56,Data!X$2:X$51,0),NA())</f>
        <v>#N/A</v>
      </c>
      <c r="AC56" t="e">
        <f>_xlfn.IFNA(51-MATCH(Songs!$A56,Data!Y$2:Y$51,0),NA())</f>
        <v>#N/A</v>
      </c>
      <c r="AD56" t="e">
        <f>_xlfn.IFNA(51-MATCH(Songs!$A56,Data!Z$2:Z$51,0),NA())</f>
        <v>#N/A</v>
      </c>
      <c r="AE56" t="e">
        <f>_xlfn.IFNA(51-MATCH(Songs!$A56,Data!AA$2:AA$51,0),NA())</f>
        <v>#N/A</v>
      </c>
      <c r="AF56" t="e">
        <f>_xlfn.IFNA(51-MATCH(Songs!$A56,Data!AB$2:AB$51,0),NA())</f>
        <v>#N/A</v>
      </c>
      <c r="AG56" t="e">
        <f>_xlfn.IFNA(51-MATCH(Songs!$A56,Data!AC$2:AC$51,0),NA())</f>
        <v>#N/A</v>
      </c>
      <c r="AH56" t="e">
        <f>_xlfn.IFNA(51-MATCH(Songs!$A56,Data!AD$2:AD$51,0),NA())</f>
        <v>#N/A</v>
      </c>
      <c r="AI56" t="e">
        <f>_xlfn.IFNA(51-MATCH(Songs!$A56,Data!AE$2:AE$51,0),NA())</f>
        <v>#N/A</v>
      </c>
    </row>
    <row r="57" spans="1:35" ht="13.2" x14ac:dyDescent="0.25">
      <c r="A57" s="2" t="s">
        <v>56</v>
      </c>
      <c r="B57" s="2" t="s">
        <v>75</v>
      </c>
      <c r="F57" s="2">
        <v>0</v>
      </c>
      <c r="G57" s="2">
        <f ca="1">COUNTIF(INDIRECT(_xlfn.CONCAT("Data!$B$2:", ADDRESS(51,COUNTA(Data!$1:$1)+1,1,1))), Songs!A57) + F57</f>
        <v>1</v>
      </c>
      <c r="H57" s="8"/>
      <c r="I57" s="8"/>
      <c r="J57" s="8" cm="1">
        <f t="array" ref="J57">51 - MAX(IF(NOT(ISNA(K57:BB57)),K57:BB57))</f>
        <v>51</v>
      </c>
      <c r="K57" t="e">
        <f>_xlfn.IFNA(51-MATCH(Songs!$A57,Data!G$2:G$51,0),NA())</f>
        <v>#N/A</v>
      </c>
      <c r="L57" t="e">
        <f>_xlfn.IFNA(51-MATCH(Songs!$A57,Data!H$2:H$51,0),NA())</f>
        <v>#N/A</v>
      </c>
      <c r="M57" t="e">
        <f>_xlfn.IFNA(51-MATCH(Songs!$A57,Data!I$2:I$51,0),NA())</f>
        <v>#N/A</v>
      </c>
      <c r="N57" t="e">
        <f>_xlfn.IFNA(51-MATCH(Songs!$A57,Data!J$2:J$51,0),NA())</f>
        <v>#N/A</v>
      </c>
      <c r="O57" t="e">
        <f>_xlfn.IFNA(51-MATCH(Songs!$A57,Data!K$2:K$51,0),NA())</f>
        <v>#N/A</v>
      </c>
      <c r="P57" t="e">
        <f>_xlfn.IFNA(51-MATCH(Songs!$A57,Data!L$2:L$51,0),NA())</f>
        <v>#N/A</v>
      </c>
      <c r="Q57" t="e">
        <f>_xlfn.IFNA(51-MATCH(Songs!$A57,Data!M$2:M$51,0),NA())</f>
        <v>#N/A</v>
      </c>
      <c r="R57" t="e">
        <f>_xlfn.IFNA(51-MATCH(Songs!$A57,Data!N$2:N$51,0),NA())</f>
        <v>#N/A</v>
      </c>
      <c r="S57" t="e">
        <f>_xlfn.IFNA(51-MATCH(Songs!$A57,Data!O$2:O$51,0),NA())</f>
        <v>#N/A</v>
      </c>
      <c r="T57" t="e">
        <f>_xlfn.IFNA(51-MATCH(Songs!$A57,Data!P$2:P$51,0),NA())</f>
        <v>#N/A</v>
      </c>
      <c r="U57" t="e">
        <f>_xlfn.IFNA(51-MATCH(Songs!$A57,Data!Q$2:Q$51,0),NA())</f>
        <v>#N/A</v>
      </c>
      <c r="V57" t="e">
        <f>_xlfn.IFNA(51-MATCH(Songs!$A57,Data!R$2:R$51,0),NA())</f>
        <v>#N/A</v>
      </c>
      <c r="W57" t="e">
        <f>_xlfn.IFNA(51-MATCH(Songs!$A57,Data!S$2:S$51,0),NA())</f>
        <v>#N/A</v>
      </c>
      <c r="X57" t="e">
        <f>_xlfn.IFNA(51-MATCH(Songs!$A57,Data!T$2:T$51,0),NA())</f>
        <v>#N/A</v>
      </c>
      <c r="Y57" t="e">
        <f>_xlfn.IFNA(51-MATCH(Songs!$A57,Data!U$2:U$51,0),NA())</f>
        <v>#N/A</v>
      </c>
      <c r="Z57" t="e">
        <f>_xlfn.IFNA(51-MATCH(Songs!$A57,Data!V$2:V$51,0),NA())</f>
        <v>#N/A</v>
      </c>
      <c r="AA57" t="e">
        <f>_xlfn.IFNA(51-MATCH(Songs!$A57,Data!W$2:W$51,0),NA())</f>
        <v>#N/A</v>
      </c>
      <c r="AB57" t="e">
        <f>_xlfn.IFNA(51-MATCH(Songs!$A57,Data!X$2:X$51,0),NA())</f>
        <v>#N/A</v>
      </c>
      <c r="AC57" t="e">
        <f>_xlfn.IFNA(51-MATCH(Songs!$A57,Data!Y$2:Y$51,0),NA())</f>
        <v>#N/A</v>
      </c>
      <c r="AD57" t="e">
        <f>_xlfn.IFNA(51-MATCH(Songs!$A57,Data!Z$2:Z$51,0),NA())</f>
        <v>#N/A</v>
      </c>
      <c r="AE57" t="e">
        <f>_xlfn.IFNA(51-MATCH(Songs!$A57,Data!AA$2:AA$51,0),NA())</f>
        <v>#N/A</v>
      </c>
      <c r="AF57" t="e">
        <f>_xlfn.IFNA(51-MATCH(Songs!$A57,Data!AB$2:AB$51,0),NA())</f>
        <v>#N/A</v>
      </c>
      <c r="AG57" t="e">
        <f>_xlfn.IFNA(51-MATCH(Songs!$A57,Data!AC$2:AC$51,0),NA())</f>
        <v>#N/A</v>
      </c>
      <c r="AH57" t="e">
        <f>_xlfn.IFNA(51-MATCH(Songs!$A57,Data!AD$2:AD$51,0),NA())</f>
        <v>#N/A</v>
      </c>
      <c r="AI57" t="e">
        <f>_xlfn.IFNA(51-MATCH(Songs!$A57,Data!AE$2:AE$51,0),NA())</f>
        <v>#N/A</v>
      </c>
    </row>
    <row r="58" spans="1:35" ht="13.2" x14ac:dyDescent="0.25">
      <c r="A58" s="2" t="s">
        <v>64</v>
      </c>
      <c r="B58" s="2" t="s">
        <v>120</v>
      </c>
      <c r="C58" s="2" t="s">
        <v>205</v>
      </c>
      <c r="F58" s="2">
        <v>0</v>
      </c>
      <c r="G58" s="2">
        <f ca="1">COUNTIF(INDIRECT(_xlfn.CONCAT("Data!$B$2:", ADDRESS(51,COUNTA(Data!$1:$1)+1,1,1))), Songs!A58) + F58</f>
        <v>2</v>
      </c>
      <c r="H58" s="8"/>
      <c r="I58" s="8"/>
      <c r="J58" s="8" cm="1">
        <f t="array" ref="J58">51 - MAX(IF(NOT(ISNA(K58:BB58)),K58:BB58))</f>
        <v>50</v>
      </c>
      <c r="K58" t="e">
        <f>_xlfn.IFNA(51-MATCH(Songs!$A58,Data!G$2:G$51,0),NA())</f>
        <v>#N/A</v>
      </c>
      <c r="L58" t="e">
        <f>_xlfn.IFNA(51-MATCH(Songs!$A58,Data!H$2:H$51,0),NA())</f>
        <v>#N/A</v>
      </c>
      <c r="M58" t="e">
        <f>_xlfn.IFNA(51-MATCH(Songs!$A58,Data!I$2:I$51,0),NA())</f>
        <v>#N/A</v>
      </c>
      <c r="N58" t="e">
        <f>_xlfn.IFNA(51-MATCH(Songs!$A58,Data!J$2:J$51,0),NA())</f>
        <v>#N/A</v>
      </c>
      <c r="O58" t="e">
        <f>_xlfn.IFNA(51-MATCH(Songs!$A58,Data!K$2:K$51,0),NA())</f>
        <v>#N/A</v>
      </c>
      <c r="P58" t="e">
        <f>_xlfn.IFNA(51-MATCH(Songs!$A58,Data!L$2:L$51,0),NA())</f>
        <v>#N/A</v>
      </c>
      <c r="Q58" t="e">
        <f>_xlfn.IFNA(51-MATCH(Songs!$A58,Data!M$2:M$51,0),NA())</f>
        <v>#N/A</v>
      </c>
      <c r="R58" t="e">
        <f>_xlfn.IFNA(51-MATCH(Songs!$A58,Data!N$2:N$51,0),NA())</f>
        <v>#N/A</v>
      </c>
      <c r="S58" t="e">
        <f>_xlfn.IFNA(51-MATCH(Songs!$A58,Data!O$2:O$51,0),NA())</f>
        <v>#N/A</v>
      </c>
      <c r="T58" t="e">
        <f>_xlfn.IFNA(51-MATCH(Songs!$A58,Data!P$2:P$51,0),NA())</f>
        <v>#N/A</v>
      </c>
      <c r="U58" t="e">
        <f>_xlfn.IFNA(51-MATCH(Songs!$A58,Data!Q$2:Q$51,0),NA())</f>
        <v>#N/A</v>
      </c>
      <c r="V58" t="e">
        <f>_xlfn.IFNA(51-MATCH(Songs!$A58,Data!R$2:R$51,0),NA())</f>
        <v>#N/A</v>
      </c>
      <c r="W58" t="e">
        <f>_xlfn.IFNA(51-MATCH(Songs!$A58,Data!S$2:S$51,0),NA())</f>
        <v>#N/A</v>
      </c>
      <c r="X58" t="e">
        <f>_xlfn.IFNA(51-MATCH(Songs!$A58,Data!T$2:T$51,0),NA())</f>
        <v>#N/A</v>
      </c>
      <c r="Y58" t="e">
        <f>_xlfn.IFNA(51-MATCH(Songs!$A58,Data!U$2:U$51,0),NA())</f>
        <v>#N/A</v>
      </c>
      <c r="Z58">
        <f>_xlfn.IFNA(51-MATCH(Songs!$A58,Data!V$2:V$51,0),NA())</f>
        <v>1</v>
      </c>
      <c r="AA58" t="e">
        <f>_xlfn.IFNA(51-MATCH(Songs!$A58,Data!W$2:W$51,0),NA())</f>
        <v>#N/A</v>
      </c>
      <c r="AB58" t="e">
        <f>_xlfn.IFNA(51-MATCH(Songs!$A58,Data!X$2:X$51,0),NA())</f>
        <v>#N/A</v>
      </c>
      <c r="AC58" t="e">
        <f>_xlfn.IFNA(51-MATCH(Songs!$A58,Data!Y$2:Y$51,0),NA())</f>
        <v>#N/A</v>
      </c>
      <c r="AD58" t="e">
        <f>_xlfn.IFNA(51-MATCH(Songs!$A58,Data!Z$2:Z$51,0),NA())</f>
        <v>#N/A</v>
      </c>
      <c r="AE58" t="e">
        <f>_xlfn.IFNA(51-MATCH(Songs!$A58,Data!AA$2:AA$51,0),NA())</f>
        <v>#N/A</v>
      </c>
      <c r="AF58" t="e">
        <f>_xlfn.IFNA(51-MATCH(Songs!$A58,Data!AB$2:AB$51,0),NA())</f>
        <v>#N/A</v>
      </c>
      <c r="AG58" t="e">
        <f>_xlfn.IFNA(51-MATCH(Songs!$A58,Data!AC$2:AC$51,0),NA())</f>
        <v>#N/A</v>
      </c>
      <c r="AH58" t="e">
        <f>_xlfn.IFNA(51-MATCH(Songs!$A58,Data!AD$2:AD$51,0),NA())</f>
        <v>#N/A</v>
      </c>
      <c r="AI58" t="e">
        <f>_xlfn.IFNA(51-MATCH(Songs!$A58,Data!AE$2:AE$51,0),NA())</f>
        <v>#N/A</v>
      </c>
    </row>
    <row r="59" spans="1:35" ht="13.2" x14ac:dyDescent="0.25">
      <c r="A59" s="6" t="s">
        <v>17</v>
      </c>
      <c r="B59" s="6" t="s">
        <v>164</v>
      </c>
      <c r="C59" s="2"/>
      <c r="F59" s="2">
        <v>20</v>
      </c>
      <c r="G59" s="2">
        <f ca="1">COUNTIF(INDIRECT(_xlfn.CONCAT("Data!$B$2:", ADDRESS(51,COUNTA(Data!$1:$1)+1,1,1))), Songs!A59) + F59</f>
        <v>23</v>
      </c>
      <c r="H59" s="8"/>
      <c r="I59" s="8"/>
      <c r="J59" s="8" cm="1">
        <f t="array" ref="J59">51 - MAX(IF(NOT(ISNA(K59:BB59)),K59:BB59))</f>
        <v>22</v>
      </c>
      <c r="K59">
        <f>_xlfn.IFNA(51-MATCH(Songs!$A59,Data!G$2:G$51,0),NA())</f>
        <v>29</v>
      </c>
      <c r="L59" t="e">
        <f>_xlfn.IFNA(51-MATCH(Songs!$A59,Data!H$2:H$51,0),NA())</f>
        <v>#N/A</v>
      </c>
      <c r="M59" t="e">
        <f>_xlfn.IFNA(51-MATCH(Songs!$A59,Data!I$2:I$51,0),NA())</f>
        <v>#N/A</v>
      </c>
      <c r="N59" t="e">
        <f>_xlfn.IFNA(51-MATCH(Songs!$A59,Data!J$2:J$51,0),NA())</f>
        <v>#N/A</v>
      </c>
      <c r="O59" t="e">
        <f>_xlfn.IFNA(51-MATCH(Songs!$A59,Data!K$2:K$51,0),NA())</f>
        <v>#N/A</v>
      </c>
      <c r="P59" t="e">
        <f>_xlfn.IFNA(51-MATCH(Songs!$A59,Data!L$2:L$51,0),NA())</f>
        <v>#N/A</v>
      </c>
      <c r="Q59" t="e">
        <f>_xlfn.IFNA(51-MATCH(Songs!$A59,Data!M$2:M$51,0),NA())</f>
        <v>#N/A</v>
      </c>
      <c r="R59" t="e">
        <f>_xlfn.IFNA(51-MATCH(Songs!$A59,Data!N$2:N$51,0),NA())</f>
        <v>#N/A</v>
      </c>
      <c r="S59" t="e">
        <f>_xlfn.IFNA(51-MATCH(Songs!$A59,Data!O$2:O$51,0),NA())</f>
        <v>#N/A</v>
      </c>
      <c r="T59" t="e">
        <f>_xlfn.IFNA(51-MATCH(Songs!$A59,Data!P$2:P$51,0),NA())</f>
        <v>#N/A</v>
      </c>
      <c r="U59" t="e">
        <f>_xlfn.IFNA(51-MATCH(Songs!$A59,Data!Q$2:Q$51,0),NA())</f>
        <v>#N/A</v>
      </c>
      <c r="V59" t="e">
        <f>_xlfn.IFNA(51-MATCH(Songs!$A59,Data!R$2:R$51,0),NA())</f>
        <v>#N/A</v>
      </c>
      <c r="W59" t="e">
        <f>_xlfn.IFNA(51-MATCH(Songs!$A59,Data!S$2:S$51,0),NA())</f>
        <v>#N/A</v>
      </c>
      <c r="X59" t="e">
        <f>_xlfn.IFNA(51-MATCH(Songs!$A59,Data!T$2:T$51,0),NA())</f>
        <v>#N/A</v>
      </c>
      <c r="Y59" t="e">
        <f>_xlfn.IFNA(51-MATCH(Songs!$A59,Data!U$2:U$51,0),NA())</f>
        <v>#N/A</v>
      </c>
      <c r="Z59" t="e">
        <f>_xlfn.IFNA(51-MATCH(Songs!$A59,Data!V$2:V$51,0),NA())</f>
        <v>#N/A</v>
      </c>
      <c r="AA59" t="e">
        <f>_xlfn.IFNA(51-MATCH(Songs!$A59,Data!W$2:W$51,0),NA())</f>
        <v>#N/A</v>
      </c>
      <c r="AB59" t="e">
        <f>_xlfn.IFNA(51-MATCH(Songs!$A59,Data!X$2:X$51,0),NA())</f>
        <v>#N/A</v>
      </c>
      <c r="AC59" t="e">
        <f>_xlfn.IFNA(51-MATCH(Songs!$A59,Data!Y$2:Y$51,0),NA())</f>
        <v>#N/A</v>
      </c>
      <c r="AD59" t="e">
        <f>_xlfn.IFNA(51-MATCH(Songs!$A59,Data!Z$2:Z$51,0),NA())</f>
        <v>#N/A</v>
      </c>
      <c r="AE59" t="e">
        <f>_xlfn.IFNA(51-MATCH(Songs!$A59,Data!AA$2:AA$51,0),NA())</f>
        <v>#N/A</v>
      </c>
      <c r="AF59" t="e">
        <f>_xlfn.IFNA(51-MATCH(Songs!$A59,Data!AB$2:AB$51,0),NA())</f>
        <v>#N/A</v>
      </c>
      <c r="AG59" t="e">
        <f>_xlfn.IFNA(51-MATCH(Songs!$A59,Data!AC$2:AC$51,0),NA())</f>
        <v>#N/A</v>
      </c>
      <c r="AH59" t="e">
        <f>_xlfn.IFNA(51-MATCH(Songs!$A59,Data!AD$2:AD$51,0),NA())</f>
        <v>#N/A</v>
      </c>
      <c r="AI59" t="e">
        <f>_xlfn.IFNA(51-MATCH(Songs!$A59,Data!AE$2:AE$51,0),NA())</f>
        <v>#N/A</v>
      </c>
    </row>
    <row r="60" spans="1:35" ht="13.2" x14ac:dyDescent="0.25">
      <c r="A60" s="6" t="s">
        <v>22</v>
      </c>
      <c r="B60" s="6" t="s">
        <v>164</v>
      </c>
      <c r="C60" s="2"/>
      <c r="F60" s="2">
        <v>20</v>
      </c>
      <c r="G60" s="2">
        <f ca="1">COUNTIF(INDIRECT(_xlfn.CONCAT("Data!$B$2:", ADDRESS(51,COUNTA(Data!$1:$1)+1,1,1))), Songs!A60) + F60</f>
        <v>22</v>
      </c>
      <c r="H60" s="8"/>
      <c r="I60" s="8"/>
      <c r="J60" s="8" cm="1">
        <f t="array" ref="J60">51 - MAX(IF(NOT(ISNA(K60:BB60)),K60:BB60))</f>
        <v>51</v>
      </c>
      <c r="K60" t="e">
        <f>_xlfn.IFNA(51-MATCH(Songs!$A60,Data!G$2:G$51,0),NA())</f>
        <v>#N/A</v>
      </c>
      <c r="L60" t="e">
        <f>_xlfn.IFNA(51-MATCH(Songs!$A60,Data!H$2:H$51,0),NA())</f>
        <v>#N/A</v>
      </c>
      <c r="M60" t="e">
        <f>_xlfn.IFNA(51-MATCH(Songs!$A60,Data!I$2:I$51,0),NA())</f>
        <v>#N/A</v>
      </c>
      <c r="N60" t="e">
        <f>_xlfn.IFNA(51-MATCH(Songs!$A60,Data!J$2:J$51,0),NA())</f>
        <v>#N/A</v>
      </c>
      <c r="O60" t="e">
        <f>_xlfn.IFNA(51-MATCH(Songs!$A60,Data!K$2:K$51,0),NA())</f>
        <v>#N/A</v>
      </c>
      <c r="P60" t="e">
        <f>_xlfn.IFNA(51-MATCH(Songs!$A60,Data!L$2:L$51,0),NA())</f>
        <v>#N/A</v>
      </c>
      <c r="Q60" t="e">
        <f>_xlfn.IFNA(51-MATCH(Songs!$A60,Data!M$2:M$51,0),NA())</f>
        <v>#N/A</v>
      </c>
      <c r="R60" t="e">
        <f>_xlfn.IFNA(51-MATCH(Songs!$A60,Data!N$2:N$51,0),NA())</f>
        <v>#N/A</v>
      </c>
      <c r="S60" t="e">
        <f>_xlfn.IFNA(51-MATCH(Songs!$A60,Data!O$2:O$51,0),NA())</f>
        <v>#N/A</v>
      </c>
      <c r="T60" t="e">
        <f>_xlfn.IFNA(51-MATCH(Songs!$A60,Data!P$2:P$51,0),NA())</f>
        <v>#N/A</v>
      </c>
      <c r="U60" t="e">
        <f>_xlfn.IFNA(51-MATCH(Songs!$A60,Data!Q$2:Q$51,0),NA())</f>
        <v>#N/A</v>
      </c>
      <c r="V60" t="e">
        <f>_xlfn.IFNA(51-MATCH(Songs!$A60,Data!R$2:R$51,0),NA())</f>
        <v>#N/A</v>
      </c>
      <c r="W60" t="e">
        <f>_xlfn.IFNA(51-MATCH(Songs!$A60,Data!S$2:S$51,0),NA())</f>
        <v>#N/A</v>
      </c>
      <c r="X60" t="e">
        <f>_xlfn.IFNA(51-MATCH(Songs!$A60,Data!T$2:T$51,0),NA())</f>
        <v>#N/A</v>
      </c>
      <c r="Y60" t="e">
        <f>_xlfn.IFNA(51-MATCH(Songs!$A60,Data!U$2:U$51,0),NA())</f>
        <v>#N/A</v>
      </c>
      <c r="Z60" t="e">
        <f>_xlfn.IFNA(51-MATCH(Songs!$A60,Data!V$2:V$51,0),NA())</f>
        <v>#N/A</v>
      </c>
      <c r="AA60" t="e">
        <f>_xlfn.IFNA(51-MATCH(Songs!$A60,Data!W$2:W$51,0),NA())</f>
        <v>#N/A</v>
      </c>
      <c r="AB60" t="e">
        <f>_xlfn.IFNA(51-MATCH(Songs!$A60,Data!X$2:X$51,0),NA())</f>
        <v>#N/A</v>
      </c>
      <c r="AC60" t="e">
        <f>_xlfn.IFNA(51-MATCH(Songs!$A60,Data!Y$2:Y$51,0),NA())</f>
        <v>#N/A</v>
      </c>
      <c r="AD60" t="e">
        <f>_xlfn.IFNA(51-MATCH(Songs!$A60,Data!Z$2:Z$51,0),NA())</f>
        <v>#N/A</v>
      </c>
      <c r="AE60" t="e">
        <f>_xlfn.IFNA(51-MATCH(Songs!$A60,Data!AA$2:AA$51,0),NA())</f>
        <v>#N/A</v>
      </c>
      <c r="AF60" t="e">
        <f>_xlfn.IFNA(51-MATCH(Songs!$A60,Data!AB$2:AB$51,0),NA())</f>
        <v>#N/A</v>
      </c>
      <c r="AG60" t="e">
        <f>_xlfn.IFNA(51-MATCH(Songs!$A60,Data!AC$2:AC$51,0),NA())</f>
        <v>#N/A</v>
      </c>
      <c r="AH60" t="e">
        <f>_xlfn.IFNA(51-MATCH(Songs!$A60,Data!AD$2:AD$51,0),NA())</f>
        <v>#N/A</v>
      </c>
      <c r="AI60" t="e">
        <f>_xlfn.IFNA(51-MATCH(Songs!$A60,Data!AE$2:AE$51,0),NA())</f>
        <v>#N/A</v>
      </c>
    </row>
    <row r="61" spans="1:35" ht="13.2" x14ac:dyDescent="0.25">
      <c r="A61" s="6" t="s">
        <v>28</v>
      </c>
      <c r="B61" s="6" t="s">
        <v>164</v>
      </c>
      <c r="C61" s="2"/>
      <c r="F61" s="2">
        <v>22</v>
      </c>
      <c r="G61" s="2">
        <f ca="1">COUNTIF(INDIRECT(_xlfn.CONCAT("Data!$B$2:", ADDRESS(51,COUNTA(Data!$1:$1)+1,1,1))), Songs!A61) + F61</f>
        <v>23</v>
      </c>
      <c r="H61" s="8"/>
      <c r="I61" s="8"/>
      <c r="J61" s="8" cm="1">
        <f t="array" ref="J61">51 - MAX(IF(NOT(ISNA(K61:BB61)),K61:BB61))</f>
        <v>51</v>
      </c>
      <c r="K61" t="e">
        <f>_xlfn.IFNA(51-MATCH(Songs!$A61,Data!G$2:G$51,0),NA())</f>
        <v>#N/A</v>
      </c>
      <c r="L61" t="e">
        <f>_xlfn.IFNA(51-MATCH(Songs!$A61,Data!H$2:H$51,0),NA())</f>
        <v>#N/A</v>
      </c>
      <c r="M61" t="e">
        <f>_xlfn.IFNA(51-MATCH(Songs!$A61,Data!I$2:I$51,0),NA())</f>
        <v>#N/A</v>
      </c>
      <c r="N61" t="e">
        <f>_xlfn.IFNA(51-MATCH(Songs!$A61,Data!J$2:J$51,0),NA())</f>
        <v>#N/A</v>
      </c>
      <c r="O61" t="e">
        <f>_xlfn.IFNA(51-MATCH(Songs!$A61,Data!K$2:K$51,0),NA())</f>
        <v>#N/A</v>
      </c>
      <c r="P61" t="e">
        <f>_xlfn.IFNA(51-MATCH(Songs!$A61,Data!L$2:L$51,0),NA())</f>
        <v>#N/A</v>
      </c>
      <c r="Q61" t="e">
        <f>_xlfn.IFNA(51-MATCH(Songs!$A61,Data!M$2:M$51,0),NA())</f>
        <v>#N/A</v>
      </c>
      <c r="R61" t="e">
        <f>_xlfn.IFNA(51-MATCH(Songs!$A61,Data!N$2:N$51,0),NA())</f>
        <v>#N/A</v>
      </c>
      <c r="S61" t="e">
        <f>_xlfn.IFNA(51-MATCH(Songs!$A61,Data!O$2:O$51,0),NA())</f>
        <v>#N/A</v>
      </c>
      <c r="T61" t="e">
        <f>_xlfn.IFNA(51-MATCH(Songs!$A61,Data!P$2:P$51,0),NA())</f>
        <v>#N/A</v>
      </c>
      <c r="U61" t="e">
        <f>_xlfn.IFNA(51-MATCH(Songs!$A61,Data!Q$2:Q$51,0),NA())</f>
        <v>#N/A</v>
      </c>
      <c r="V61" t="e">
        <f>_xlfn.IFNA(51-MATCH(Songs!$A61,Data!R$2:R$51,0),NA())</f>
        <v>#N/A</v>
      </c>
      <c r="W61" t="e">
        <f>_xlfn.IFNA(51-MATCH(Songs!$A61,Data!S$2:S$51,0),NA())</f>
        <v>#N/A</v>
      </c>
      <c r="X61" t="e">
        <f>_xlfn.IFNA(51-MATCH(Songs!$A61,Data!T$2:T$51,0),NA())</f>
        <v>#N/A</v>
      </c>
      <c r="Y61" t="e">
        <f>_xlfn.IFNA(51-MATCH(Songs!$A61,Data!U$2:U$51,0),NA())</f>
        <v>#N/A</v>
      </c>
      <c r="Z61" t="e">
        <f>_xlfn.IFNA(51-MATCH(Songs!$A61,Data!V$2:V$51,0),NA())</f>
        <v>#N/A</v>
      </c>
      <c r="AA61" t="e">
        <f>_xlfn.IFNA(51-MATCH(Songs!$A61,Data!W$2:W$51,0),NA())</f>
        <v>#N/A</v>
      </c>
      <c r="AB61" t="e">
        <f>_xlfn.IFNA(51-MATCH(Songs!$A61,Data!X$2:X$51,0),NA())</f>
        <v>#N/A</v>
      </c>
      <c r="AC61" t="e">
        <f>_xlfn.IFNA(51-MATCH(Songs!$A61,Data!Y$2:Y$51,0),NA())</f>
        <v>#N/A</v>
      </c>
      <c r="AD61" t="e">
        <f>_xlfn.IFNA(51-MATCH(Songs!$A61,Data!Z$2:Z$51,0),NA())</f>
        <v>#N/A</v>
      </c>
      <c r="AE61" t="e">
        <f>_xlfn.IFNA(51-MATCH(Songs!$A61,Data!AA$2:AA$51,0),NA())</f>
        <v>#N/A</v>
      </c>
      <c r="AF61" t="e">
        <f>_xlfn.IFNA(51-MATCH(Songs!$A61,Data!AB$2:AB$51,0),NA())</f>
        <v>#N/A</v>
      </c>
      <c r="AG61" t="e">
        <f>_xlfn.IFNA(51-MATCH(Songs!$A61,Data!AC$2:AC$51,0),NA())</f>
        <v>#N/A</v>
      </c>
      <c r="AH61" t="e">
        <f>_xlfn.IFNA(51-MATCH(Songs!$A61,Data!AD$2:AD$51,0),NA())</f>
        <v>#N/A</v>
      </c>
      <c r="AI61" t="e">
        <f>_xlfn.IFNA(51-MATCH(Songs!$A61,Data!AE$2:AE$51,0),NA())</f>
        <v>#N/A</v>
      </c>
    </row>
    <row r="62" spans="1:35" ht="13.2" x14ac:dyDescent="0.25">
      <c r="A62" s="6" t="s">
        <v>32</v>
      </c>
      <c r="B62" s="6" t="s">
        <v>164</v>
      </c>
      <c r="C62" s="2"/>
      <c r="F62" s="2">
        <v>21</v>
      </c>
      <c r="G62" s="2">
        <f ca="1">COUNTIF(INDIRECT(_xlfn.CONCAT("Data!$B$2:", ADDRESS(51,COUNTA(Data!$1:$1)+1,1,1))), Songs!A62) + F62</f>
        <v>22</v>
      </c>
      <c r="H62" s="8"/>
      <c r="I62" s="8"/>
      <c r="J62" s="8" cm="1">
        <f t="array" ref="J62">51 - MAX(IF(NOT(ISNA(K62:BB62)),K62:BB62))</f>
        <v>51</v>
      </c>
      <c r="K62" t="e">
        <f>_xlfn.IFNA(51-MATCH(Songs!$A62,Data!G$2:G$51,0),NA())</f>
        <v>#N/A</v>
      </c>
      <c r="L62" t="e">
        <f>_xlfn.IFNA(51-MATCH(Songs!$A62,Data!H$2:H$51,0),NA())</f>
        <v>#N/A</v>
      </c>
      <c r="M62" t="e">
        <f>_xlfn.IFNA(51-MATCH(Songs!$A62,Data!I$2:I$51,0),NA())</f>
        <v>#N/A</v>
      </c>
      <c r="N62" t="e">
        <f>_xlfn.IFNA(51-MATCH(Songs!$A62,Data!J$2:J$51,0),NA())</f>
        <v>#N/A</v>
      </c>
      <c r="O62" t="e">
        <f>_xlfn.IFNA(51-MATCH(Songs!$A62,Data!K$2:K$51,0),NA())</f>
        <v>#N/A</v>
      </c>
      <c r="P62" t="e">
        <f>_xlfn.IFNA(51-MATCH(Songs!$A62,Data!L$2:L$51,0),NA())</f>
        <v>#N/A</v>
      </c>
      <c r="Q62" t="e">
        <f>_xlfn.IFNA(51-MATCH(Songs!$A62,Data!M$2:M$51,0),NA())</f>
        <v>#N/A</v>
      </c>
      <c r="R62" t="e">
        <f>_xlfn.IFNA(51-MATCH(Songs!$A62,Data!N$2:N$51,0),NA())</f>
        <v>#N/A</v>
      </c>
      <c r="S62" t="e">
        <f>_xlfn.IFNA(51-MATCH(Songs!$A62,Data!O$2:O$51,0),NA())</f>
        <v>#N/A</v>
      </c>
      <c r="T62" t="e">
        <f>_xlfn.IFNA(51-MATCH(Songs!$A62,Data!P$2:P$51,0),NA())</f>
        <v>#N/A</v>
      </c>
      <c r="U62" t="e">
        <f>_xlfn.IFNA(51-MATCH(Songs!$A62,Data!Q$2:Q$51,0),NA())</f>
        <v>#N/A</v>
      </c>
      <c r="V62" t="e">
        <f>_xlfn.IFNA(51-MATCH(Songs!$A62,Data!R$2:R$51,0),NA())</f>
        <v>#N/A</v>
      </c>
      <c r="W62" t="e">
        <f>_xlfn.IFNA(51-MATCH(Songs!$A62,Data!S$2:S$51,0),NA())</f>
        <v>#N/A</v>
      </c>
      <c r="X62" t="e">
        <f>_xlfn.IFNA(51-MATCH(Songs!$A62,Data!T$2:T$51,0),NA())</f>
        <v>#N/A</v>
      </c>
      <c r="Y62" t="e">
        <f>_xlfn.IFNA(51-MATCH(Songs!$A62,Data!U$2:U$51,0),NA())</f>
        <v>#N/A</v>
      </c>
      <c r="Z62" t="e">
        <f>_xlfn.IFNA(51-MATCH(Songs!$A62,Data!V$2:V$51,0),NA())</f>
        <v>#N/A</v>
      </c>
      <c r="AA62" t="e">
        <f>_xlfn.IFNA(51-MATCH(Songs!$A62,Data!W$2:W$51,0),NA())</f>
        <v>#N/A</v>
      </c>
      <c r="AB62" t="e">
        <f>_xlfn.IFNA(51-MATCH(Songs!$A62,Data!X$2:X$51,0),NA())</f>
        <v>#N/A</v>
      </c>
      <c r="AC62" t="e">
        <f>_xlfn.IFNA(51-MATCH(Songs!$A62,Data!Y$2:Y$51,0),NA())</f>
        <v>#N/A</v>
      </c>
      <c r="AD62" t="e">
        <f>_xlfn.IFNA(51-MATCH(Songs!$A62,Data!Z$2:Z$51,0),NA())</f>
        <v>#N/A</v>
      </c>
      <c r="AE62" t="e">
        <f>_xlfn.IFNA(51-MATCH(Songs!$A62,Data!AA$2:AA$51,0),NA())</f>
        <v>#N/A</v>
      </c>
      <c r="AF62" t="e">
        <f>_xlfn.IFNA(51-MATCH(Songs!$A62,Data!AB$2:AB$51,0),NA())</f>
        <v>#N/A</v>
      </c>
      <c r="AG62" t="e">
        <f>_xlfn.IFNA(51-MATCH(Songs!$A62,Data!AC$2:AC$51,0),NA())</f>
        <v>#N/A</v>
      </c>
      <c r="AH62" t="e">
        <f>_xlfn.IFNA(51-MATCH(Songs!$A62,Data!AD$2:AD$51,0),NA())</f>
        <v>#N/A</v>
      </c>
      <c r="AI62" t="e">
        <f>_xlfn.IFNA(51-MATCH(Songs!$A62,Data!AE$2:AE$51,0),NA())</f>
        <v>#N/A</v>
      </c>
    </row>
    <row r="63" spans="1:35" ht="13.2" x14ac:dyDescent="0.25">
      <c r="A63" s="6" t="s">
        <v>35</v>
      </c>
      <c r="B63" s="6" t="s">
        <v>164</v>
      </c>
      <c r="C63" s="2"/>
      <c r="F63" s="2">
        <v>42</v>
      </c>
      <c r="G63" s="2">
        <f ca="1">COUNTIF(INDIRECT(_xlfn.CONCAT("Data!$B$2:", ADDRESS(51,COUNTA(Data!$1:$1)+1,1,1))), Songs!A63) + F63</f>
        <v>43</v>
      </c>
      <c r="H63" s="8"/>
      <c r="I63" s="8"/>
      <c r="J63" s="8" cm="1">
        <f t="array" ref="J63">51 - MAX(IF(NOT(ISNA(K63:BB63)),K63:BB63))</f>
        <v>51</v>
      </c>
      <c r="K63" t="e">
        <f>_xlfn.IFNA(51-MATCH(Songs!$A63,Data!G$2:G$51,0),NA())</f>
        <v>#N/A</v>
      </c>
      <c r="L63" t="e">
        <f>_xlfn.IFNA(51-MATCH(Songs!$A63,Data!H$2:H$51,0),NA())</f>
        <v>#N/A</v>
      </c>
      <c r="M63" t="e">
        <f>_xlfn.IFNA(51-MATCH(Songs!$A63,Data!I$2:I$51,0),NA())</f>
        <v>#N/A</v>
      </c>
      <c r="N63" t="e">
        <f>_xlfn.IFNA(51-MATCH(Songs!$A63,Data!J$2:J$51,0),NA())</f>
        <v>#N/A</v>
      </c>
      <c r="O63" t="e">
        <f>_xlfn.IFNA(51-MATCH(Songs!$A63,Data!K$2:K$51,0),NA())</f>
        <v>#N/A</v>
      </c>
      <c r="P63" t="e">
        <f>_xlfn.IFNA(51-MATCH(Songs!$A63,Data!L$2:L$51,0),NA())</f>
        <v>#N/A</v>
      </c>
      <c r="Q63" t="e">
        <f>_xlfn.IFNA(51-MATCH(Songs!$A63,Data!M$2:M$51,0),NA())</f>
        <v>#N/A</v>
      </c>
      <c r="R63" t="e">
        <f>_xlfn.IFNA(51-MATCH(Songs!$A63,Data!N$2:N$51,0),NA())</f>
        <v>#N/A</v>
      </c>
      <c r="S63" t="e">
        <f>_xlfn.IFNA(51-MATCH(Songs!$A63,Data!O$2:O$51,0),NA())</f>
        <v>#N/A</v>
      </c>
      <c r="T63" t="e">
        <f>_xlfn.IFNA(51-MATCH(Songs!$A63,Data!P$2:P$51,0),NA())</f>
        <v>#N/A</v>
      </c>
      <c r="U63" t="e">
        <f>_xlfn.IFNA(51-MATCH(Songs!$A63,Data!Q$2:Q$51,0),NA())</f>
        <v>#N/A</v>
      </c>
      <c r="V63" t="e">
        <f>_xlfn.IFNA(51-MATCH(Songs!$A63,Data!R$2:R$51,0),NA())</f>
        <v>#N/A</v>
      </c>
      <c r="W63" t="e">
        <f>_xlfn.IFNA(51-MATCH(Songs!$A63,Data!S$2:S$51,0),NA())</f>
        <v>#N/A</v>
      </c>
      <c r="X63" t="e">
        <f>_xlfn.IFNA(51-MATCH(Songs!$A63,Data!T$2:T$51,0),NA())</f>
        <v>#N/A</v>
      </c>
      <c r="Y63" t="e">
        <f>_xlfn.IFNA(51-MATCH(Songs!$A63,Data!U$2:U$51,0),NA())</f>
        <v>#N/A</v>
      </c>
      <c r="Z63" t="e">
        <f>_xlfn.IFNA(51-MATCH(Songs!$A63,Data!V$2:V$51,0),NA())</f>
        <v>#N/A</v>
      </c>
      <c r="AA63" t="e">
        <f>_xlfn.IFNA(51-MATCH(Songs!$A63,Data!W$2:W$51,0),NA())</f>
        <v>#N/A</v>
      </c>
      <c r="AB63" t="e">
        <f>_xlfn.IFNA(51-MATCH(Songs!$A63,Data!X$2:X$51,0),NA())</f>
        <v>#N/A</v>
      </c>
      <c r="AC63" t="e">
        <f>_xlfn.IFNA(51-MATCH(Songs!$A63,Data!Y$2:Y$51,0),NA())</f>
        <v>#N/A</v>
      </c>
      <c r="AD63" t="e">
        <f>_xlfn.IFNA(51-MATCH(Songs!$A63,Data!Z$2:Z$51,0),NA())</f>
        <v>#N/A</v>
      </c>
      <c r="AE63" t="e">
        <f>_xlfn.IFNA(51-MATCH(Songs!$A63,Data!AA$2:AA$51,0),NA())</f>
        <v>#N/A</v>
      </c>
      <c r="AF63" t="e">
        <f>_xlfn.IFNA(51-MATCH(Songs!$A63,Data!AB$2:AB$51,0),NA())</f>
        <v>#N/A</v>
      </c>
      <c r="AG63" t="e">
        <f>_xlfn.IFNA(51-MATCH(Songs!$A63,Data!AC$2:AC$51,0),NA())</f>
        <v>#N/A</v>
      </c>
      <c r="AH63" t="e">
        <f>_xlfn.IFNA(51-MATCH(Songs!$A63,Data!AD$2:AD$51,0),NA())</f>
        <v>#N/A</v>
      </c>
      <c r="AI63" t="e">
        <f>_xlfn.IFNA(51-MATCH(Songs!$A63,Data!AE$2:AE$51,0),NA())</f>
        <v>#N/A</v>
      </c>
    </row>
    <row r="64" spans="1:35" ht="13.2" x14ac:dyDescent="0.25">
      <c r="A64" s="6" t="s">
        <v>61</v>
      </c>
      <c r="B64" s="6" t="s">
        <v>81</v>
      </c>
      <c r="C64" s="2"/>
      <c r="F64" s="2">
        <v>0</v>
      </c>
      <c r="G64" s="2">
        <f ca="1">COUNTIF(INDIRECT(_xlfn.CONCAT("Data!$B$2:", ADDRESS(51,COUNTA(Data!$1:$1)+1,1,1))), Songs!A64) + F64</f>
        <v>3</v>
      </c>
      <c r="H64" s="8"/>
      <c r="I64" s="8"/>
      <c r="J64" s="8" cm="1">
        <f t="array" ref="J64">51 - MAX(IF(NOT(ISNA(K64:BB64)),K64:BB64))</f>
        <v>49</v>
      </c>
      <c r="K64" t="e">
        <f>_xlfn.IFNA(51-MATCH(Songs!$A64,Data!G$2:G$51,0),NA())</f>
        <v>#N/A</v>
      </c>
      <c r="L64" t="e">
        <f>_xlfn.IFNA(51-MATCH(Songs!$A64,Data!H$2:H$51,0),NA())</f>
        <v>#N/A</v>
      </c>
      <c r="M64" t="e">
        <f>_xlfn.IFNA(51-MATCH(Songs!$A64,Data!I$2:I$51,0),NA())</f>
        <v>#N/A</v>
      </c>
      <c r="N64" t="e">
        <f>_xlfn.IFNA(51-MATCH(Songs!$A64,Data!J$2:J$51,0),NA())</f>
        <v>#N/A</v>
      </c>
      <c r="O64" t="e">
        <f>_xlfn.IFNA(51-MATCH(Songs!$A64,Data!K$2:K$51,0),NA())</f>
        <v>#N/A</v>
      </c>
      <c r="P64" t="e">
        <f>_xlfn.IFNA(51-MATCH(Songs!$A64,Data!L$2:L$51,0),NA())</f>
        <v>#N/A</v>
      </c>
      <c r="Q64" t="e">
        <f>_xlfn.IFNA(51-MATCH(Songs!$A64,Data!M$2:M$51,0),NA())</f>
        <v>#N/A</v>
      </c>
      <c r="R64" t="e">
        <f>_xlfn.IFNA(51-MATCH(Songs!$A64,Data!N$2:N$51,0),NA())</f>
        <v>#N/A</v>
      </c>
      <c r="S64" t="e">
        <f>_xlfn.IFNA(51-MATCH(Songs!$A64,Data!O$2:O$51,0),NA())</f>
        <v>#N/A</v>
      </c>
      <c r="T64" t="e">
        <f>_xlfn.IFNA(51-MATCH(Songs!$A64,Data!P$2:P$51,0),NA())</f>
        <v>#N/A</v>
      </c>
      <c r="U64">
        <f>_xlfn.IFNA(51-MATCH(Songs!$A64,Data!Q$2:Q$51,0),NA())</f>
        <v>2</v>
      </c>
      <c r="V64" t="e">
        <f>_xlfn.IFNA(51-MATCH(Songs!$A64,Data!R$2:R$51,0),NA())</f>
        <v>#N/A</v>
      </c>
      <c r="W64" t="e">
        <f>_xlfn.IFNA(51-MATCH(Songs!$A64,Data!S$2:S$51,0),NA())</f>
        <v>#N/A</v>
      </c>
      <c r="X64" t="e">
        <f>_xlfn.IFNA(51-MATCH(Songs!$A64,Data!T$2:T$51,0),NA())</f>
        <v>#N/A</v>
      </c>
      <c r="Y64" t="e">
        <f>_xlfn.IFNA(51-MATCH(Songs!$A64,Data!U$2:U$51,0),NA())</f>
        <v>#N/A</v>
      </c>
      <c r="Z64" t="e">
        <f>_xlfn.IFNA(51-MATCH(Songs!$A64,Data!V$2:V$51,0),NA())</f>
        <v>#N/A</v>
      </c>
      <c r="AA64" t="e">
        <f>_xlfn.IFNA(51-MATCH(Songs!$A64,Data!W$2:W$51,0),NA())</f>
        <v>#N/A</v>
      </c>
      <c r="AB64" t="e">
        <f>_xlfn.IFNA(51-MATCH(Songs!$A64,Data!X$2:X$51,0),NA())</f>
        <v>#N/A</v>
      </c>
      <c r="AC64" t="e">
        <f>_xlfn.IFNA(51-MATCH(Songs!$A64,Data!Y$2:Y$51,0),NA())</f>
        <v>#N/A</v>
      </c>
      <c r="AD64" t="e">
        <f>_xlfn.IFNA(51-MATCH(Songs!$A64,Data!Z$2:Z$51,0),NA())</f>
        <v>#N/A</v>
      </c>
      <c r="AE64" t="e">
        <f>_xlfn.IFNA(51-MATCH(Songs!$A64,Data!AA$2:AA$51,0),NA())</f>
        <v>#N/A</v>
      </c>
      <c r="AF64" t="e">
        <f>_xlfn.IFNA(51-MATCH(Songs!$A64,Data!AB$2:AB$51,0),NA())</f>
        <v>#N/A</v>
      </c>
      <c r="AG64" t="e">
        <f>_xlfn.IFNA(51-MATCH(Songs!$A64,Data!AC$2:AC$51,0),NA())</f>
        <v>#N/A</v>
      </c>
      <c r="AH64" t="e">
        <f>_xlfn.IFNA(51-MATCH(Songs!$A64,Data!AD$2:AD$51,0),NA())</f>
        <v>#N/A</v>
      </c>
      <c r="AI64" t="e">
        <f>_xlfn.IFNA(51-MATCH(Songs!$A64,Data!AE$2:AE$51,0),NA())</f>
        <v>#N/A</v>
      </c>
    </row>
    <row r="65" spans="1:35" ht="13.2" x14ac:dyDescent="0.25">
      <c r="A65" s="2" t="s">
        <v>1</v>
      </c>
      <c r="B65" s="2" t="s">
        <v>121</v>
      </c>
      <c r="F65" s="2">
        <v>0</v>
      </c>
      <c r="G65" s="2">
        <f ca="1">COUNTIF(INDIRECT(_xlfn.CONCAT("Data!$B$2:", ADDRESS(51,COUNTA(Data!$1:$1)+1,1,1))), Songs!A65) + F65</f>
        <v>20</v>
      </c>
      <c r="H65" s="8"/>
      <c r="I65" s="8"/>
      <c r="J65" s="8" cm="1">
        <f t="array" ref="J65">51 - MAX(IF(NOT(ISNA(K65:BB65)),K65:BB65))</f>
        <v>1</v>
      </c>
      <c r="K65">
        <f>_xlfn.IFNA(51-MATCH(Songs!$A65,Data!G$2:G$51,0),NA())</f>
        <v>50</v>
      </c>
      <c r="L65">
        <f>_xlfn.IFNA(51-MATCH(Songs!$A65,Data!H$2:H$51,0),NA())</f>
        <v>50</v>
      </c>
      <c r="M65">
        <f>_xlfn.IFNA(51-MATCH(Songs!$A65,Data!I$2:I$51,0),NA())</f>
        <v>50</v>
      </c>
      <c r="N65">
        <f>_xlfn.IFNA(51-MATCH(Songs!$A65,Data!J$2:J$51,0),NA())</f>
        <v>50</v>
      </c>
      <c r="O65">
        <f>_xlfn.IFNA(51-MATCH(Songs!$A65,Data!K$2:K$51,0),NA())</f>
        <v>50</v>
      </c>
      <c r="P65">
        <f>_xlfn.IFNA(51-MATCH(Songs!$A65,Data!L$2:L$51,0),NA())</f>
        <v>50</v>
      </c>
      <c r="Q65">
        <f>_xlfn.IFNA(51-MATCH(Songs!$A65,Data!M$2:M$51,0),NA())</f>
        <v>50</v>
      </c>
      <c r="R65">
        <f>_xlfn.IFNA(51-MATCH(Songs!$A65,Data!N$2:N$51,0),NA())</f>
        <v>50</v>
      </c>
      <c r="S65">
        <f>_xlfn.IFNA(51-MATCH(Songs!$A65,Data!O$2:O$51,0),NA())</f>
        <v>50</v>
      </c>
      <c r="T65">
        <f>_xlfn.IFNA(51-MATCH(Songs!$A65,Data!P$2:P$51,0),NA())</f>
        <v>49</v>
      </c>
      <c r="U65">
        <f>_xlfn.IFNA(51-MATCH(Songs!$A65,Data!Q$2:Q$51,0),NA())</f>
        <v>48</v>
      </c>
      <c r="V65">
        <f>_xlfn.IFNA(51-MATCH(Songs!$A65,Data!R$2:R$51,0),NA())</f>
        <v>47</v>
      </c>
      <c r="W65">
        <f>_xlfn.IFNA(51-MATCH(Songs!$A65,Data!S$2:S$51,0),NA())</f>
        <v>42</v>
      </c>
      <c r="X65">
        <f>_xlfn.IFNA(51-MATCH(Songs!$A65,Data!T$2:T$51,0),NA())</f>
        <v>39</v>
      </c>
      <c r="Y65">
        <f>_xlfn.IFNA(51-MATCH(Songs!$A65,Data!U$2:U$51,0),NA())</f>
        <v>40</v>
      </c>
      <c r="Z65">
        <f>_xlfn.IFNA(51-MATCH(Songs!$A65,Data!V$2:V$51,0),NA())</f>
        <v>34</v>
      </c>
      <c r="AA65">
        <f>_xlfn.IFNA(51-MATCH(Songs!$A65,Data!W$2:W$51,0),NA())</f>
        <v>30</v>
      </c>
      <c r="AB65">
        <f>_xlfn.IFNA(51-MATCH(Songs!$A65,Data!X$2:X$51,0),NA())</f>
        <v>28</v>
      </c>
      <c r="AC65">
        <f>_xlfn.IFNA(51-MATCH(Songs!$A65,Data!Y$2:Y$51,0),NA())</f>
        <v>25</v>
      </c>
      <c r="AD65" t="e">
        <f>_xlfn.IFNA(51-MATCH(Songs!$A65,Data!Z$2:Z$51,0),NA())</f>
        <v>#N/A</v>
      </c>
      <c r="AE65" t="e">
        <f>_xlfn.IFNA(51-MATCH(Songs!$A65,Data!AA$2:AA$51,0),NA())</f>
        <v>#N/A</v>
      </c>
      <c r="AF65" t="e">
        <f>_xlfn.IFNA(51-MATCH(Songs!$A65,Data!AB$2:AB$51,0),NA())</f>
        <v>#N/A</v>
      </c>
      <c r="AG65" t="e">
        <f>_xlfn.IFNA(51-MATCH(Songs!$A65,Data!AC$2:AC$51,0),NA())</f>
        <v>#N/A</v>
      </c>
      <c r="AH65" t="e">
        <f>_xlfn.IFNA(51-MATCH(Songs!$A65,Data!AD$2:AD$51,0),NA())</f>
        <v>#N/A</v>
      </c>
      <c r="AI65" t="e">
        <f>_xlfn.IFNA(51-MATCH(Songs!$A65,Data!AE$2:AE$51,0),NA())</f>
        <v>#N/A</v>
      </c>
    </row>
    <row r="66" spans="1:35" ht="13.2" x14ac:dyDescent="0.25">
      <c r="A66" s="2" t="s">
        <v>14</v>
      </c>
      <c r="B66" s="2" t="s">
        <v>121</v>
      </c>
      <c r="F66" s="2">
        <v>0</v>
      </c>
      <c r="G66" s="2">
        <f ca="1">COUNTIF(INDIRECT(_xlfn.CONCAT("Data!$B$2:", ADDRESS(51,COUNTA(Data!$1:$1)+1,1,1))), Songs!A66) + F66</f>
        <v>10</v>
      </c>
      <c r="H66" s="8"/>
      <c r="I66" s="8"/>
      <c r="J66" s="8" cm="1">
        <f t="array" ref="J66">51 - MAX(IF(NOT(ISNA(K66:BB66)),K66:BB66))</f>
        <v>10</v>
      </c>
      <c r="K66">
        <f>_xlfn.IFNA(51-MATCH(Songs!$A66,Data!G$2:G$51,0),NA())</f>
        <v>38</v>
      </c>
      <c r="L66">
        <f>_xlfn.IFNA(51-MATCH(Songs!$A66,Data!H$2:H$51,0),NA())</f>
        <v>30</v>
      </c>
      <c r="M66">
        <f>_xlfn.IFNA(51-MATCH(Songs!$A66,Data!I$2:I$51,0),NA())</f>
        <v>28</v>
      </c>
      <c r="N66">
        <f>_xlfn.IFNA(51-MATCH(Songs!$A66,Data!J$2:J$51,0),NA())</f>
        <v>9</v>
      </c>
      <c r="O66">
        <f>_xlfn.IFNA(51-MATCH(Songs!$A66,Data!K$2:K$51,0),NA())</f>
        <v>3</v>
      </c>
      <c r="P66" t="e">
        <f>_xlfn.IFNA(51-MATCH(Songs!$A66,Data!L$2:L$51,0),NA())</f>
        <v>#N/A</v>
      </c>
      <c r="Q66">
        <f>_xlfn.IFNA(51-MATCH(Songs!$A66,Data!M$2:M$51,0),NA())</f>
        <v>41</v>
      </c>
      <c r="R66">
        <f>_xlfn.IFNA(51-MATCH(Songs!$A66,Data!N$2:N$51,0),NA())</f>
        <v>26</v>
      </c>
      <c r="S66">
        <f>_xlfn.IFNA(51-MATCH(Songs!$A66,Data!O$2:O$51,0),NA())</f>
        <v>11</v>
      </c>
      <c r="T66">
        <f>_xlfn.IFNA(51-MATCH(Songs!$A66,Data!P$2:P$51,0),NA())</f>
        <v>3</v>
      </c>
      <c r="U66" t="e">
        <f>_xlfn.IFNA(51-MATCH(Songs!$A66,Data!Q$2:Q$51,0),NA())</f>
        <v>#N/A</v>
      </c>
      <c r="V66" t="e">
        <f>_xlfn.IFNA(51-MATCH(Songs!$A66,Data!R$2:R$51,0),NA())</f>
        <v>#N/A</v>
      </c>
      <c r="W66" t="e">
        <f>_xlfn.IFNA(51-MATCH(Songs!$A66,Data!S$2:S$51,0),NA())</f>
        <v>#N/A</v>
      </c>
      <c r="X66" t="e">
        <f>_xlfn.IFNA(51-MATCH(Songs!$A66,Data!T$2:T$51,0),NA())</f>
        <v>#N/A</v>
      </c>
      <c r="Y66" t="e">
        <f>_xlfn.IFNA(51-MATCH(Songs!$A66,Data!U$2:U$51,0),NA())</f>
        <v>#N/A</v>
      </c>
      <c r="Z66" t="e">
        <f>_xlfn.IFNA(51-MATCH(Songs!$A66,Data!V$2:V$51,0),NA())</f>
        <v>#N/A</v>
      </c>
      <c r="AA66" t="e">
        <f>_xlfn.IFNA(51-MATCH(Songs!$A66,Data!W$2:W$51,0),NA())</f>
        <v>#N/A</v>
      </c>
      <c r="AB66" t="e">
        <f>_xlfn.IFNA(51-MATCH(Songs!$A66,Data!X$2:X$51,0),NA())</f>
        <v>#N/A</v>
      </c>
      <c r="AC66" t="e">
        <f>_xlfn.IFNA(51-MATCH(Songs!$A66,Data!Y$2:Y$51,0),NA())</f>
        <v>#N/A</v>
      </c>
      <c r="AD66" t="e">
        <f>_xlfn.IFNA(51-MATCH(Songs!$A66,Data!Z$2:Z$51,0),NA())</f>
        <v>#N/A</v>
      </c>
      <c r="AE66" t="e">
        <f>_xlfn.IFNA(51-MATCH(Songs!$A66,Data!AA$2:AA$51,0),NA())</f>
        <v>#N/A</v>
      </c>
      <c r="AF66" t="e">
        <f>_xlfn.IFNA(51-MATCH(Songs!$A66,Data!AB$2:AB$51,0),NA())</f>
        <v>#N/A</v>
      </c>
      <c r="AG66" t="e">
        <f>_xlfn.IFNA(51-MATCH(Songs!$A66,Data!AC$2:AC$51,0),NA())</f>
        <v>#N/A</v>
      </c>
      <c r="AH66" t="e">
        <f>_xlfn.IFNA(51-MATCH(Songs!$A66,Data!AD$2:AD$51,0),NA())</f>
        <v>#N/A</v>
      </c>
      <c r="AI66" t="e">
        <f>_xlfn.IFNA(51-MATCH(Songs!$A66,Data!AE$2:AE$51,0),NA())</f>
        <v>#N/A</v>
      </c>
    </row>
    <row r="67" spans="1:35" ht="13.2" x14ac:dyDescent="0.25">
      <c r="A67" s="2" t="s">
        <v>39</v>
      </c>
      <c r="B67" s="2" t="s">
        <v>75</v>
      </c>
      <c r="F67" s="2">
        <v>0</v>
      </c>
      <c r="G67" s="2">
        <f ca="1">COUNTIF(INDIRECT(_xlfn.CONCAT("Data!$B$2:", ADDRESS(51,COUNTA(Data!$1:$1)+1,1,1))), Songs!A67) + F67</f>
        <v>10</v>
      </c>
      <c r="H67" s="8"/>
      <c r="I67" s="8"/>
      <c r="J67" s="8" cm="1">
        <f t="array" ref="J67">51 - MAX(IF(NOT(ISNA(K67:BB67)),K67:BB67))</f>
        <v>17</v>
      </c>
      <c r="K67">
        <f>_xlfn.IFNA(51-MATCH(Songs!$A67,Data!G$2:G$51,0),NA())</f>
        <v>20</v>
      </c>
      <c r="L67">
        <f>_xlfn.IFNA(51-MATCH(Songs!$A67,Data!H$2:H$51,0),NA())</f>
        <v>20</v>
      </c>
      <c r="M67">
        <f>_xlfn.IFNA(51-MATCH(Songs!$A67,Data!I$2:I$51,0),NA())</f>
        <v>19</v>
      </c>
      <c r="N67">
        <f>_xlfn.IFNA(51-MATCH(Songs!$A67,Data!J$2:J$51,0),NA())</f>
        <v>14</v>
      </c>
      <c r="O67">
        <f>_xlfn.IFNA(51-MATCH(Songs!$A67,Data!K$2:K$51,0),NA())</f>
        <v>34</v>
      </c>
      <c r="P67">
        <f>_xlfn.IFNA(51-MATCH(Songs!$A67,Data!L$2:L$51,0),NA())</f>
        <v>22</v>
      </c>
      <c r="Q67">
        <f>_xlfn.IFNA(51-MATCH(Songs!$A67,Data!M$2:M$51,0),NA())</f>
        <v>5</v>
      </c>
      <c r="R67">
        <f>_xlfn.IFNA(51-MATCH(Songs!$A67,Data!N$2:N$51,0),NA())</f>
        <v>4</v>
      </c>
      <c r="S67" t="e">
        <f>_xlfn.IFNA(51-MATCH(Songs!$A67,Data!O$2:O$51,0),NA())</f>
        <v>#N/A</v>
      </c>
      <c r="T67">
        <f>_xlfn.IFNA(51-MATCH(Songs!$A67,Data!P$2:P$51,0),NA())</f>
        <v>1</v>
      </c>
      <c r="U67" t="e">
        <f>_xlfn.IFNA(51-MATCH(Songs!$A67,Data!Q$2:Q$51,0),NA())</f>
        <v>#N/A</v>
      </c>
      <c r="V67" t="e">
        <f>_xlfn.IFNA(51-MATCH(Songs!$A67,Data!R$2:R$51,0),NA())</f>
        <v>#N/A</v>
      </c>
      <c r="W67" t="e">
        <f>_xlfn.IFNA(51-MATCH(Songs!$A67,Data!S$2:S$51,0),NA())</f>
        <v>#N/A</v>
      </c>
      <c r="X67" t="e">
        <f>_xlfn.IFNA(51-MATCH(Songs!$A67,Data!T$2:T$51,0),NA())</f>
        <v>#N/A</v>
      </c>
      <c r="Y67" t="e">
        <f>_xlfn.IFNA(51-MATCH(Songs!$A67,Data!U$2:U$51,0),NA())</f>
        <v>#N/A</v>
      </c>
      <c r="Z67" t="e">
        <f>_xlfn.IFNA(51-MATCH(Songs!$A67,Data!V$2:V$51,0),NA())</f>
        <v>#N/A</v>
      </c>
      <c r="AA67" t="e">
        <f>_xlfn.IFNA(51-MATCH(Songs!$A67,Data!W$2:W$51,0),NA())</f>
        <v>#N/A</v>
      </c>
      <c r="AB67" t="e">
        <f>_xlfn.IFNA(51-MATCH(Songs!$A67,Data!X$2:X$51,0),NA())</f>
        <v>#N/A</v>
      </c>
      <c r="AC67" t="e">
        <f>_xlfn.IFNA(51-MATCH(Songs!$A67,Data!Y$2:Y$51,0),NA())</f>
        <v>#N/A</v>
      </c>
      <c r="AD67" t="e">
        <f>_xlfn.IFNA(51-MATCH(Songs!$A67,Data!Z$2:Z$51,0),NA())</f>
        <v>#N/A</v>
      </c>
      <c r="AE67" t="e">
        <f>_xlfn.IFNA(51-MATCH(Songs!$A67,Data!AA$2:AA$51,0),NA())</f>
        <v>#N/A</v>
      </c>
      <c r="AF67" t="e">
        <f>_xlfn.IFNA(51-MATCH(Songs!$A67,Data!AB$2:AB$51,0),NA())</f>
        <v>#N/A</v>
      </c>
      <c r="AG67" t="e">
        <f>_xlfn.IFNA(51-MATCH(Songs!$A67,Data!AC$2:AC$51,0),NA())</f>
        <v>#N/A</v>
      </c>
      <c r="AH67" t="e">
        <f>_xlfn.IFNA(51-MATCH(Songs!$A67,Data!AD$2:AD$51,0),NA())</f>
        <v>#N/A</v>
      </c>
      <c r="AI67" t="e">
        <f>_xlfn.IFNA(51-MATCH(Songs!$A67,Data!AE$2:AE$51,0),NA())</f>
        <v>#N/A</v>
      </c>
    </row>
    <row r="68" spans="1:35" ht="13.2" x14ac:dyDescent="0.25">
      <c r="A68" s="2" t="s">
        <v>43</v>
      </c>
      <c r="B68" s="2" t="s">
        <v>79</v>
      </c>
      <c r="F68" s="2">
        <v>0</v>
      </c>
      <c r="G68" s="2">
        <f ca="1">COUNTIF(INDIRECT(_xlfn.CONCAT("Data!$B$2:", ADDRESS(51,COUNTA(Data!$1:$1)+1,1,1))), Songs!A68) + F68</f>
        <v>26</v>
      </c>
      <c r="H68" s="8"/>
      <c r="I68" s="8"/>
      <c r="J68" s="8" cm="1">
        <f t="array" ref="J68">51 - MAX(IF(NOT(ISNA(K68:BB68)),K68:BB68))</f>
        <v>10</v>
      </c>
      <c r="K68">
        <f>_xlfn.IFNA(51-MATCH(Songs!$A68,Data!G$2:G$51,0),NA())</f>
        <v>22</v>
      </c>
      <c r="L68">
        <f>_xlfn.IFNA(51-MATCH(Songs!$A68,Data!H$2:H$51,0),NA())</f>
        <v>24</v>
      </c>
      <c r="M68">
        <f>_xlfn.IFNA(51-MATCH(Songs!$A68,Data!I$2:I$51,0),NA())</f>
        <v>22</v>
      </c>
      <c r="N68">
        <f>_xlfn.IFNA(51-MATCH(Songs!$A68,Data!J$2:J$51,0),NA())</f>
        <v>16</v>
      </c>
      <c r="O68">
        <f>_xlfn.IFNA(51-MATCH(Songs!$A68,Data!K$2:K$51,0),NA())</f>
        <v>12</v>
      </c>
      <c r="P68">
        <f>_xlfn.IFNA(51-MATCH(Songs!$A68,Data!L$2:L$51,0),NA())</f>
        <v>19</v>
      </c>
      <c r="Q68">
        <f>_xlfn.IFNA(51-MATCH(Songs!$A68,Data!M$2:M$51,0),NA())</f>
        <v>15</v>
      </c>
      <c r="R68">
        <f>_xlfn.IFNA(51-MATCH(Songs!$A68,Data!N$2:N$51,0),NA())</f>
        <v>28</v>
      </c>
      <c r="S68">
        <f>_xlfn.IFNA(51-MATCH(Songs!$A68,Data!O$2:O$51,0),NA())</f>
        <v>38</v>
      </c>
      <c r="T68">
        <f>_xlfn.IFNA(51-MATCH(Songs!$A68,Data!P$2:P$51,0),NA())</f>
        <v>39</v>
      </c>
      <c r="U68">
        <f>_xlfn.IFNA(51-MATCH(Songs!$A68,Data!Q$2:Q$51,0),NA())</f>
        <v>40</v>
      </c>
      <c r="V68">
        <f>_xlfn.IFNA(51-MATCH(Songs!$A68,Data!R$2:R$51,0),NA())</f>
        <v>40</v>
      </c>
      <c r="W68">
        <f>_xlfn.IFNA(51-MATCH(Songs!$A68,Data!S$2:S$51,0),NA())</f>
        <v>40</v>
      </c>
      <c r="X68">
        <f>_xlfn.IFNA(51-MATCH(Songs!$A68,Data!T$2:T$51,0),NA())</f>
        <v>41</v>
      </c>
      <c r="Y68">
        <f>_xlfn.IFNA(51-MATCH(Songs!$A68,Data!U$2:U$51,0),NA())</f>
        <v>41</v>
      </c>
      <c r="Z68">
        <f>_xlfn.IFNA(51-MATCH(Songs!$A68,Data!V$2:V$51,0),NA())</f>
        <v>41</v>
      </c>
      <c r="AA68">
        <f>_xlfn.IFNA(51-MATCH(Songs!$A68,Data!W$2:W$51,0),NA())</f>
        <v>40</v>
      </c>
      <c r="AB68">
        <f>_xlfn.IFNA(51-MATCH(Songs!$A68,Data!X$2:X$51,0),NA())</f>
        <v>37</v>
      </c>
      <c r="AC68">
        <f>_xlfn.IFNA(51-MATCH(Songs!$A68,Data!Y$2:Y$51,0),NA())</f>
        <v>38</v>
      </c>
      <c r="AD68">
        <f>_xlfn.IFNA(51-MATCH(Songs!$A68,Data!Z$2:Z$51,0),NA())</f>
        <v>36</v>
      </c>
      <c r="AE68">
        <f>_xlfn.IFNA(51-MATCH(Songs!$A68,Data!AA$2:AA$51,0),NA())</f>
        <v>31</v>
      </c>
      <c r="AF68">
        <f>_xlfn.IFNA(51-MATCH(Songs!$A68,Data!AB$2:AB$51,0),NA())</f>
        <v>35</v>
      </c>
      <c r="AG68">
        <f>_xlfn.IFNA(51-MATCH(Songs!$A68,Data!AC$2:AC$51,0),NA())</f>
        <v>37</v>
      </c>
      <c r="AH68">
        <f>_xlfn.IFNA(51-MATCH(Songs!$A68,Data!AD$2:AD$51,0),NA())</f>
        <v>36</v>
      </c>
      <c r="AI68">
        <f>_xlfn.IFNA(51-MATCH(Songs!$A68,Data!AE$2:AE$51,0),NA())</f>
        <v>37</v>
      </c>
    </row>
    <row r="69" spans="1:35" ht="13.2" x14ac:dyDescent="0.25">
      <c r="A69" s="2" t="s">
        <v>59</v>
      </c>
      <c r="B69" s="2" t="s">
        <v>122</v>
      </c>
      <c r="C69" s="2" t="s">
        <v>206</v>
      </c>
      <c r="F69" s="2">
        <v>0</v>
      </c>
      <c r="G69" s="2">
        <f ca="1">COUNTIF(INDIRECT(_xlfn.CONCAT("Data!$B$2:", ADDRESS(51,COUNTA(Data!$1:$1)+1,1,1))), Songs!A69) + F69</f>
        <v>1</v>
      </c>
      <c r="H69" s="8"/>
      <c r="I69" s="8"/>
      <c r="J69" s="8" cm="1">
        <f t="array" ref="J69">51 - MAX(IF(NOT(ISNA(K69:BB69)),K69:BB69))</f>
        <v>51</v>
      </c>
      <c r="K69" t="e">
        <f>_xlfn.IFNA(51-MATCH(Songs!$A69,Data!G$2:G$51,0),NA())</f>
        <v>#N/A</v>
      </c>
      <c r="L69" t="e">
        <f>_xlfn.IFNA(51-MATCH(Songs!$A69,Data!H$2:H$51,0),NA())</f>
        <v>#N/A</v>
      </c>
      <c r="M69" t="e">
        <f>_xlfn.IFNA(51-MATCH(Songs!$A69,Data!I$2:I$51,0),NA())</f>
        <v>#N/A</v>
      </c>
      <c r="N69" t="e">
        <f>_xlfn.IFNA(51-MATCH(Songs!$A69,Data!J$2:J$51,0),NA())</f>
        <v>#N/A</v>
      </c>
      <c r="O69" t="e">
        <f>_xlfn.IFNA(51-MATCH(Songs!$A69,Data!K$2:K$51,0),NA())</f>
        <v>#N/A</v>
      </c>
      <c r="P69" t="e">
        <f>_xlfn.IFNA(51-MATCH(Songs!$A69,Data!L$2:L$51,0),NA())</f>
        <v>#N/A</v>
      </c>
      <c r="Q69" t="e">
        <f>_xlfn.IFNA(51-MATCH(Songs!$A69,Data!M$2:M$51,0),NA())</f>
        <v>#N/A</v>
      </c>
      <c r="R69" t="e">
        <f>_xlfn.IFNA(51-MATCH(Songs!$A69,Data!N$2:N$51,0),NA())</f>
        <v>#N/A</v>
      </c>
      <c r="S69" t="e">
        <f>_xlfn.IFNA(51-MATCH(Songs!$A69,Data!O$2:O$51,0),NA())</f>
        <v>#N/A</v>
      </c>
      <c r="T69" t="e">
        <f>_xlfn.IFNA(51-MATCH(Songs!$A69,Data!P$2:P$51,0),NA())</f>
        <v>#N/A</v>
      </c>
      <c r="U69" t="e">
        <f>_xlfn.IFNA(51-MATCH(Songs!$A69,Data!Q$2:Q$51,0),NA())</f>
        <v>#N/A</v>
      </c>
      <c r="V69" t="e">
        <f>_xlfn.IFNA(51-MATCH(Songs!$A69,Data!R$2:R$51,0),NA())</f>
        <v>#N/A</v>
      </c>
      <c r="W69" t="e">
        <f>_xlfn.IFNA(51-MATCH(Songs!$A69,Data!S$2:S$51,0),NA())</f>
        <v>#N/A</v>
      </c>
      <c r="X69" t="e">
        <f>_xlfn.IFNA(51-MATCH(Songs!$A69,Data!T$2:T$51,0),NA())</f>
        <v>#N/A</v>
      </c>
      <c r="Y69" t="e">
        <f>_xlfn.IFNA(51-MATCH(Songs!$A69,Data!U$2:U$51,0),NA())</f>
        <v>#N/A</v>
      </c>
      <c r="Z69" t="e">
        <f>_xlfn.IFNA(51-MATCH(Songs!$A69,Data!V$2:V$51,0),NA())</f>
        <v>#N/A</v>
      </c>
      <c r="AA69" t="e">
        <f>_xlfn.IFNA(51-MATCH(Songs!$A69,Data!W$2:W$51,0),NA())</f>
        <v>#N/A</v>
      </c>
      <c r="AB69" t="e">
        <f>_xlfn.IFNA(51-MATCH(Songs!$A69,Data!X$2:X$51,0),NA())</f>
        <v>#N/A</v>
      </c>
      <c r="AC69" t="e">
        <f>_xlfn.IFNA(51-MATCH(Songs!$A69,Data!Y$2:Y$51,0),NA())</f>
        <v>#N/A</v>
      </c>
      <c r="AD69" t="e">
        <f>_xlfn.IFNA(51-MATCH(Songs!$A69,Data!Z$2:Z$51,0),NA())</f>
        <v>#N/A</v>
      </c>
      <c r="AE69" t="e">
        <f>_xlfn.IFNA(51-MATCH(Songs!$A69,Data!AA$2:AA$51,0),NA())</f>
        <v>#N/A</v>
      </c>
      <c r="AF69" t="e">
        <f>_xlfn.IFNA(51-MATCH(Songs!$A69,Data!AB$2:AB$51,0),NA())</f>
        <v>#N/A</v>
      </c>
      <c r="AG69" t="e">
        <f>_xlfn.IFNA(51-MATCH(Songs!$A69,Data!AC$2:AC$51,0),NA())</f>
        <v>#N/A</v>
      </c>
      <c r="AH69" t="e">
        <f>_xlfn.IFNA(51-MATCH(Songs!$A69,Data!AD$2:AD$51,0),NA())</f>
        <v>#N/A</v>
      </c>
      <c r="AI69" t="e">
        <f>_xlfn.IFNA(51-MATCH(Songs!$A69,Data!AE$2:AE$51,0),NA())</f>
        <v>#N/A</v>
      </c>
    </row>
    <row r="70" spans="1:35" ht="15.75" customHeight="1" x14ac:dyDescent="0.25">
      <c r="A70" s="6" t="s">
        <v>128</v>
      </c>
      <c r="B70" s="6" t="s">
        <v>130</v>
      </c>
      <c r="F70" s="6">
        <v>1</v>
      </c>
      <c r="G70" s="2">
        <f ca="1">COUNTIF(INDIRECT(_xlfn.CONCAT("Data!$B$2:", ADDRESS(51,COUNTA(Data!$1:$1)+1,1,1))), Songs!A70) + F70</f>
        <v>20</v>
      </c>
      <c r="H70" s="8"/>
      <c r="I70" s="8"/>
      <c r="J70" s="8" cm="1">
        <f t="array" ref="J70">51 - MAX(IF(NOT(ISNA(K70:BB70)),K70:BB70))</f>
        <v>19</v>
      </c>
      <c r="K70">
        <f>_xlfn.IFNA(51-MATCH(Songs!$A70,Data!G$2:G$51,0),NA())</f>
        <v>9</v>
      </c>
      <c r="L70">
        <f>_xlfn.IFNA(51-MATCH(Songs!$A70,Data!H$2:H$51,0),NA())</f>
        <v>17</v>
      </c>
      <c r="M70">
        <f>_xlfn.IFNA(51-MATCH(Songs!$A70,Data!I$2:I$51,0),NA())</f>
        <v>12</v>
      </c>
      <c r="N70">
        <f>_xlfn.IFNA(51-MATCH(Songs!$A70,Data!J$2:J$51,0),NA())</f>
        <v>15</v>
      </c>
      <c r="O70">
        <f>_xlfn.IFNA(51-MATCH(Songs!$A70,Data!K$2:K$51,0),NA())</f>
        <v>19</v>
      </c>
      <c r="P70">
        <f>_xlfn.IFNA(51-MATCH(Songs!$A70,Data!L$2:L$51,0),NA())</f>
        <v>32</v>
      </c>
      <c r="Q70">
        <f>_xlfn.IFNA(51-MATCH(Songs!$A70,Data!M$2:M$51,0),NA())</f>
        <v>18</v>
      </c>
      <c r="R70">
        <f>_xlfn.IFNA(51-MATCH(Songs!$A70,Data!N$2:N$51,0),NA())</f>
        <v>19</v>
      </c>
      <c r="S70">
        <f>_xlfn.IFNA(51-MATCH(Songs!$A70,Data!O$2:O$51,0),NA())</f>
        <v>26</v>
      </c>
      <c r="T70">
        <f>_xlfn.IFNA(51-MATCH(Songs!$A70,Data!P$2:P$51,0),NA())</f>
        <v>28</v>
      </c>
      <c r="U70">
        <f>_xlfn.IFNA(51-MATCH(Songs!$A70,Data!Q$2:Q$51,0),NA())</f>
        <v>30</v>
      </c>
      <c r="V70">
        <f>_xlfn.IFNA(51-MATCH(Songs!$A70,Data!R$2:R$51,0),NA())</f>
        <v>30</v>
      </c>
      <c r="W70">
        <f>_xlfn.IFNA(51-MATCH(Songs!$A70,Data!S$2:S$51,0),NA())</f>
        <v>28</v>
      </c>
      <c r="X70">
        <f>_xlfn.IFNA(51-MATCH(Songs!$A70,Data!T$2:T$51,0),NA())</f>
        <v>30</v>
      </c>
      <c r="Y70">
        <f>_xlfn.IFNA(51-MATCH(Songs!$A70,Data!U$2:U$51,0),NA())</f>
        <v>32</v>
      </c>
      <c r="Z70">
        <f>_xlfn.IFNA(51-MATCH(Songs!$A70,Data!V$2:V$51,0),NA())</f>
        <v>32</v>
      </c>
      <c r="AA70">
        <f>_xlfn.IFNA(51-MATCH(Songs!$A70,Data!W$2:W$51,0),NA())</f>
        <v>31</v>
      </c>
      <c r="AB70">
        <f>_xlfn.IFNA(51-MATCH(Songs!$A70,Data!X$2:X$51,0),NA())</f>
        <v>25</v>
      </c>
      <c r="AC70">
        <f>_xlfn.IFNA(51-MATCH(Songs!$A70,Data!Y$2:Y$51,0),NA())</f>
        <v>12</v>
      </c>
      <c r="AD70" t="e">
        <f>_xlfn.IFNA(51-MATCH(Songs!$A70,Data!Z$2:Z$51,0),NA())</f>
        <v>#N/A</v>
      </c>
      <c r="AE70" t="e">
        <f>_xlfn.IFNA(51-MATCH(Songs!$A70,Data!AA$2:AA$51,0),NA())</f>
        <v>#N/A</v>
      </c>
      <c r="AF70" t="e">
        <f>_xlfn.IFNA(51-MATCH(Songs!$A70,Data!AB$2:AB$51,0),NA())</f>
        <v>#N/A</v>
      </c>
      <c r="AG70" t="e">
        <f>_xlfn.IFNA(51-MATCH(Songs!$A70,Data!AC$2:AC$51,0),NA())</f>
        <v>#N/A</v>
      </c>
      <c r="AH70" t="e">
        <f>_xlfn.IFNA(51-MATCH(Songs!$A70,Data!AD$2:AD$51,0),NA())</f>
        <v>#N/A</v>
      </c>
      <c r="AI70" t="e">
        <f>_xlfn.IFNA(51-MATCH(Songs!$A70,Data!AE$2:AE$51,0),NA())</f>
        <v>#N/A</v>
      </c>
    </row>
    <row r="71" spans="1:35" ht="15.75" customHeight="1" x14ac:dyDescent="0.25">
      <c r="A71" s="6" t="s">
        <v>129</v>
      </c>
      <c r="B71" s="6" t="s">
        <v>131</v>
      </c>
      <c r="D71" s="8" t="s">
        <v>80</v>
      </c>
      <c r="E71" s="8"/>
      <c r="F71" s="6">
        <v>1</v>
      </c>
      <c r="G71" s="2">
        <f ca="1">COUNTIF(INDIRECT(_xlfn.CONCAT("Data!$B$2:", ADDRESS(51,COUNTA(Data!$1:$1)+1,1,1))), Songs!A71) + F71</f>
        <v>22</v>
      </c>
      <c r="H71" s="8"/>
      <c r="I71" s="8"/>
      <c r="J71" s="8" cm="1">
        <f t="array" ref="J71">51 - MAX(IF(NOT(ISNA(K71:BB71)),K71:BB71))</f>
        <v>20</v>
      </c>
      <c r="K71">
        <f>_xlfn.IFNA(51-MATCH(Songs!$A71,Data!G$2:G$51,0),NA())</f>
        <v>1</v>
      </c>
      <c r="L71" t="e">
        <f>_xlfn.IFNA(51-MATCH(Songs!$A71,Data!H$2:H$51,0),NA())</f>
        <v>#N/A</v>
      </c>
      <c r="M71" t="e">
        <f>_xlfn.IFNA(51-MATCH(Songs!$A71,Data!I$2:I$51,0),NA())</f>
        <v>#N/A</v>
      </c>
      <c r="N71">
        <f>_xlfn.IFNA(51-MATCH(Songs!$A71,Data!J$2:J$51,0),NA())</f>
        <v>3</v>
      </c>
      <c r="O71">
        <f>_xlfn.IFNA(51-MATCH(Songs!$A71,Data!K$2:K$51,0),NA())</f>
        <v>2</v>
      </c>
      <c r="P71">
        <f>_xlfn.IFNA(51-MATCH(Songs!$A71,Data!L$2:L$51,0),NA())</f>
        <v>3</v>
      </c>
      <c r="Q71" t="e">
        <f>_xlfn.IFNA(51-MATCH(Songs!$A71,Data!M$2:M$51,0),NA())</f>
        <v>#N/A</v>
      </c>
      <c r="R71" t="e">
        <f>_xlfn.IFNA(51-MATCH(Songs!$A71,Data!N$2:N$51,0),NA())</f>
        <v>#N/A</v>
      </c>
      <c r="S71">
        <f>_xlfn.IFNA(51-MATCH(Songs!$A71,Data!O$2:O$51,0),NA())</f>
        <v>2</v>
      </c>
      <c r="T71">
        <f>_xlfn.IFNA(51-MATCH(Songs!$A71,Data!P$2:P$51,0),NA())</f>
        <v>10</v>
      </c>
      <c r="U71">
        <f>_xlfn.IFNA(51-MATCH(Songs!$A71,Data!Q$2:Q$51,0),NA())</f>
        <v>15</v>
      </c>
      <c r="V71">
        <f>_xlfn.IFNA(51-MATCH(Songs!$A71,Data!R$2:R$51,0),NA())</f>
        <v>15</v>
      </c>
      <c r="W71">
        <f>_xlfn.IFNA(51-MATCH(Songs!$A71,Data!S$2:S$51,0),NA())</f>
        <v>17</v>
      </c>
      <c r="X71">
        <f>_xlfn.IFNA(51-MATCH(Songs!$A71,Data!T$2:T$51,0),NA())</f>
        <v>14</v>
      </c>
      <c r="Y71">
        <f>_xlfn.IFNA(51-MATCH(Songs!$A71,Data!U$2:U$51,0),NA())</f>
        <v>20</v>
      </c>
      <c r="Z71">
        <f>_xlfn.IFNA(51-MATCH(Songs!$A71,Data!V$2:V$51,0),NA())</f>
        <v>24</v>
      </c>
      <c r="AA71">
        <f>_xlfn.IFNA(51-MATCH(Songs!$A71,Data!W$2:W$51,0),NA())</f>
        <v>21</v>
      </c>
      <c r="AB71">
        <f>_xlfn.IFNA(51-MATCH(Songs!$A71,Data!X$2:X$51,0),NA())</f>
        <v>22</v>
      </c>
      <c r="AC71">
        <f>_xlfn.IFNA(51-MATCH(Songs!$A71,Data!Y$2:Y$51,0),NA())</f>
        <v>23</v>
      </c>
      <c r="AD71">
        <f>_xlfn.IFNA(51-MATCH(Songs!$A71,Data!Z$2:Z$51,0),NA())</f>
        <v>28</v>
      </c>
      <c r="AE71">
        <f>_xlfn.IFNA(51-MATCH(Songs!$A71,Data!AA$2:AA$51,0),NA())</f>
        <v>15</v>
      </c>
      <c r="AF71">
        <f>_xlfn.IFNA(51-MATCH(Songs!$A71,Data!AB$2:AB$51,0),NA())</f>
        <v>29</v>
      </c>
      <c r="AG71">
        <f>_xlfn.IFNA(51-MATCH(Songs!$A71,Data!AC$2:AC$51,0),NA())</f>
        <v>31</v>
      </c>
      <c r="AH71">
        <f>_xlfn.IFNA(51-MATCH(Songs!$A71,Data!AD$2:AD$51,0),NA())</f>
        <v>31</v>
      </c>
      <c r="AI71">
        <f>_xlfn.IFNA(51-MATCH(Songs!$A71,Data!AE$2:AE$51,0),NA())</f>
        <v>31</v>
      </c>
    </row>
    <row r="72" spans="1:35" ht="15.75" customHeight="1" x14ac:dyDescent="0.25">
      <c r="A72" s="6" t="s">
        <v>136</v>
      </c>
      <c r="B72" s="6" t="s">
        <v>142</v>
      </c>
      <c r="F72" s="6">
        <v>0</v>
      </c>
      <c r="G72" s="2">
        <f ca="1">COUNTIF(INDIRECT(_xlfn.CONCAT("Data!$B$2:", ADDRESS(51,COUNTA(Data!$1:$1)+1,1,1))), Songs!A72) + F72</f>
        <v>24</v>
      </c>
      <c r="H72" s="8"/>
      <c r="I72" s="8"/>
      <c r="J72" s="8" cm="1">
        <f t="array" ref="J72">51 - MAX(IF(NOT(ISNA(K72:BB72)),K72:BB72))</f>
        <v>13</v>
      </c>
      <c r="K72" t="e">
        <f>_xlfn.IFNA(51-MATCH(Songs!$A72,Data!G$2:G$51,0),NA())</f>
        <v>#N/A</v>
      </c>
      <c r="L72">
        <f>_xlfn.IFNA(51-MATCH(Songs!$A72,Data!H$2:H$51,0),NA())</f>
        <v>38</v>
      </c>
      <c r="M72">
        <f>_xlfn.IFNA(51-MATCH(Songs!$A72,Data!I$2:I$51,0),NA())</f>
        <v>33</v>
      </c>
      <c r="N72">
        <f>_xlfn.IFNA(51-MATCH(Songs!$A72,Data!J$2:J$51,0),NA())</f>
        <v>32</v>
      </c>
      <c r="O72">
        <f>_xlfn.IFNA(51-MATCH(Songs!$A72,Data!K$2:K$51,0),NA())</f>
        <v>28</v>
      </c>
      <c r="P72">
        <f>_xlfn.IFNA(51-MATCH(Songs!$A72,Data!L$2:L$51,0),NA())</f>
        <v>24</v>
      </c>
      <c r="Q72">
        <f>_xlfn.IFNA(51-MATCH(Songs!$A72,Data!M$2:M$51,0),NA())</f>
        <v>10</v>
      </c>
      <c r="R72">
        <f>_xlfn.IFNA(51-MATCH(Songs!$A72,Data!N$2:N$51,0),NA())</f>
        <v>12</v>
      </c>
      <c r="S72">
        <f>_xlfn.IFNA(51-MATCH(Songs!$A72,Data!O$2:O$51,0),NA())</f>
        <v>19</v>
      </c>
      <c r="T72">
        <f>_xlfn.IFNA(51-MATCH(Songs!$A72,Data!P$2:P$51,0),NA())</f>
        <v>20</v>
      </c>
      <c r="U72">
        <f>_xlfn.IFNA(51-MATCH(Songs!$A72,Data!Q$2:Q$51,0),NA())</f>
        <v>23</v>
      </c>
      <c r="V72">
        <f>_xlfn.IFNA(51-MATCH(Songs!$A72,Data!R$2:R$51,0),NA())</f>
        <v>23</v>
      </c>
      <c r="W72">
        <f>_xlfn.IFNA(51-MATCH(Songs!$A72,Data!S$2:S$51,0),NA())</f>
        <v>22</v>
      </c>
      <c r="X72">
        <f>_xlfn.IFNA(51-MATCH(Songs!$A72,Data!T$2:T$51,0),NA())</f>
        <v>20</v>
      </c>
      <c r="Y72">
        <f>_xlfn.IFNA(51-MATCH(Songs!$A72,Data!U$2:U$51,0),NA())</f>
        <v>22</v>
      </c>
      <c r="Z72">
        <f>_xlfn.IFNA(51-MATCH(Songs!$A72,Data!V$2:V$51,0),NA())</f>
        <v>19</v>
      </c>
      <c r="AA72">
        <f>_xlfn.IFNA(51-MATCH(Songs!$A72,Data!W$2:W$51,0),NA())</f>
        <v>20</v>
      </c>
      <c r="AB72">
        <f>_xlfn.IFNA(51-MATCH(Songs!$A72,Data!X$2:X$51,0),NA())</f>
        <v>17</v>
      </c>
      <c r="AC72">
        <f>_xlfn.IFNA(51-MATCH(Songs!$A72,Data!Y$2:Y$51,0),NA())</f>
        <v>21</v>
      </c>
      <c r="AD72">
        <f>_xlfn.IFNA(51-MATCH(Songs!$A72,Data!Z$2:Z$51,0),NA())</f>
        <v>23</v>
      </c>
      <c r="AE72">
        <f>_xlfn.IFNA(51-MATCH(Songs!$A72,Data!AA$2:AA$51,0),NA())</f>
        <v>7</v>
      </c>
      <c r="AF72">
        <f>_xlfn.IFNA(51-MATCH(Songs!$A72,Data!AB$2:AB$51,0),NA())</f>
        <v>17</v>
      </c>
      <c r="AG72">
        <f>_xlfn.IFNA(51-MATCH(Songs!$A72,Data!AC$2:AC$51,0),NA())</f>
        <v>16</v>
      </c>
      <c r="AH72">
        <f>_xlfn.IFNA(51-MATCH(Songs!$A72,Data!AD$2:AD$51,0),NA())</f>
        <v>17</v>
      </c>
      <c r="AI72">
        <f>_xlfn.IFNA(51-MATCH(Songs!$A72,Data!AE$2:AE$51,0),NA())</f>
        <v>20</v>
      </c>
    </row>
    <row r="73" spans="1:35" ht="15.75" customHeight="1" x14ac:dyDescent="0.25">
      <c r="A73" s="6" t="s">
        <v>137</v>
      </c>
      <c r="B73" s="6" t="s">
        <v>143</v>
      </c>
      <c r="F73" s="6">
        <v>0</v>
      </c>
      <c r="G73" s="2">
        <f ca="1">COUNTIF(INDIRECT(_xlfn.CONCAT("Data!$B$2:", ADDRESS(51,COUNTA(Data!$1:$1)+1,1,1))), Songs!A73) + F73</f>
        <v>20</v>
      </c>
      <c r="H73" s="8"/>
      <c r="I73" s="8"/>
      <c r="J73" s="8" cm="1">
        <f t="array" ref="J73">51 - MAX(IF(NOT(ISNA(K73:BB73)),K73:BB73))</f>
        <v>16</v>
      </c>
      <c r="K73" t="e">
        <f>_xlfn.IFNA(51-MATCH(Songs!$A73,Data!G$2:G$51,0),NA())</f>
        <v>#N/A</v>
      </c>
      <c r="L73">
        <f>_xlfn.IFNA(51-MATCH(Songs!$A73,Data!H$2:H$51,0),NA())</f>
        <v>29</v>
      </c>
      <c r="M73">
        <f>_xlfn.IFNA(51-MATCH(Songs!$A73,Data!I$2:I$51,0),NA())</f>
        <v>26</v>
      </c>
      <c r="N73">
        <f>_xlfn.IFNA(51-MATCH(Songs!$A73,Data!J$2:J$51,0),NA())</f>
        <v>20</v>
      </c>
      <c r="O73">
        <f>_xlfn.IFNA(51-MATCH(Songs!$A73,Data!K$2:K$51,0),NA())</f>
        <v>25</v>
      </c>
      <c r="P73">
        <f>_xlfn.IFNA(51-MATCH(Songs!$A73,Data!L$2:L$51,0),NA())</f>
        <v>30</v>
      </c>
      <c r="Q73">
        <f>_xlfn.IFNA(51-MATCH(Songs!$A73,Data!M$2:M$51,0),NA())</f>
        <v>22</v>
      </c>
      <c r="R73">
        <f>_xlfn.IFNA(51-MATCH(Songs!$A73,Data!N$2:N$51,0),NA())</f>
        <v>35</v>
      </c>
      <c r="S73">
        <f>_xlfn.IFNA(51-MATCH(Songs!$A73,Data!O$2:O$51,0),NA())</f>
        <v>34</v>
      </c>
      <c r="T73">
        <f>_xlfn.IFNA(51-MATCH(Songs!$A73,Data!P$2:P$51,0),NA())</f>
        <v>34</v>
      </c>
      <c r="U73">
        <f>_xlfn.IFNA(51-MATCH(Songs!$A73,Data!Q$2:Q$51,0),NA())</f>
        <v>33</v>
      </c>
      <c r="V73">
        <f>_xlfn.IFNA(51-MATCH(Songs!$A73,Data!R$2:R$51,0),NA())</f>
        <v>33</v>
      </c>
      <c r="W73">
        <f>_xlfn.IFNA(51-MATCH(Songs!$A73,Data!S$2:S$51,0),NA())</f>
        <v>31</v>
      </c>
      <c r="X73">
        <f>_xlfn.IFNA(51-MATCH(Songs!$A73,Data!T$2:T$51,0),NA())</f>
        <v>28</v>
      </c>
      <c r="Y73">
        <f>_xlfn.IFNA(51-MATCH(Songs!$A73,Data!U$2:U$51,0),NA())</f>
        <v>29</v>
      </c>
      <c r="Z73">
        <f>_xlfn.IFNA(51-MATCH(Songs!$A73,Data!V$2:V$51,0),NA())</f>
        <v>27</v>
      </c>
      <c r="AA73">
        <f>_xlfn.IFNA(51-MATCH(Songs!$A73,Data!W$2:W$51,0),NA())</f>
        <v>29</v>
      </c>
      <c r="AB73">
        <f>_xlfn.IFNA(51-MATCH(Songs!$A73,Data!X$2:X$51,0),NA())</f>
        <v>30</v>
      </c>
      <c r="AC73">
        <f>_xlfn.IFNA(51-MATCH(Songs!$A73,Data!Y$2:Y$51,0),NA())</f>
        <v>31</v>
      </c>
      <c r="AD73">
        <f>_xlfn.IFNA(51-MATCH(Songs!$A73,Data!Z$2:Z$51,0),NA())</f>
        <v>33</v>
      </c>
      <c r="AE73">
        <f>_xlfn.IFNA(51-MATCH(Songs!$A73,Data!AA$2:AA$51,0),NA())</f>
        <v>21</v>
      </c>
      <c r="AF73" t="e">
        <f>_xlfn.IFNA(51-MATCH(Songs!$A73,Data!AB$2:AB$51,0),NA())</f>
        <v>#N/A</v>
      </c>
      <c r="AG73" t="e">
        <f>_xlfn.IFNA(51-MATCH(Songs!$A73,Data!AC$2:AC$51,0),NA())</f>
        <v>#N/A</v>
      </c>
      <c r="AH73" t="e">
        <f>_xlfn.IFNA(51-MATCH(Songs!$A73,Data!AD$2:AD$51,0),NA())</f>
        <v>#N/A</v>
      </c>
      <c r="AI73" t="e">
        <f>_xlfn.IFNA(51-MATCH(Songs!$A73,Data!AE$2:AE$51,0),NA())</f>
        <v>#N/A</v>
      </c>
    </row>
    <row r="74" spans="1:35" ht="15.75" customHeight="1" x14ac:dyDescent="0.25">
      <c r="A74" s="6" t="s">
        <v>140</v>
      </c>
      <c r="B74" s="6" t="s">
        <v>144</v>
      </c>
      <c r="F74" s="6">
        <v>0</v>
      </c>
      <c r="G74" s="2">
        <f ca="1">COUNTIF(INDIRECT(_xlfn.CONCAT("Data!$B$2:", ADDRESS(51,COUNTA(Data!$1:$1)+1,1,1))), Songs!A74) + F74</f>
        <v>1</v>
      </c>
      <c r="H74" s="8"/>
      <c r="I74" s="8"/>
      <c r="J74" s="8" cm="1">
        <f t="array" ref="J74">51 - MAX(IF(NOT(ISNA(K74:BB74)),K74:BB74))</f>
        <v>49</v>
      </c>
      <c r="K74" t="e">
        <f>_xlfn.IFNA(51-MATCH(Songs!$A74,Data!G$2:G$51,0),NA())</f>
        <v>#N/A</v>
      </c>
      <c r="L74">
        <f>_xlfn.IFNA(51-MATCH(Songs!$A74,Data!H$2:H$51,0),NA())</f>
        <v>2</v>
      </c>
      <c r="M74" t="e">
        <f>_xlfn.IFNA(51-MATCH(Songs!$A74,Data!I$2:I$51,0),NA())</f>
        <v>#N/A</v>
      </c>
      <c r="N74" t="e">
        <f>_xlfn.IFNA(51-MATCH(Songs!$A74,Data!J$2:J$51,0),NA())</f>
        <v>#N/A</v>
      </c>
      <c r="O74" t="e">
        <f>_xlfn.IFNA(51-MATCH(Songs!$A74,Data!K$2:K$51,0),NA())</f>
        <v>#N/A</v>
      </c>
      <c r="P74" t="e">
        <f>_xlfn.IFNA(51-MATCH(Songs!$A74,Data!L$2:L$51,0),NA())</f>
        <v>#N/A</v>
      </c>
      <c r="Q74" t="e">
        <f>_xlfn.IFNA(51-MATCH(Songs!$A74,Data!M$2:M$51,0),NA())</f>
        <v>#N/A</v>
      </c>
      <c r="R74" t="e">
        <f>_xlfn.IFNA(51-MATCH(Songs!$A74,Data!N$2:N$51,0),NA())</f>
        <v>#N/A</v>
      </c>
      <c r="S74" t="e">
        <f>_xlfn.IFNA(51-MATCH(Songs!$A74,Data!O$2:O$51,0),NA())</f>
        <v>#N/A</v>
      </c>
      <c r="T74" t="e">
        <f>_xlfn.IFNA(51-MATCH(Songs!$A74,Data!P$2:P$51,0),NA())</f>
        <v>#N/A</v>
      </c>
      <c r="U74" t="e">
        <f>_xlfn.IFNA(51-MATCH(Songs!$A74,Data!Q$2:Q$51,0),NA())</f>
        <v>#N/A</v>
      </c>
      <c r="V74" t="e">
        <f>_xlfn.IFNA(51-MATCH(Songs!$A74,Data!R$2:R$51,0),NA())</f>
        <v>#N/A</v>
      </c>
      <c r="W74" t="e">
        <f>_xlfn.IFNA(51-MATCH(Songs!$A74,Data!S$2:S$51,0),NA())</f>
        <v>#N/A</v>
      </c>
      <c r="X74" t="e">
        <f>_xlfn.IFNA(51-MATCH(Songs!$A74,Data!T$2:T$51,0),NA())</f>
        <v>#N/A</v>
      </c>
      <c r="Y74" t="e">
        <f>_xlfn.IFNA(51-MATCH(Songs!$A74,Data!U$2:U$51,0),NA())</f>
        <v>#N/A</v>
      </c>
      <c r="Z74" t="e">
        <f>_xlfn.IFNA(51-MATCH(Songs!$A74,Data!V$2:V$51,0),NA())</f>
        <v>#N/A</v>
      </c>
      <c r="AA74" t="e">
        <f>_xlfn.IFNA(51-MATCH(Songs!$A74,Data!W$2:W$51,0),NA())</f>
        <v>#N/A</v>
      </c>
      <c r="AB74" t="e">
        <f>_xlfn.IFNA(51-MATCH(Songs!$A74,Data!X$2:X$51,0),NA())</f>
        <v>#N/A</v>
      </c>
      <c r="AC74" t="e">
        <f>_xlfn.IFNA(51-MATCH(Songs!$A74,Data!Y$2:Y$51,0),NA())</f>
        <v>#N/A</v>
      </c>
      <c r="AD74" t="e">
        <f>_xlfn.IFNA(51-MATCH(Songs!$A74,Data!Z$2:Z$51,0),NA())</f>
        <v>#N/A</v>
      </c>
      <c r="AE74" t="e">
        <f>_xlfn.IFNA(51-MATCH(Songs!$A74,Data!AA$2:AA$51,0),NA())</f>
        <v>#N/A</v>
      </c>
      <c r="AF74" t="e">
        <f>_xlfn.IFNA(51-MATCH(Songs!$A74,Data!AB$2:AB$51,0),NA())</f>
        <v>#N/A</v>
      </c>
      <c r="AG74" t="e">
        <f>_xlfn.IFNA(51-MATCH(Songs!$A74,Data!AC$2:AC$51,0),NA())</f>
        <v>#N/A</v>
      </c>
      <c r="AH74" t="e">
        <f>_xlfn.IFNA(51-MATCH(Songs!$A74,Data!AD$2:AD$51,0),NA())</f>
        <v>#N/A</v>
      </c>
      <c r="AI74" t="e">
        <f>_xlfn.IFNA(51-MATCH(Songs!$A74,Data!AE$2:AE$51,0),NA())</f>
        <v>#N/A</v>
      </c>
    </row>
    <row r="75" spans="1:35" ht="15.75" customHeight="1" x14ac:dyDescent="0.25">
      <c r="A75" s="6" t="s">
        <v>145</v>
      </c>
      <c r="B75" s="6" t="s">
        <v>149</v>
      </c>
      <c r="F75" s="6">
        <v>0</v>
      </c>
      <c r="G75" s="2">
        <f ca="1">COUNTIF(INDIRECT(_xlfn.CONCAT("Data!$B$2:", ADDRESS(51,COUNTA(Data!$1:$1)+1,1,1))), Songs!A75) + F75</f>
        <v>23</v>
      </c>
      <c r="H75" s="8"/>
      <c r="I75" s="8"/>
      <c r="J75" s="8" cm="1">
        <f t="array" ref="J75">51 - MAX(IF(NOT(ISNA(K75:BB75)),K75:BB75))</f>
        <v>3</v>
      </c>
      <c r="K75" t="e">
        <f>_xlfn.IFNA(51-MATCH(Songs!$A75,Data!G$2:G$51,0),NA())</f>
        <v>#N/A</v>
      </c>
      <c r="L75" t="e">
        <f>_xlfn.IFNA(51-MATCH(Songs!$A75,Data!H$2:H$51,0),NA())</f>
        <v>#N/A</v>
      </c>
      <c r="M75">
        <f>_xlfn.IFNA(51-MATCH(Songs!$A75,Data!I$2:I$51,0),NA())</f>
        <v>20</v>
      </c>
      <c r="N75">
        <f>_xlfn.IFNA(51-MATCH(Songs!$A75,Data!J$2:J$51,0),NA())</f>
        <v>34</v>
      </c>
      <c r="O75">
        <f>_xlfn.IFNA(51-MATCH(Songs!$A75,Data!K$2:K$51,0),NA())</f>
        <v>36</v>
      </c>
      <c r="P75">
        <f>_xlfn.IFNA(51-MATCH(Songs!$A75,Data!L$2:L$51,0),NA())</f>
        <v>40</v>
      </c>
      <c r="Q75">
        <f>_xlfn.IFNA(51-MATCH(Songs!$A75,Data!M$2:M$51,0),NA())</f>
        <v>33</v>
      </c>
      <c r="R75">
        <f>_xlfn.IFNA(51-MATCH(Songs!$A75,Data!N$2:N$51,0),NA())</f>
        <v>46</v>
      </c>
      <c r="S75">
        <f>_xlfn.IFNA(51-MATCH(Songs!$A75,Data!O$2:O$51,0),NA())</f>
        <v>48</v>
      </c>
      <c r="T75">
        <f>_xlfn.IFNA(51-MATCH(Songs!$A75,Data!P$2:P$51,0),NA())</f>
        <v>47</v>
      </c>
      <c r="U75">
        <f>_xlfn.IFNA(51-MATCH(Songs!$A75,Data!Q$2:Q$51,0),NA())</f>
        <v>46</v>
      </c>
      <c r="V75">
        <f>_xlfn.IFNA(51-MATCH(Songs!$A75,Data!R$2:R$51,0),NA())</f>
        <v>48</v>
      </c>
      <c r="W75">
        <f>_xlfn.IFNA(51-MATCH(Songs!$A75,Data!S$2:S$51,0),NA())</f>
        <v>46</v>
      </c>
      <c r="X75">
        <f>_xlfn.IFNA(51-MATCH(Songs!$A75,Data!T$2:T$51,0),NA())</f>
        <v>44</v>
      </c>
      <c r="Y75">
        <f>_xlfn.IFNA(51-MATCH(Songs!$A75,Data!U$2:U$51,0),NA())</f>
        <v>44</v>
      </c>
      <c r="Z75">
        <f>_xlfn.IFNA(51-MATCH(Songs!$A75,Data!V$2:V$51,0),NA())</f>
        <v>46</v>
      </c>
      <c r="AA75">
        <f>_xlfn.IFNA(51-MATCH(Songs!$A75,Data!W$2:W$51,0),NA())</f>
        <v>46</v>
      </c>
      <c r="AB75">
        <f>_xlfn.IFNA(51-MATCH(Songs!$A75,Data!X$2:X$51,0),NA())</f>
        <v>46</v>
      </c>
      <c r="AC75">
        <f>_xlfn.IFNA(51-MATCH(Songs!$A75,Data!Y$2:Y$51,0),NA())</f>
        <v>45</v>
      </c>
      <c r="AD75">
        <f>_xlfn.IFNA(51-MATCH(Songs!$A75,Data!Z$2:Z$51,0),NA())</f>
        <v>43</v>
      </c>
      <c r="AE75">
        <f>_xlfn.IFNA(51-MATCH(Songs!$A75,Data!AA$2:AA$51,0),NA())</f>
        <v>41</v>
      </c>
      <c r="AF75">
        <f>_xlfn.IFNA(51-MATCH(Songs!$A75,Data!AB$2:AB$51,0),NA())</f>
        <v>43</v>
      </c>
      <c r="AG75">
        <f>_xlfn.IFNA(51-MATCH(Songs!$A75,Data!AC$2:AC$51,0),NA())</f>
        <v>41</v>
      </c>
      <c r="AH75">
        <f>_xlfn.IFNA(51-MATCH(Songs!$A75,Data!AD$2:AD$51,0),NA())</f>
        <v>41</v>
      </c>
      <c r="AI75">
        <f>_xlfn.IFNA(51-MATCH(Songs!$A75,Data!AE$2:AE$51,0),NA())</f>
        <v>43</v>
      </c>
    </row>
    <row r="76" spans="1:35" ht="15.75" customHeight="1" x14ac:dyDescent="0.25">
      <c r="A76" s="6" t="s">
        <v>146</v>
      </c>
      <c r="B76" s="6" t="s">
        <v>150</v>
      </c>
      <c r="F76" s="6">
        <v>0</v>
      </c>
      <c r="G76" s="2">
        <f ca="1">COUNTIF(INDIRECT(_xlfn.CONCAT("Data!$B$2:", ADDRESS(51,COUNTA(Data!$1:$1)+1,1,1))), Songs!A76) + F76</f>
        <v>1</v>
      </c>
      <c r="H76" s="8"/>
      <c r="I76" s="8"/>
      <c r="J76" s="8" cm="1">
        <f t="array" ref="J76">51 - MAX(IF(NOT(ISNA(K76:BB76)),K76:BB76))</f>
        <v>40</v>
      </c>
      <c r="K76" t="e">
        <f>_xlfn.IFNA(51-MATCH(Songs!$A76,Data!G$2:G$51,0),NA())</f>
        <v>#N/A</v>
      </c>
      <c r="L76" t="e">
        <f>_xlfn.IFNA(51-MATCH(Songs!$A76,Data!H$2:H$51,0),NA())</f>
        <v>#N/A</v>
      </c>
      <c r="M76">
        <f>_xlfn.IFNA(51-MATCH(Songs!$A76,Data!I$2:I$51,0),NA())</f>
        <v>11</v>
      </c>
      <c r="N76" t="e">
        <f>_xlfn.IFNA(51-MATCH(Songs!$A76,Data!J$2:J$51,0),NA())</f>
        <v>#N/A</v>
      </c>
      <c r="O76" t="e">
        <f>_xlfn.IFNA(51-MATCH(Songs!$A76,Data!K$2:K$51,0),NA())</f>
        <v>#N/A</v>
      </c>
      <c r="P76" t="e">
        <f>_xlfn.IFNA(51-MATCH(Songs!$A76,Data!L$2:L$51,0),NA())</f>
        <v>#N/A</v>
      </c>
      <c r="Q76" t="e">
        <f>_xlfn.IFNA(51-MATCH(Songs!$A76,Data!M$2:M$51,0),NA())</f>
        <v>#N/A</v>
      </c>
      <c r="R76" t="e">
        <f>_xlfn.IFNA(51-MATCH(Songs!$A76,Data!N$2:N$51,0),NA())</f>
        <v>#N/A</v>
      </c>
      <c r="S76" t="e">
        <f>_xlfn.IFNA(51-MATCH(Songs!$A76,Data!O$2:O$51,0),NA())</f>
        <v>#N/A</v>
      </c>
      <c r="T76" t="e">
        <f>_xlfn.IFNA(51-MATCH(Songs!$A76,Data!P$2:P$51,0),NA())</f>
        <v>#N/A</v>
      </c>
      <c r="U76" t="e">
        <f>_xlfn.IFNA(51-MATCH(Songs!$A76,Data!Q$2:Q$51,0),NA())</f>
        <v>#N/A</v>
      </c>
      <c r="V76" t="e">
        <f>_xlfn.IFNA(51-MATCH(Songs!$A76,Data!R$2:R$51,0),NA())</f>
        <v>#N/A</v>
      </c>
      <c r="W76" t="e">
        <f>_xlfn.IFNA(51-MATCH(Songs!$A76,Data!S$2:S$51,0),NA())</f>
        <v>#N/A</v>
      </c>
      <c r="X76" t="e">
        <f>_xlfn.IFNA(51-MATCH(Songs!$A76,Data!T$2:T$51,0),NA())</f>
        <v>#N/A</v>
      </c>
      <c r="Y76" t="e">
        <f>_xlfn.IFNA(51-MATCH(Songs!$A76,Data!U$2:U$51,0),NA())</f>
        <v>#N/A</v>
      </c>
      <c r="Z76" t="e">
        <f>_xlfn.IFNA(51-MATCH(Songs!$A76,Data!V$2:V$51,0),NA())</f>
        <v>#N/A</v>
      </c>
      <c r="AA76" t="e">
        <f>_xlfn.IFNA(51-MATCH(Songs!$A76,Data!W$2:W$51,0),NA())</f>
        <v>#N/A</v>
      </c>
      <c r="AB76" t="e">
        <f>_xlfn.IFNA(51-MATCH(Songs!$A76,Data!X$2:X$51,0),NA())</f>
        <v>#N/A</v>
      </c>
      <c r="AC76" t="e">
        <f>_xlfn.IFNA(51-MATCH(Songs!$A76,Data!Y$2:Y$51,0),NA())</f>
        <v>#N/A</v>
      </c>
      <c r="AD76" t="e">
        <f>_xlfn.IFNA(51-MATCH(Songs!$A76,Data!Z$2:Z$51,0),NA())</f>
        <v>#N/A</v>
      </c>
      <c r="AE76" t="e">
        <f>_xlfn.IFNA(51-MATCH(Songs!$A76,Data!AA$2:AA$51,0),NA())</f>
        <v>#N/A</v>
      </c>
      <c r="AF76" t="e">
        <f>_xlfn.IFNA(51-MATCH(Songs!$A76,Data!AB$2:AB$51,0),NA())</f>
        <v>#N/A</v>
      </c>
      <c r="AG76" t="e">
        <f>_xlfn.IFNA(51-MATCH(Songs!$A76,Data!AC$2:AC$51,0),NA())</f>
        <v>#N/A</v>
      </c>
      <c r="AH76" t="e">
        <f>_xlfn.IFNA(51-MATCH(Songs!$A76,Data!AD$2:AD$51,0),NA())</f>
        <v>#N/A</v>
      </c>
      <c r="AI76" t="e">
        <f>_xlfn.IFNA(51-MATCH(Songs!$A76,Data!AE$2:AE$51,0),NA())</f>
        <v>#N/A</v>
      </c>
    </row>
    <row r="77" spans="1:35" ht="15.75" customHeight="1" x14ac:dyDescent="0.25">
      <c r="A77" s="6" t="s">
        <v>147</v>
      </c>
      <c r="B77" s="2" t="s">
        <v>75</v>
      </c>
      <c r="F77" s="6">
        <v>0</v>
      </c>
      <c r="G77" s="2">
        <f ca="1">COUNTIF(INDIRECT(_xlfn.CONCAT("Data!$B$2:", ADDRESS(51,COUNTA(Data!$1:$1)+1,1,1))), Songs!A77) + F77</f>
        <v>3</v>
      </c>
      <c r="H77" s="8"/>
      <c r="I77" s="8"/>
      <c r="J77" s="8" cm="1">
        <f t="array" ref="J77">51 - MAX(IF(NOT(ISNA(K77:BB77)),K77:BB77))</f>
        <v>29</v>
      </c>
      <c r="K77" t="e">
        <f>_xlfn.IFNA(51-MATCH(Songs!$A77,Data!G$2:G$51,0),NA())</f>
        <v>#N/A</v>
      </c>
      <c r="L77" t="e">
        <f>_xlfn.IFNA(51-MATCH(Songs!$A77,Data!H$2:H$51,0),NA())</f>
        <v>#N/A</v>
      </c>
      <c r="M77">
        <f>_xlfn.IFNA(51-MATCH(Songs!$A77,Data!I$2:I$51,0),NA())</f>
        <v>10</v>
      </c>
      <c r="N77" t="e">
        <f>_xlfn.IFNA(51-MATCH(Songs!$A77,Data!J$2:J$51,0),NA())</f>
        <v>#N/A</v>
      </c>
      <c r="O77">
        <f>_xlfn.IFNA(51-MATCH(Songs!$A77,Data!K$2:K$51,0),NA())</f>
        <v>22</v>
      </c>
      <c r="P77">
        <f>_xlfn.IFNA(51-MATCH(Songs!$A77,Data!L$2:L$51,0),NA())</f>
        <v>12</v>
      </c>
      <c r="Q77" t="e">
        <f>_xlfn.IFNA(51-MATCH(Songs!$A77,Data!M$2:M$51,0),NA())</f>
        <v>#N/A</v>
      </c>
      <c r="R77" t="e">
        <f>_xlfn.IFNA(51-MATCH(Songs!$A77,Data!N$2:N$51,0),NA())</f>
        <v>#N/A</v>
      </c>
      <c r="S77" t="e">
        <f>_xlfn.IFNA(51-MATCH(Songs!$A77,Data!O$2:O$51,0),NA())</f>
        <v>#N/A</v>
      </c>
      <c r="T77" t="e">
        <f>_xlfn.IFNA(51-MATCH(Songs!$A77,Data!P$2:P$51,0),NA())</f>
        <v>#N/A</v>
      </c>
      <c r="U77" t="e">
        <f>_xlfn.IFNA(51-MATCH(Songs!$A77,Data!Q$2:Q$51,0),NA())</f>
        <v>#N/A</v>
      </c>
      <c r="V77" t="e">
        <f>_xlfn.IFNA(51-MATCH(Songs!$A77,Data!R$2:R$51,0),NA())</f>
        <v>#N/A</v>
      </c>
      <c r="W77" t="e">
        <f>_xlfn.IFNA(51-MATCH(Songs!$A77,Data!S$2:S$51,0),NA())</f>
        <v>#N/A</v>
      </c>
      <c r="X77" t="e">
        <f>_xlfn.IFNA(51-MATCH(Songs!$A77,Data!T$2:T$51,0),NA())</f>
        <v>#N/A</v>
      </c>
      <c r="Y77" t="e">
        <f>_xlfn.IFNA(51-MATCH(Songs!$A77,Data!U$2:U$51,0),NA())</f>
        <v>#N/A</v>
      </c>
      <c r="Z77" t="e">
        <f>_xlfn.IFNA(51-MATCH(Songs!$A77,Data!V$2:V$51,0),NA())</f>
        <v>#N/A</v>
      </c>
      <c r="AA77" t="e">
        <f>_xlfn.IFNA(51-MATCH(Songs!$A77,Data!W$2:W$51,0),NA())</f>
        <v>#N/A</v>
      </c>
      <c r="AB77" t="e">
        <f>_xlfn.IFNA(51-MATCH(Songs!$A77,Data!X$2:X$51,0),NA())</f>
        <v>#N/A</v>
      </c>
      <c r="AC77" t="e">
        <f>_xlfn.IFNA(51-MATCH(Songs!$A77,Data!Y$2:Y$51,0),NA())</f>
        <v>#N/A</v>
      </c>
      <c r="AD77" t="e">
        <f>_xlfn.IFNA(51-MATCH(Songs!$A77,Data!Z$2:Z$51,0),NA())</f>
        <v>#N/A</v>
      </c>
      <c r="AE77" t="e">
        <f>_xlfn.IFNA(51-MATCH(Songs!$A77,Data!AA$2:AA$51,0),NA())</f>
        <v>#N/A</v>
      </c>
      <c r="AF77" t="e">
        <f>_xlfn.IFNA(51-MATCH(Songs!$A77,Data!AB$2:AB$51,0),NA())</f>
        <v>#N/A</v>
      </c>
      <c r="AG77" t="e">
        <f>_xlfn.IFNA(51-MATCH(Songs!$A77,Data!AC$2:AC$51,0),NA())</f>
        <v>#N/A</v>
      </c>
      <c r="AH77" t="e">
        <f>_xlfn.IFNA(51-MATCH(Songs!$A77,Data!AD$2:AD$51,0),NA())</f>
        <v>#N/A</v>
      </c>
      <c r="AI77" t="e">
        <f>_xlfn.IFNA(51-MATCH(Songs!$A77,Data!AE$2:AE$51,0),NA())</f>
        <v>#N/A</v>
      </c>
    </row>
    <row r="78" spans="1:35" ht="15.75" customHeight="1" x14ac:dyDescent="0.25">
      <c r="A78" s="6" t="s">
        <v>148</v>
      </c>
      <c r="B78" s="6" t="s">
        <v>151</v>
      </c>
      <c r="C78" t="s">
        <v>207</v>
      </c>
      <c r="F78" s="6">
        <v>0</v>
      </c>
      <c r="G78" s="2">
        <f ca="1">COUNTIF(INDIRECT(_xlfn.CONCAT("Data!$B$2:", ADDRESS(51,COUNTA(Data!$1:$1)+1,1,1))), Songs!A78) + F78</f>
        <v>1</v>
      </c>
      <c r="H78" s="8"/>
      <c r="I78" s="8"/>
      <c r="J78" s="8" cm="1">
        <f t="array" ref="J78">51 - MAX(IF(NOT(ISNA(K78:BB78)),K78:BB78))</f>
        <v>48</v>
      </c>
      <c r="K78" t="e">
        <f>_xlfn.IFNA(51-MATCH(Songs!$A78,Data!G$2:G$51,0),NA())</f>
        <v>#N/A</v>
      </c>
      <c r="L78" t="e">
        <f>_xlfn.IFNA(51-MATCH(Songs!$A78,Data!H$2:H$51,0),NA())</f>
        <v>#N/A</v>
      </c>
      <c r="M78">
        <f>_xlfn.IFNA(51-MATCH(Songs!$A78,Data!I$2:I$51,0),NA())</f>
        <v>3</v>
      </c>
      <c r="N78" t="e">
        <f>_xlfn.IFNA(51-MATCH(Songs!$A78,Data!J$2:J$51,0),NA())</f>
        <v>#N/A</v>
      </c>
      <c r="O78" t="e">
        <f>_xlfn.IFNA(51-MATCH(Songs!$A78,Data!K$2:K$51,0),NA())</f>
        <v>#N/A</v>
      </c>
      <c r="P78" t="e">
        <f>_xlfn.IFNA(51-MATCH(Songs!$A78,Data!L$2:L$51,0),NA())</f>
        <v>#N/A</v>
      </c>
      <c r="Q78" t="e">
        <f>_xlfn.IFNA(51-MATCH(Songs!$A78,Data!M$2:M$51,0),NA())</f>
        <v>#N/A</v>
      </c>
      <c r="R78" t="e">
        <f>_xlfn.IFNA(51-MATCH(Songs!$A78,Data!N$2:N$51,0),NA())</f>
        <v>#N/A</v>
      </c>
      <c r="S78" t="e">
        <f>_xlfn.IFNA(51-MATCH(Songs!$A78,Data!O$2:O$51,0),NA())</f>
        <v>#N/A</v>
      </c>
      <c r="T78" t="e">
        <f>_xlfn.IFNA(51-MATCH(Songs!$A78,Data!P$2:P$51,0),NA())</f>
        <v>#N/A</v>
      </c>
      <c r="U78" t="e">
        <f>_xlfn.IFNA(51-MATCH(Songs!$A78,Data!Q$2:Q$51,0),NA())</f>
        <v>#N/A</v>
      </c>
      <c r="V78" t="e">
        <f>_xlfn.IFNA(51-MATCH(Songs!$A78,Data!R$2:R$51,0),NA())</f>
        <v>#N/A</v>
      </c>
      <c r="W78" t="e">
        <f>_xlfn.IFNA(51-MATCH(Songs!$A78,Data!S$2:S$51,0),NA())</f>
        <v>#N/A</v>
      </c>
      <c r="X78" t="e">
        <f>_xlfn.IFNA(51-MATCH(Songs!$A78,Data!T$2:T$51,0),NA())</f>
        <v>#N/A</v>
      </c>
      <c r="Y78" t="e">
        <f>_xlfn.IFNA(51-MATCH(Songs!$A78,Data!U$2:U$51,0),NA())</f>
        <v>#N/A</v>
      </c>
      <c r="Z78" t="e">
        <f>_xlfn.IFNA(51-MATCH(Songs!$A78,Data!V$2:V$51,0),NA())</f>
        <v>#N/A</v>
      </c>
      <c r="AA78" t="e">
        <f>_xlfn.IFNA(51-MATCH(Songs!$A78,Data!W$2:W$51,0),NA())</f>
        <v>#N/A</v>
      </c>
      <c r="AB78" t="e">
        <f>_xlfn.IFNA(51-MATCH(Songs!$A78,Data!X$2:X$51,0),NA())</f>
        <v>#N/A</v>
      </c>
      <c r="AC78" t="e">
        <f>_xlfn.IFNA(51-MATCH(Songs!$A78,Data!Y$2:Y$51,0),NA())</f>
        <v>#N/A</v>
      </c>
      <c r="AD78" t="e">
        <f>_xlfn.IFNA(51-MATCH(Songs!$A78,Data!Z$2:Z$51,0),NA())</f>
        <v>#N/A</v>
      </c>
      <c r="AE78" t="e">
        <f>_xlfn.IFNA(51-MATCH(Songs!$A78,Data!AA$2:AA$51,0),NA())</f>
        <v>#N/A</v>
      </c>
      <c r="AF78" t="e">
        <f>_xlfn.IFNA(51-MATCH(Songs!$A78,Data!AB$2:AB$51,0),NA())</f>
        <v>#N/A</v>
      </c>
      <c r="AG78" t="e">
        <f>_xlfn.IFNA(51-MATCH(Songs!$A78,Data!AC$2:AC$51,0),NA())</f>
        <v>#N/A</v>
      </c>
      <c r="AH78" t="e">
        <f>_xlfn.IFNA(51-MATCH(Songs!$A78,Data!AD$2:AD$51,0),NA())</f>
        <v>#N/A</v>
      </c>
      <c r="AI78" t="e">
        <f>_xlfn.IFNA(51-MATCH(Songs!$A78,Data!AE$2:AE$51,0),NA())</f>
        <v>#N/A</v>
      </c>
    </row>
    <row r="79" spans="1:35" ht="15.75" customHeight="1" x14ac:dyDescent="0.25">
      <c r="A79" s="6" t="s">
        <v>153</v>
      </c>
      <c r="B79" s="6" t="s">
        <v>156</v>
      </c>
      <c r="F79" s="6">
        <v>0</v>
      </c>
      <c r="G79" s="2">
        <f ca="1">COUNTIF(INDIRECT(_xlfn.CONCAT("Data!$B$2:", ADDRESS(51,COUNTA(Data!$1:$1)+1,1,1))), Songs!A79) + F79</f>
        <v>8</v>
      </c>
      <c r="H79" s="8"/>
      <c r="I79" s="8"/>
      <c r="J79" s="8" cm="1">
        <f t="array" ref="J79">51 - MAX(IF(NOT(ISNA(K79:BB79)),K79:BB79))</f>
        <v>29</v>
      </c>
      <c r="K79" t="e">
        <f>_xlfn.IFNA(51-MATCH(Songs!$A79,Data!G$2:G$51,0),NA())</f>
        <v>#N/A</v>
      </c>
      <c r="L79" t="e">
        <f>_xlfn.IFNA(51-MATCH(Songs!$A79,Data!H$2:H$51,0),NA())</f>
        <v>#N/A</v>
      </c>
      <c r="M79" t="e">
        <f>_xlfn.IFNA(51-MATCH(Songs!$A79,Data!I$2:I$51,0),NA())</f>
        <v>#N/A</v>
      </c>
      <c r="N79">
        <f>_xlfn.IFNA(51-MATCH(Songs!$A79,Data!J$2:J$51,0),NA())</f>
        <v>22</v>
      </c>
      <c r="O79">
        <f>_xlfn.IFNA(51-MATCH(Songs!$A79,Data!K$2:K$51,0),NA())</f>
        <v>8</v>
      </c>
      <c r="P79">
        <f>_xlfn.IFNA(51-MATCH(Songs!$A79,Data!L$2:L$51,0),NA())</f>
        <v>2</v>
      </c>
      <c r="Q79" t="e">
        <f>_xlfn.IFNA(51-MATCH(Songs!$A79,Data!M$2:M$51,0),NA())</f>
        <v>#N/A</v>
      </c>
      <c r="R79" t="e">
        <f>_xlfn.IFNA(51-MATCH(Songs!$A79,Data!N$2:N$51,0),NA())</f>
        <v>#N/A</v>
      </c>
      <c r="S79" t="e">
        <f>_xlfn.IFNA(51-MATCH(Songs!$A79,Data!O$2:O$51,0),NA())</f>
        <v>#N/A</v>
      </c>
      <c r="T79" t="e">
        <f>_xlfn.IFNA(51-MATCH(Songs!$A79,Data!P$2:P$51,0),NA())</f>
        <v>#N/A</v>
      </c>
      <c r="U79" t="e">
        <f>_xlfn.IFNA(51-MATCH(Songs!$A79,Data!Q$2:Q$51,0),NA())</f>
        <v>#N/A</v>
      </c>
      <c r="V79" t="e">
        <f>_xlfn.IFNA(51-MATCH(Songs!$A79,Data!R$2:R$51,0),NA())</f>
        <v>#N/A</v>
      </c>
      <c r="W79">
        <f>_xlfn.IFNA(51-MATCH(Songs!$A79,Data!S$2:S$51,0),NA())</f>
        <v>9</v>
      </c>
      <c r="X79">
        <f>_xlfn.IFNA(51-MATCH(Songs!$A79,Data!T$2:T$51,0),NA())</f>
        <v>19</v>
      </c>
      <c r="Y79">
        <f>_xlfn.IFNA(51-MATCH(Songs!$A79,Data!U$2:U$51,0),NA())</f>
        <v>8</v>
      </c>
      <c r="Z79">
        <f>_xlfn.IFNA(51-MATCH(Songs!$A79,Data!V$2:V$51,0),NA())</f>
        <v>3</v>
      </c>
      <c r="AA79">
        <f>_xlfn.IFNA(51-MATCH(Songs!$A79,Data!W$2:W$51,0),NA())</f>
        <v>1</v>
      </c>
      <c r="AB79" t="e">
        <f>_xlfn.IFNA(51-MATCH(Songs!$A79,Data!X$2:X$51,0),NA())</f>
        <v>#N/A</v>
      </c>
      <c r="AC79" t="e">
        <f>_xlfn.IFNA(51-MATCH(Songs!$A79,Data!Y$2:Y$51,0),NA())</f>
        <v>#N/A</v>
      </c>
      <c r="AD79" t="e">
        <f>_xlfn.IFNA(51-MATCH(Songs!$A79,Data!Z$2:Z$51,0),NA())</f>
        <v>#N/A</v>
      </c>
      <c r="AE79" t="e">
        <f>_xlfn.IFNA(51-MATCH(Songs!$A79,Data!AA$2:AA$51,0),NA())</f>
        <v>#N/A</v>
      </c>
      <c r="AF79" t="e">
        <f>_xlfn.IFNA(51-MATCH(Songs!$A79,Data!AB$2:AB$51,0),NA())</f>
        <v>#N/A</v>
      </c>
      <c r="AG79" t="e">
        <f>_xlfn.IFNA(51-MATCH(Songs!$A79,Data!AC$2:AC$51,0),NA())</f>
        <v>#N/A</v>
      </c>
      <c r="AH79" t="e">
        <f>_xlfn.IFNA(51-MATCH(Songs!$A79,Data!AD$2:AD$51,0),NA())</f>
        <v>#N/A</v>
      </c>
      <c r="AI79" t="e">
        <f>_xlfn.IFNA(51-MATCH(Songs!$A79,Data!AE$2:AE$51,0),NA())</f>
        <v>#N/A</v>
      </c>
    </row>
    <row r="80" spans="1:35" ht="15.75" customHeight="1" x14ac:dyDescent="0.25">
      <c r="A80" s="6" t="s">
        <v>154</v>
      </c>
      <c r="B80" s="6" t="s">
        <v>157</v>
      </c>
      <c r="F80" s="6">
        <v>0</v>
      </c>
      <c r="G80" s="2">
        <f ca="1">COUNTIF(INDIRECT(_xlfn.CONCAT("Data!$B$2:", ADDRESS(51,COUNTA(Data!$1:$1)+1,1,1))), Songs!A80) + F80</f>
        <v>17</v>
      </c>
      <c r="H80" s="8"/>
      <c r="I80" s="8"/>
      <c r="J80" s="8" cm="1">
        <f t="array" ref="J80">51 - MAX(IF(NOT(ISNA(K80:BB80)),K80:BB80))</f>
        <v>22</v>
      </c>
      <c r="K80" t="e">
        <f>_xlfn.IFNA(51-MATCH(Songs!$A80,Data!G$2:G$51,0),NA())</f>
        <v>#N/A</v>
      </c>
      <c r="L80" t="e">
        <f>_xlfn.IFNA(51-MATCH(Songs!$A80,Data!H$2:H$51,0),NA())</f>
        <v>#N/A</v>
      </c>
      <c r="M80" t="e">
        <f>_xlfn.IFNA(51-MATCH(Songs!$A80,Data!I$2:I$51,0),NA())</f>
        <v>#N/A</v>
      </c>
      <c r="N80">
        <f>_xlfn.IFNA(51-MATCH(Songs!$A80,Data!J$2:J$51,0),NA())</f>
        <v>13</v>
      </c>
      <c r="O80">
        <f>_xlfn.IFNA(51-MATCH(Songs!$A80,Data!K$2:K$51,0),NA())</f>
        <v>15</v>
      </c>
      <c r="P80">
        <f>_xlfn.IFNA(51-MATCH(Songs!$A80,Data!L$2:L$51,0),NA())</f>
        <v>29</v>
      </c>
      <c r="Q80">
        <f>_xlfn.IFNA(51-MATCH(Songs!$A80,Data!M$2:M$51,0),NA())</f>
        <v>12</v>
      </c>
      <c r="R80">
        <f>_xlfn.IFNA(51-MATCH(Songs!$A80,Data!N$2:N$51,0),NA())</f>
        <v>14</v>
      </c>
      <c r="S80">
        <f>_xlfn.IFNA(51-MATCH(Songs!$A80,Data!O$2:O$51,0),NA())</f>
        <v>21</v>
      </c>
      <c r="T80">
        <f>_xlfn.IFNA(51-MATCH(Songs!$A80,Data!P$2:P$51,0),NA())</f>
        <v>23</v>
      </c>
      <c r="U80">
        <f>_xlfn.IFNA(51-MATCH(Songs!$A80,Data!Q$2:Q$51,0),NA())</f>
        <v>24</v>
      </c>
      <c r="V80">
        <f>_xlfn.IFNA(51-MATCH(Songs!$A80,Data!R$2:R$51,0),NA())</f>
        <v>21</v>
      </c>
      <c r="W80">
        <f>_xlfn.IFNA(51-MATCH(Songs!$A80,Data!S$2:S$51,0),NA())</f>
        <v>19</v>
      </c>
      <c r="X80">
        <f>_xlfn.IFNA(51-MATCH(Songs!$A80,Data!T$2:T$51,0),NA())</f>
        <v>18</v>
      </c>
      <c r="Y80">
        <f>_xlfn.IFNA(51-MATCH(Songs!$A80,Data!U$2:U$51,0),NA())</f>
        <v>15</v>
      </c>
      <c r="Z80">
        <f>_xlfn.IFNA(51-MATCH(Songs!$A80,Data!V$2:V$51,0),NA())</f>
        <v>15</v>
      </c>
      <c r="AA80">
        <f>_xlfn.IFNA(51-MATCH(Songs!$A80,Data!W$2:W$51,0),NA())</f>
        <v>16</v>
      </c>
      <c r="AB80">
        <f>_xlfn.IFNA(51-MATCH(Songs!$A80,Data!X$2:X$51,0),NA())</f>
        <v>8</v>
      </c>
      <c r="AC80">
        <f>_xlfn.IFNA(51-MATCH(Songs!$A80,Data!Y$2:Y$51,0),NA())</f>
        <v>11</v>
      </c>
      <c r="AD80">
        <f>_xlfn.IFNA(51-MATCH(Songs!$A80,Data!Z$2:Z$51,0),NA())</f>
        <v>10</v>
      </c>
      <c r="AE80" t="e">
        <f>_xlfn.IFNA(51-MATCH(Songs!$A80,Data!AA$2:AA$51,0),NA())</f>
        <v>#N/A</v>
      </c>
      <c r="AF80" t="e">
        <f>_xlfn.IFNA(51-MATCH(Songs!$A80,Data!AB$2:AB$51,0),NA())</f>
        <v>#N/A</v>
      </c>
      <c r="AG80" t="e">
        <f>_xlfn.IFNA(51-MATCH(Songs!$A80,Data!AC$2:AC$51,0),NA())</f>
        <v>#N/A</v>
      </c>
      <c r="AH80" t="e">
        <f>_xlfn.IFNA(51-MATCH(Songs!$A80,Data!AD$2:AD$51,0),NA())</f>
        <v>#N/A</v>
      </c>
      <c r="AI80" t="e">
        <f>_xlfn.IFNA(51-MATCH(Songs!$A80,Data!AE$2:AE$51,0),NA())</f>
        <v>#N/A</v>
      </c>
    </row>
    <row r="81" spans="1:35" ht="15.75" customHeight="1" x14ac:dyDescent="0.25">
      <c r="A81" s="6" t="s">
        <v>155</v>
      </c>
      <c r="B81" s="6" t="s">
        <v>74</v>
      </c>
      <c r="F81" s="6">
        <v>3</v>
      </c>
      <c r="G81" s="2">
        <f ca="1">COUNTIF(INDIRECT(_xlfn.CONCAT("Data!$B$2:", ADDRESS(51,COUNTA(Data!$1:$1)+1,1,1))), Songs!A81) + F81</f>
        <v>22</v>
      </c>
      <c r="H81" s="8"/>
      <c r="I81" s="8"/>
      <c r="J81" s="8" cm="1">
        <f t="array" ref="J81">51 - MAX(IF(NOT(ISNA(K81:BB81)),K81:BB81))</f>
        <v>33</v>
      </c>
      <c r="K81" t="e">
        <f>_xlfn.IFNA(51-MATCH(Songs!$A81,Data!G$2:G$51,0),NA())</f>
        <v>#N/A</v>
      </c>
      <c r="L81" t="e">
        <f>_xlfn.IFNA(51-MATCH(Songs!$A81,Data!H$2:H$51,0),NA())</f>
        <v>#N/A</v>
      </c>
      <c r="M81" t="e">
        <f>_xlfn.IFNA(51-MATCH(Songs!$A81,Data!I$2:I$51,0),NA())</f>
        <v>#N/A</v>
      </c>
      <c r="N81">
        <f>_xlfn.IFNA(51-MATCH(Songs!$A81,Data!J$2:J$51,0),NA())</f>
        <v>2</v>
      </c>
      <c r="O81" t="e">
        <f>_xlfn.IFNA(51-MATCH(Songs!$A81,Data!K$2:K$51,0),NA())</f>
        <v>#N/A</v>
      </c>
      <c r="P81">
        <f>_xlfn.IFNA(51-MATCH(Songs!$A81,Data!L$2:L$51,0),NA())</f>
        <v>4</v>
      </c>
      <c r="Q81" t="e">
        <f>_xlfn.IFNA(51-MATCH(Songs!$A81,Data!M$2:M$51,0),NA())</f>
        <v>#N/A</v>
      </c>
      <c r="R81" t="e">
        <f>_xlfn.IFNA(51-MATCH(Songs!$A81,Data!N$2:N$51,0),NA())</f>
        <v>#N/A</v>
      </c>
      <c r="S81">
        <f>_xlfn.IFNA(51-MATCH(Songs!$A81,Data!O$2:O$51,0),NA())</f>
        <v>1</v>
      </c>
      <c r="T81">
        <f>_xlfn.IFNA(51-MATCH(Songs!$A81,Data!P$2:P$51,0),NA())</f>
        <v>2</v>
      </c>
      <c r="U81">
        <f>_xlfn.IFNA(51-MATCH(Songs!$A81,Data!Q$2:Q$51,0),NA())</f>
        <v>11</v>
      </c>
      <c r="V81">
        <f>_xlfn.IFNA(51-MATCH(Songs!$A81,Data!R$2:R$51,0),NA())</f>
        <v>13</v>
      </c>
      <c r="W81">
        <f>_xlfn.IFNA(51-MATCH(Songs!$A81,Data!S$2:S$51,0),NA())</f>
        <v>14</v>
      </c>
      <c r="X81">
        <f>_xlfn.IFNA(51-MATCH(Songs!$A81,Data!T$2:T$51,0),NA())</f>
        <v>11</v>
      </c>
      <c r="Y81">
        <f>_xlfn.IFNA(51-MATCH(Songs!$A81,Data!U$2:U$51,0),NA())</f>
        <v>12</v>
      </c>
      <c r="Z81">
        <f>_xlfn.IFNA(51-MATCH(Songs!$A81,Data!V$2:V$51,0),NA())</f>
        <v>14</v>
      </c>
      <c r="AA81">
        <f>_xlfn.IFNA(51-MATCH(Songs!$A81,Data!W$2:W$51,0),NA())</f>
        <v>8</v>
      </c>
      <c r="AB81">
        <f>_xlfn.IFNA(51-MATCH(Songs!$A81,Data!X$2:X$51,0),NA())</f>
        <v>5</v>
      </c>
      <c r="AC81">
        <f>_xlfn.IFNA(51-MATCH(Songs!$A81,Data!Y$2:Y$51,0),NA())</f>
        <v>14</v>
      </c>
      <c r="AD81">
        <f>_xlfn.IFNA(51-MATCH(Songs!$A81,Data!Z$2:Z$51,0),NA())</f>
        <v>18</v>
      </c>
      <c r="AE81">
        <f>_xlfn.IFNA(51-MATCH(Songs!$A81,Data!AA$2:AA$51,0),NA())</f>
        <v>4</v>
      </c>
      <c r="AF81">
        <f>_xlfn.IFNA(51-MATCH(Songs!$A81,Data!AB$2:AB$51,0),NA())</f>
        <v>6</v>
      </c>
      <c r="AG81">
        <f>_xlfn.IFNA(51-MATCH(Songs!$A81,Data!AC$2:AC$51,0),NA())</f>
        <v>9</v>
      </c>
      <c r="AH81">
        <f>_xlfn.IFNA(51-MATCH(Songs!$A81,Data!AD$2:AD$51,0),NA())</f>
        <v>12</v>
      </c>
      <c r="AI81">
        <f>_xlfn.IFNA(51-MATCH(Songs!$A81,Data!AE$2:AE$51,0),NA())</f>
        <v>16</v>
      </c>
    </row>
    <row r="82" spans="1:35" ht="15.75" customHeight="1" x14ac:dyDescent="0.25">
      <c r="A82" s="6" t="s">
        <v>177</v>
      </c>
      <c r="B82" s="2" t="s">
        <v>75</v>
      </c>
      <c r="F82" s="6">
        <v>0</v>
      </c>
      <c r="G82" s="2">
        <f ca="1">COUNTIF(INDIRECT(_xlfn.CONCAT("Data!$B$2:", ADDRESS(51,COUNTA(Data!$1:$1)+1,1,1))), Songs!A82) + F82</f>
        <v>1</v>
      </c>
      <c r="H82" s="8"/>
      <c r="I82" s="8"/>
      <c r="J82" s="8" cm="1">
        <f t="array" ref="J82">51 - MAX(IF(NOT(ISNA(K82:BB82)),K82:BB82))</f>
        <v>33</v>
      </c>
      <c r="K82" t="e">
        <f>_xlfn.IFNA(51-MATCH(Songs!$A82,Data!G$2:G$51,0),NA())</f>
        <v>#N/A</v>
      </c>
      <c r="L82" t="e">
        <f>_xlfn.IFNA(51-MATCH(Songs!$A82,Data!H$2:H$51,0),NA())</f>
        <v>#N/A</v>
      </c>
      <c r="M82" t="e">
        <f>_xlfn.IFNA(51-MATCH(Songs!$A82,Data!I$2:I$51,0),NA())</f>
        <v>#N/A</v>
      </c>
      <c r="N82" t="e">
        <f>_xlfn.IFNA(51-MATCH(Songs!$A82,Data!J$2:J$51,0),NA())</f>
        <v>#N/A</v>
      </c>
      <c r="O82">
        <f>_xlfn.IFNA(51-MATCH(Songs!$A82,Data!K$2:K$51,0),NA())</f>
        <v>18</v>
      </c>
      <c r="P82" t="e">
        <f>_xlfn.IFNA(51-MATCH(Songs!$A82,Data!L$2:L$51,0),NA())</f>
        <v>#N/A</v>
      </c>
      <c r="Q82" t="e">
        <f>_xlfn.IFNA(51-MATCH(Songs!$A82,Data!M$2:M$51,0),NA())</f>
        <v>#N/A</v>
      </c>
      <c r="R82" t="e">
        <f>_xlfn.IFNA(51-MATCH(Songs!$A82,Data!N$2:N$51,0),NA())</f>
        <v>#N/A</v>
      </c>
      <c r="S82" t="e">
        <f>_xlfn.IFNA(51-MATCH(Songs!$A82,Data!O$2:O$51,0),NA())</f>
        <v>#N/A</v>
      </c>
      <c r="T82" t="e">
        <f>_xlfn.IFNA(51-MATCH(Songs!$A82,Data!P$2:P$51,0),NA())</f>
        <v>#N/A</v>
      </c>
      <c r="U82" t="e">
        <f>_xlfn.IFNA(51-MATCH(Songs!$A82,Data!Q$2:Q$51,0),NA())</f>
        <v>#N/A</v>
      </c>
      <c r="V82" t="e">
        <f>_xlfn.IFNA(51-MATCH(Songs!$A82,Data!R$2:R$51,0),NA())</f>
        <v>#N/A</v>
      </c>
      <c r="W82" t="e">
        <f>_xlfn.IFNA(51-MATCH(Songs!$A82,Data!S$2:S$51,0),NA())</f>
        <v>#N/A</v>
      </c>
      <c r="X82" t="e">
        <f>_xlfn.IFNA(51-MATCH(Songs!$A82,Data!T$2:T$51,0),NA())</f>
        <v>#N/A</v>
      </c>
      <c r="Y82" t="e">
        <f>_xlfn.IFNA(51-MATCH(Songs!$A82,Data!U$2:U$51,0),NA())</f>
        <v>#N/A</v>
      </c>
      <c r="Z82" t="e">
        <f>_xlfn.IFNA(51-MATCH(Songs!$A82,Data!V$2:V$51,0),NA())</f>
        <v>#N/A</v>
      </c>
      <c r="AA82" t="e">
        <f>_xlfn.IFNA(51-MATCH(Songs!$A82,Data!W$2:W$51,0),NA())</f>
        <v>#N/A</v>
      </c>
      <c r="AB82" t="e">
        <f>_xlfn.IFNA(51-MATCH(Songs!$A82,Data!X$2:X$51,0),NA())</f>
        <v>#N/A</v>
      </c>
      <c r="AC82" t="e">
        <f>_xlfn.IFNA(51-MATCH(Songs!$A82,Data!Y$2:Y$51,0),NA())</f>
        <v>#N/A</v>
      </c>
      <c r="AD82" t="e">
        <f>_xlfn.IFNA(51-MATCH(Songs!$A82,Data!Z$2:Z$51,0),NA())</f>
        <v>#N/A</v>
      </c>
      <c r="AE82" t="e">
        <f>_xlfn.IFNA(51-MATCH(Songs!$A82,Data!AA$2:AA$51,0),NA())</f>
        <v>#N/A</v>
      </c>
      <c r="AF82" t="e">
        <f>_xlfn.IFNA(51-MATCH(Songs!$A82,Data!AB$2:AB$51,0),NA())</f>
        <v>#N/A</v>
      </c>
      <c r="AG82" t="e">
        <f>_xlfn.IFNA(51-MATCH(Songs!$A82,Data!AC$2:AC$51,0),NA())</f>
        <v>#N/A</v>
      </c>
      <c r="AH82" t="e">
        <f>_xlfn.IFNA(51-MATCH(Songs!$A82,Data!AD$2:AD$51,0),NA())</f>
        <v>#N/A</v>
      </c>
      <c r="AI82" t="e">
        <f>_xlfn.IFNA(51-MATCH(Songs!$A82,Data!AE$2:AE$51,0),NA())</f>
        <v>#N/A</v>
      </c>
    </row>
    <row r="83" spans="1:35" ht="15.75" customHeight="1" x14ac:dyDescent="0.25">
      <c r="A83" s="6" t="s">
        <v>178</v>
      </c>
      <c r="B83" s="2" t="s">
        <v>75</v>
      </c>
      <c r="F83" s="6">
        <v>0</v>
      </c>
      <c r="G83" s="2">
        <f ca="1">COUNTIF(INDIRECT(_xlfn.CONCAT("Data!$B$2:", ADDRESS(51,COUNTA(Data!$1:$1)+1,1,1))), Songs!A83) + F83</f>
        <v>2</v>
      </c>
      <c r="H83" s="8"/>
      <c r="I83" s="8"/>
      <c r="J83" s="8" cm="1">
        <f t="array" ref="J83">51 - MAX(IF(NOT(ISNA(K83:BB83)),K83:BB83))</f>
        <v>38</v>
      </c>
      <c r="K83" t="e">
        <f>_xlfn.IFNA(51-MATCH(Songs!$A83,Data!G$2:G$51,0),NA())</f>
        <v>#N/A</v>
      </c>
      <c r="L83" t="e">
        <f>_xlfn.IFNA(51-MATCH(Songs!$A83,Data!H$2:H$51,0),NA())</f>
        <v>#N/A</v>
      </c>
      <c r="M83" t="e">
        <f>_xlfn.IFNA(51-MATCH(Songs!$A83,Data!I$2:I$51,0),NA())</f>
        <v>#N/A</v>
      </c>
      <c r="N83" t="e">
        <f>_xlfn.IFNA(51-MATCH(Songs!$A83,Data!J$2:J$51,0),NA())</f>
        <v>#N/A</v>
      </c>
      <c r="O83">
        <f>_xlfn.IFNA(51-MATCH(Songs!$A83,Data!K$2:K$51,0),NA())</f>
        <v>13</v>
      </c>
      <c r="P83">
        <f>_xlfn.IFNA(51-MATCH(Songs!$A83,Data!L$2:L$51,0),NA())</f>
        <v>5</v>
      </c>
      <c r="Q83" t="e">
        <f>_xlfn.IFNA(51-MATCH(Songs!$A83,Data!M$2:M$51,0),NA())</f>
        <v>#N/A</v>
      </c>
      <c r="R83" t="e">
        <f>_xlfn.IFNA(51-MATCH(Songs!$A83,Data!N$2:N$51,0),NA())</f>
        <v>#N/A</v>
      </c>
      <c r="S83" t="e">
        <f>_xlfn.IFNA(51-MATCH(Songs!$A83,Data!O$2:O$51,0),NA())</f>
        <v>#N/A</v>
      </c>
      <c r="T83" t="e">
        <f>_xlfn.IFNA(51-MATCH(Songs!$A83,Data!P$2:P$51,0),NA())</f>
        <v>#N/A</v>
      </c>
      <c r="U83" t="e">
        <f>_xlfn.IFNA(51-MATCH(Songs!$A83,Data!Q$2:Q$51,0),NA())</f>
        <v>#N/A</v>
      </c>
      <c r="V83" t="e">
        <f>_xlfn.IFNA(51-MATCH(Songs!$A83,Data!R$2:R$51,0),NA())</f>
        <v>#N/A</v>
      </c>
      <c r="W83" t="e">
        <f>_xlfn.IFNA(51-MATCH(Songs!$A83,Data!S$2:S$51,0),NA())</f>
        <v>#N/A</v>
      </c>
      <c r="X83" t="e">
        <f>_xlfn.IFNA(51-MATCH(Songs!$A83,Data!T$2:T$51,0),NA())</f>
        <v>#N/A</v>
      </c>
      <c r="Y83" t="e">
        <f>_xlfn.IFNA(51-MATCH(Songs!$A83,Data!U$2:U$51,0),NA())</f>
        <v>#N/A</v>
      </c>
      <c r="Z83" t="e">
        <f>_xlfn.IFNA(51-MATCH(Songs!$A83,Data!V$2:V$51,0),NA())</f>
        <v>#N/A</v>
      </c>
      <c r="AA83" t="e">
        <f>_xlfn.IFNA(51-MATCH(Songs!$A83,Data!W$2:W$51,0),NA())</f>
        <v>#N/A</v>
      </c>
      <c r="AB83" t="e">
        <f>_xlfn.IFNA(51-MATCH(Songs!$A83,Data!X$2:X$51,0),NA())</f>
        <v>#N/A</v>
      </c>
      <c r="AC83" t="e">
        <f>_xlfn.IFNA(51-MATCH(Songs!$A83,Data!Y$2:Y$51,0),NA())</f>
        <v>#N/A</v>
      </c>
      <c r="AD83" t="e">
        <f>_xlfn.IFNA(51-MATCH(Songs!$A83,Data!Z$2:Z$51,0),NA())</f>
        <v>#N/A</v>
      </c>
      <c r="AE83" t="e">
        <f>_xlfn.IFNA(51-MATCH(Songs!$A83,Data!AA$2:AA$51,0),NA())</f>
        <v>#N/A</v>
      </c>
      <c r="AF83" t="e">
        <f>_xlfn.IFNA(51-MATCH(Songs!$A83,Data!AB$2:AB$51,0),NA())</f>
        <v>#N/A</v>
      </c>
      <c r="AG83" t="e">
        <f>_xlfn.IFNA(51-MATCH(Songs!$A83,Data!AC$2:AC$51,0),NA())</f>
        <v>#N/A</v>
      </c>
      <c r="AH83" t="e">
        <f>_xlfn.IFNA(51-MATCH(Songs!$A83,Data!AD$2:AD$51,0),NA())</f>
        <v>#N/A</v>
      </c>
      <c r="AI83" t="e">
        <f>_xlfn.IFNA(51-MATCH(Songs!$A83,Data!AE$2:AE$51,0),NA())</f>
        <v>#N/A</v>
      </c>
    </row>
    <row r="84" spans="1:35" ht="15.75" customHeight="1" x14ac:dyDescent="0.25">
      <c r="A84" s="6" t="s">
        <v>181</v>
      </c>
      <c r="B84" s="2" t="s">
        <v>182</v>
      </c>
      <c r="F84" s="6">
        <v>0</v>
      </c>
      <c r="G84" s="2">
        <f ca="1">COUNTIF(INDIRECT(_xlfn.CONCAT("Data!$B$2:", ADDRESS(51,COUNTA(Data!$1:$1)+1,1,1))), Songs!A84) + F84</f>
        <v>19</v>
      </c>
      <c r="H84" s="8"/>
      <c r="I84" s="8"/>
      <c r="J84" s="8" cm="1">
        <f t="array" ref="J84">51 - MAX(IF(NOT(ISNA(K84:BB84)),K84:BB84))</f>
        <v>29</v>
      </c>
      <c r="K84" t="e">
        <f>_xlfn.IFNA(51-MATCH(Songs!$A84,Data!G$2:G$51,0),NA())</f>
        <v>#N/A</v>
      </c>
      <c r="L84" t="e">
        <f>_xlfn.IFNA(51-MATCH(Songs!$A84,Data!H$2:H$51,0),NA())</f>
        <v>#N/A</v>
      </c>
      <c r="M84" t="e">
        <f>_xlfn.IFNA(51-MATCH(Songs!$A84,Data!I$2:I$51,0),NA())</f>
        <v>#N/A</v>
      </c>
      <c r="N84" t="e">
        <f>_xlfn.IFNA(51-MATCH(Songs!$A84,Data!J$2:J$51,0),NA())</f>
        <v>#N/A</v>
      </c>
      <c r="O84" t="e">
        <f>_xlfn.IFNA(51-MATCH(Songs!$A84,Data!K$2:K$51,0),NA())</f>
        <v>#N/A</v>
      </c>
      <c r="P84">
        <f>_xlfn.IFNA(51-MATCH(Songs!$A84,Data!L$2:L$51,0),NA())</f>
        <v>13</v>
      </c>
      <c r="Q84" t="e">
        <f>_xlfn.IFNA(51-MATCH(Songs!$A84,Data!M$2:M$51,0),NA())</f>
        <v>#N/A</v>
      </c>
      <c r="R84">
        <f>_xlfn.IFNA(51-MATCH(Songs!$A84,Data!N$2:N$51,0),NA())</f>
        <v>1</v>
      </c>
      <c r="S84">
        <f>_xlfn.IFNA(51-MATCH(Songs!$A84,Data!O$2:O$51,0),NA())</f>
        <v>10</v>
      </c>
      <c r="T84">
        <f>_xlfn.IFNA(51-MATCH(Songs!$A84,Data!P$2:P$51,0),NA())</f>
        <v>21</v>
      </c>
      <c r="U84">
        <f>_xlfn.IFNA(51-MATCH(Songs!$A84,Data!Q$2:Q$51,0),NA())</f>
        <v>18</v>
      </c>
      <c r="V84">
        <f>_xlfn.IFNA(51-MATCH(Songs!$A84,Data!R$2:R$51,0),NA())</f>
        <v>16</v>
      </c>
      <c r="W84">
        <f>_xlfn.IFNA(51-MATCH(Songs!$A84,Data!S$2:S$51,0),NA())</f>
        <v>21</v>
      </c>
      <c r="X84">
        <f>_xlfn.IFNA(51-MATCH(Songs!$A84,Data!T$2:T$51,0),NA())</f>
        <v>22</v>
      </c>
      <c r="Y84">
        <f>_xlfn.IFNA(51-MATCH(Songs!$A84,Data!U$2:U$51,0),NA())</f>
        <v>19</v>
      </c>
      <c r="Z84">
        <f>_xlfn.IFNA(51-MATCH(Songs!$A84,Data!V$2:V$51,0),NA())</f>
        <v>18</v>
      </c>
      <c r="AA84">
        <f>_xlfn.IFNA(51-MATCH(Songs!$A84,Data!W$2:W$51,0),NA())</f>
        <v>13</v>
      </c>
      <c r="AB84">
        <f>_xlfn.IFNA(51-MATCH(Songs!$A84,Data!X$2:X$51,0),NA())</f>
        <v>13</v>
      </c>
      <c r="AC84">
        <f>_xlfn.IFNA(51-MATCH(Songs!$A84,Data!Y$2:Y$51,0),NA())</f>
        <v>17</v>
      </c>
      <c r="AD84">
        <f>_xlfn.IFNA(51-MATCH(Songs!$A84,Data!Z$2:Z$51,0),NA())</f>
        <v>15</v>
      </c>
      <c r="AE84">
        <f>_xlfn.IFNA(51-MATCH(Songs!$A84,Data!AA$2:AA$51,0),NA())</f>
        <v>3</v>
      </c>
      <c r="AF84">
        <f>_xlfn.IFNA(51-MATCH(Songs!$A84,Data!AB$2:AB$51,0),NA())</f>
        <v>11</v>
      </c>
      <c r="AG84">
        <f>_xlfn.IFNA(51-MATCH(Songs!$A84,Data!AC$2:AC$51,0),NA())</f>
        <v>11</v>
      </c>
      <c r="AH84">
        <f>_xlfn.IFNA(51-MATCH(Songs!$A84,Data!AD$2:AD$51,0),NA())</f>
        <v>19</v>
      </c>
      <c r="AI84">
        <f>_xlfn.IFNA(51-MATCH(Songs!$A84,Data!AE$2:AE$51,0),NA())</f>
        <v>19</v>
      </c>
    </row>
    <row r="85" spans="1:35" ht="15.75" customHeight="1" x14ac:dyDescent="0.25">
      <c r="A85" s="6" t="s">
        <v>179</v>
      </c>
      <c r="B85" s="2" t="s">
        <v>183</v>
      </c>
      <c r="F85" s="6">
        <v>0</v>
      </c>
      <c r="G85" s="2">
        <f ca="1">COUNTIF(INDIRECT(_xlfn.CONCAT("Data!$B$2:", ADDRESS(51,COUNTA(Data!$1:$1)+1,1,1))), Songs!A85) + F85</f>
        <v>1</v>
      </c>
      <c r="H85" s="8"/>
      <c r="I85" s="8"/>
      <c r="J85" s="8" cm="1">
        <f t="array" ref="J85">51 - MAX(IF(NOT(ISNA(K85:BB85)),K85:BB85))</f>
        <v>43</v>
      </c>
      <c r="K85" t="e">
        <f>_xlfn.IFNA(51-MATCH(Songs!$A85,Data!G$2:G$51,0),NA())</f>
        <v>#N/A</v>
      </c>
      <c r="L85" t="e">
        <f>_xlfn.IFNA(51-MATCH(Songs!$A85,Data!H$2:H$51,0),NA())</f>
        <v>#N/A</v>
      </c>
      <c r="M85" t="e">
        <f>_xlfn.IFNA(51-MATCH(Songs!$A85,Data!I$2:I$51,0),NA())</f>
        <v>#N/A</v>
      </c>
      <c r="N85" t="e">
        <f>_xlfn.IFNA(51-MATCH(Songs!$A85,Data!J$2:J$51,0),NA())</f>
        <v>#N/A</v>
      </c>
      <c r="O85" t="e">
        <f>_xlfn.IFNA(51-MATCH(Songs!$A85,Data!K$2:K$51,0),NA())</f>
        <v>#N/A</v>
      </c>
      <c r="P85">
        <f>_xlfn.IFNA(51-MATCH(Songs!$A85,Data!L$2:L$51,0),NA())</f>
        <v>8</v>
      </c>
      <c r="Q85" t="e">
        <f>_xlfn.IFNA(51-MATCH(Songs!$A85,Data!M$2:M$51,0),NA())</f>
        <v>#N/A</v>
      </c>
      <c r="R85" t="e">
        <f>_xlfn.IFNA(51-MATCH(Songs!$A85,Data!N$2:N$51,0),NA())</f>
        <v>#N/A</v>
      </c>
      <c r="S85" t="e">
        <f>_xlfn.IFNA(51-MATCH(Songs!$A85,Data!O$2:O$51,0),NA())</f>
        <v>#N/A</v>
      </c>
      <c r="T85" t="e">
        <f>_xlfn.IFNA(51-MATCH(Songs!$A85,Data!P$2:P$51,0),NA())</f>
        <v>#N/A</v>
      </c>
      <c r="U85" t="e">
        <f>_xlfn.IFNA(51-MATCH(Songs!$A85,Data!Q$2:Q$51,0),NA())</f>
        <v>#N/A</v>
      </c>
      <c r="V85" t="e">
        <f>_xlfn.IFNA(51-MATCH(Songs!$A85,Data!R$2:R$51,0),NA())</f>
        <v>#N/A</v>
      </c>
      <c r="W85" t="e">
        <f>_xlfn.IFNA(51-MATCH(Songs!$A85,Data!S$2:S$51,0),NA())</f>
        <v>#N/A</v>
      </c>
      <c r="X85" t="e">
        <f>_xlfn.IFNA(51-MATCH(Songs!$A85,Data!T$2:T$51,0),NA())</f>
        <v>#N/A</v>
      </c>
      <c r="Y85" t="e">
        <f>_xlfn.IFNA(51-MATCH(Songs!$A85,Data!U$2:U$51,0),NA())</f>
        <v>#N/A</v>
      </c>
      <c r="Z85" t="e">
        <f>_xlfn.IFNA(51-MATCH(Songs!$A85,Data!V$2:V$51,0),NA())</f>
        <v>#N/A</v>
      </c>
      <c r="AA85" t="e">
        <f>_xlfn.IFNA(51-MATCH(Songs!$A85,Data!W$2:W$51,0),NA())</f>
        <v>#N/A</v>
      </c>
      <c r="AB85" t="e">
        <f>_xlfn.IFNA(51-MATCH(Songs!$A85,Data!X$2:X$51,0),NA())</f>
        <v>#N/A</v>
      </c>
      <c r="AC85" t="e">
        <f>_xlfn.IFNA(51-MATCH(Songs!$A85,Data!Y$2:Y$51,0),NA())</f>
        <v>#N/A</v>
      </c>
      <c r="AD85" t="e">
        <f>_xlfn.IFNA(51-MATCH(Songs!$A85,Data!Z$2:Z$51,0),NA())</f>
        <v>#N/A</v>
      </c>
      <c r="AE85" t="e">
        <f>_xlfn.IFNA(51-MATCH(Songs!$A85,Data!AA$2:AA$51,0),NA())</f>
        <v>#N/A</v>
      </c>
      <c r="AF85" t="e">
        <f>_xlfn.IFNA(51-MATCH(Songs!$A85,Data!AB$2:AB$51,0),NA())</f>
        <v>#N/A</v>
      </c>
      <c r="AG85" t="e">
        <f>_xlfn.IFNA(51-MATCH(Songs!$A85,Data!AC$2:AC$51,0),NA())</f>
        <v>#N/A</v>
      </c>
      <c r="AH85" t="e">
        <f>_xlfn.IFNA(51-MATCH(Songs!$A85,Data!AD$2:AD$51,0),NA())</f>
        <v>#N/A</v>
      </c>
      <c r="AI85" t="e">
        <f>_xlfn.IFNA(51-MATCH(Songs!$A85,Data!AE$2:AE$51,0),NA())</f>
        <v>#N/A</v>
      </c>
    </row>
    <row r="86" spans="1:35" ht="15.75" customHeight="1" x14ac:dyDescent="0.25">
      <c r="A86" s="6" t="s">
        <v>180</v>
      </c>
      <c r="B86" s="2" t="s">
        <v>104</v>
      </c>
      <c r="F86" s="6">
        <v>0</v>
      </c>
      <c r="G86" s="2">
        <f ca="1">COUNTIF(INDIRECT(_xlfn.CONCAT("Data!$B$2:", ADDRESS(51,COUNTA(Data!$1:$1)+1,1,1))), Songs!A86) + F86</f>
        <v>1</v>
      </c>
      <c r="H86" s="8"/>
      <c r="I86" s="8"/>
      <c r="J86" s="8" cm="1">
        <f t="array" ref="J86">51 - MAX(IF(NOT(ISNA(K86:BB86)),K86:BB86))</f>
        <v>50</v>
      </c>
      <c r="K86" t="e">
        <f>_xlfn.IFNA(51-MATCH(Songs!$A86,Data!G$2:G$51,0),NA())</f>
        <v>#N/A</v>
      </c>
      <c r="L86" t="e">
        <f>_xlfn.IFNA(51-MATCH(Songs!$A86,Data!H$2:H$51,0),NA())</f>
        <v>#N/A</v>
      </c>
      <c r="M86" t="e">
        <f>_xlfn.IFNA(51-MATCH(Songs!$A86,Data!I$2:I$51,0),NA())</f>
        <v>#N/A</v>
      </c>
      <c r="N86" t="e">
        <f>_xlfn.IFNA(51-MATCH(Songs!$A86,Data!J$2:J$51,0),NA())</f>
        <v>#N/A</v>
      </c>
      <c r="O86" t="e">
        <f>_xlfn.IFNA(51-MATCH(Songs!$A86,Data!K$2:K$51,0),NA())</f>
        <v>#N/A</v>
      </c>
      <c r="P86">
        <f>_xlfn.IFNA(51-MATCH(Songs!$A86,Data!L$2:L$51,0),NA())</f>
        <v>1</v>
      </c>
      <c r="Q86" t="e">
        <f>_xlfn.IFNA(51-MATCH(Songs!$A86,Data!M$2:M$51,0),NA())</f>
        <v>#N/A</v>
      </c>
      <c r="R86" t="e">
        <f>_xlfn.IFNA(51-MATCH(Songs!$A86,Data!N$2:N$51,0),NA())</f>
        <v>#N/A</v>
      </c>
      <c r="S86" t="e">
        <f>_xlfn.IFNA(51-MATCH(Songs!$A86,Data!O$2:O$51,0),NA())</f>
        <v>#N/A</v>
      </c>
      <c r="T86" t="e">
        <f>_xlfn.IFNA(51-MATCH(Songs!$A86,Data!P$2:P$51,0),NA())</f>
        <v>#N/A</v>
      </c>
      <c r="U86" t="e">
        <f>_xlfn.IFNA(51-MATCH(Songs!$A86,Data!Q$2:Q$51,0),NA())</f>
        <v>#N/A</v>
      </c>
      <c r="V86" t="e">
        <f>_xlfn.IFNA(51-MATCH(Songs!$A86,Data!R$2:R$51,0),NA())</f>
        <v>#N/A</v>
      </c>
      <c r="W86" t="e">
        <f>_xlfn.IFNA(51-MATCH(Songs!$A86,Data!S$2:S$51,0),NA())</f>
        <v>#N/A</v>
      </c>
      <c r="X86" t="e">
        <f>_xlfn.IFNA(51-MATCH(Songs!$A86,Data!T$2:T$51,0),NA())</f>
        <v>#N/A</v>
      </c>
      <c r="Y86" t="e">
        <f>_xlfn.IFNA(51-MATCH(Songs!$A86,Data!U$2:U$51,0),NA())</f>
        <v>#N/A</v>
      </c>
      <c r="Z86" t="e">
        <f>_xlfn.IFNA(51-MATCH(Songs!$A86,Data!V$2:V$51,0),NA())</f>
        <v>#N/A</v>
      </c>
      <c r="AA86" t="e">
        <f>_xlfn.IFNA(51-MATCH(Songs!$A86,Data!W$2:W$51,0),NA())</f>
        <v>#N/A</v>
      </c>
      <c r="AB86" t="e">
        <f>_xlfn.IFNA(51-MATCH(Songs!$A86,Data!X$2:X$51,0),NA())</f>
        <v>#N/A</v>
      </c>
      <c r="AC86" t="e">
        <f>_xlfn.IFNA(51-MATCH(Songs!$A86,Data!Y$2:Y$51,0),NA())</f>
        <v>#N/A</v>
      </c>
      <c r="AD86" t="e">
        <f>_xlfn.IFNA(51-MATCH(Songs!$A86,Data!Z$2:Z$51,0),NA())</f>
        <v>#N/A</v>
      </c>
      <c r="AE86" t="e">
        <f>_xlfn.IFNA(51-MATCH(Songs!$A86,Data!AA$2:AA$51,0),NA())</f>
        <v>#N/A</v>
      </c>
      <c r="AF86" t="e">
        <f>_xlfn.IFNA(51-MATCH(Songs!$A86,Data!AB$2:AB$51,0),NA())</f>
        <v>#N/A</v>
      </c>
      <c r="AG86" t="e">
        <f>_xlfn.IFNA(51-MATCH(Songs!$A86,Data!AC$2:AC$51,0),NA())</f>
        <v>#N/A</v>
      </c>
      <c r="AH86" t="e">
        <f>_xlfn.IFNA(51-MATCH(Songs!$A86,Data!AD$2:AD$51,0),NA())</f>
        <v>#N/A</v>
      </c>
      <c r="AI86" t="e">
        <f>_xlfn.IFNA(51-MATCH(Songs!$A86,Data!AE$2:AE$51,0),NA())</f>
        <v>#N/A</v>
      </c>
    </row>
    <row r="87" spans="1:35" ht="15.75" customHeight="1" x14ac:dyDescent="0.25">
      <c r="A87" s="6" t="s">
        <v>184</v>
      </c>
      <c r="B87" s="2" t="s">
        <v>121</v>
      </c>
      <c r="C87" t="s">
        <v>208</v>
      </c>
      <c r="F87" s="6">
        <v>0</v>
      </c>
      <c r="G87" s="2">
        <f ca="1">COUNTIF(INDIRECT(_xlfn.CONCAT("Data!$B$2:", ADDRESS(51,COUNTA(Data!$1:$1)+1,1,1))), Songs!A87) + F87</f>
        <v>11</v>
      </c>
      <c r="H87" s="8"/>
      <c r="I87" s="8"/>
      <c r="J87" s="8" cm="1">
        <f t="array" ref="J87">51 - MAX(IF(NOT(ISNA(K87:BB87)),K87:BB87))</f>
        <v>2</v>
      </c>
      <c r="K87" t="e">
        <f>_xlfn.IFNA(51-MATCH(Songs!$A87,Data!G$2:G$51,0),NA())</f>
        <v>#N/A</v>
      </c>
      <c r="L87" t="e">
        <f>_xlfn.IFNA(51-MATCH(Songs!$A87,Data!H$2:H$51,0),NA())</f>
        <v>#N/A</v>
      </c>
      <c r="M87" t="e">
        <f>_xlfn.IFNA(51-MATCH(Songs!$A87,Data!I$2:I$51,0),NA())</f>
        <v>#N/A</v>
      </c>
      <c r="N87" t="e">
        <f>_xlfn.IFNA(51-MATCH(Songs!$A87,Data!J$2:J$51,0),NA())</f>
        <v>#N/A</v>
      </c>
      <c r="O87" t="e">
        <f>_xlfn.IFNA(51-MATCH(Songs!$A87,Data!K$2:K$51,0),NA())</f>
        <v>#N/A</v>
      </c>
      <c r="P87" t="e">
        <f>_xlfn.IFNA(51-MATCH(Songs!$A87,Data!L$2:L$51,0),NA())</f>
        <v>#N/A</v>
      </c>
      <c r="Q87">
        <f>_xlfn.IFNA(51-MATCH(Songs!$A87,Data!M$2:M$51,0),NA())</f>
        <v>49</v>
      </c>
      <c r="R87">
        <f>_xlfn.IFNA(51-MATCH(Songs!$A87,Data!N$2:N$51,0),NA())</f>
        <v>47</v>
      </c>
      <c r="S87">
        <f>_xlfn.IFNA(51-MATCH(Songs!$A87,Data!O$2:O$51,0),NA())</f>
        <v>42</v>
      </c>
      <c r="T87">
        <f>_xlfn.IFNA(51-MATCH(Songs!$A87,Data!P$2:P$51,0),NA())</f>
        <v>38</v>
      </c>
      <c r="U87">
        <f>_xlfn.IFNA(51-MATCH(Songs!$A87,Data!Q$2:Q$51,0),NA())</f>
        <v>37</v>
      </c>
      <c r="V87">
        <f>_xlfn.IFNA(51-MATCH(Songs!$A87,Data!R$2:R$51,0),NA())</f>
        <v>32</v>
      </c>
      <c r="W87">
        <f>_xlfn.IFNA(51-MATCH(Songs!$A87,Data!S$2:S$51,0),NA())</f>
        <v>26</v>
      </c>
      <c r="X87">
        <f>_xlfn.IFNA(51-MATCH(Songs!$A87,Data!T$2:T$51,0),NA())</f>
        <v>25</v>
      </c>
      <c r="Y87">
        <f>_xlfn.IFNA(51-MATCH(Songs!$A87,Data!U$2:U$51,0),NA())</f>
        <v>24</v>
      </c>
      <c r="Z87">
        <f>_xlfn.IFNA(51-MATCH(Songs!$A87,Data!V$2:V$51,0),NA())</f>
        <v>20</v>
      </c>
      <c r="AA87">
        <f>_xlfn.IFNA(51-MATCH(Songs!$A87,Data!W$2:W$51,0),NA())</f>
        <v>9</v>
      </c>
      <c r="AB87" t="e">
        <f>_xlfn.IFNA(51-MATCH(Songs!$A87,Data!X$2:X$51,0),NA())</f>
        <v>#N/A</v>
      </c>
      <c r="AC87" t="e">
        <f>_xlfn.IFNA(51-MATCH(Songs!$A87,Data!Y$2:Y$51,0),NA())</f>
        <v>#N/A</v>
      </c>
      <c r="AD87" t="e">
        <f>_xlfn.IFNA(51-MATCH(Songs!$A87,Data!Z$2:Z$51,0),NA())</f>
        <v>#N/A</v>
      </c>
      <c r="AE87" t="e">
        <f>_xlfn.IFNA(51-MATCH(Songs!$A87,Data!AA$2:AA$51,0),NA())</f>
        <v>#N/A</v>
      </c>
      <c r="AF87" t="e">
        <f>_xlfn.IFNA(51-MATCH(Songs!$A87,Data!AB$2:AB$51,0),NA())</f>
        <v>#N/A</v>
      </c>
      <c r="AG87" t="e">
        <f>_xlfn.IFNA(51-MATCH(Songs!$A87,Data!AC$2:AC$51,0),NA())</f>
        <v>#N/A</v>
      </c>
      <c r="AH87" t="e">
        <f>_xlfn.IFNA(51-MATCH(Songs!$A87,Data!AD$2:AD$51,0),NA())</f>
        <v>#N/A</v>
      </c>
      <c r="AI87" t="e">
        <f>_xlfn.IFNA(51-MATCH(Songs!$A87,Data!AE$2:AE$51,0),NA())</f>
        <v>#N/A</v>
      </c>
    </row>
    <row r="88" spans="1:35" ht="15.75" customHeight="1" x14ac:dyDescent="0.25">
      <c r="A88" s="6" t="s">
        <v>185</v>
      </c>
      <c r="B88" s="2" t="s">
        <v>121</v>
      </c>
      <c r="E88" s="5">
        <v>45391</v>
      </c>
      <c r="F88" s="6">
        <v>0</v>
      </c>
      <c r="G88" s="2">
        <f ca="1">COUNTIF(INDIRECT(_xlfn.CONCAT("Data!$B$2:", ADDRESS(51,COUNTA(Data!$1:$1)+1,1,1))), Songs!A88) + F88</f>
        <v>7</v>
      </c>
      <c r="H88" s="8"/>
      <c r="I88" s="8"/>
      <c r="J88" s="8" cm="1">
        <f t="array" ref="J88">51 - MAX(IF(NOT(ISNA(K88:BB88)),K88:BB88))</f>
        <v>3</v>
      </c>
      <c r="K88" t="e">
        <f>_xlfn.IFNA(51-MATCH(Songs!$A88,Data!G$2:G$51,0),NA())</f>
        <v>#N/A</v>
      </c>
      <c r="L88" t="e">
        <f>_xlfn.IFNA(51-MATCH(Songs!$A88,Data!H$2:H$51,0),NA())</f>
        <v>#N/A</v>
      </c>
      <c r="M88" t="e">
        <f>_xlfn.IFNA(51-MATCH(Songs!$A88,Data!I$2:I$51,0),NA())</f>
        <v>#N/A</v>
      </c>
      <c r="N88" t="e">
        <f>_xlfn.IFNA(51-MATCH(Songs!$A88,Data!J$2:J$51,0),NA())</f>
        <v>#N/A</v>
      </c>
      <c r="O88" t="e">
        <f>_xlfn.IFNA(51-MATCH(Songs!$A88,Data!K$2:K$51,0),NA())</f>
        <v>#N/A</v>
      </c>
      <c r="P88" t="e">
        <f>_xlfn.IFNA(51-MATCH(Songs!$A88,Data!L$2:L$51,0),NA())</f>
        <v>#N/A</v>
      </c>
      <c r="Q88">
        <f>_xlfn.IFNA(51-MATCH(Songs!$A88,Data!M$2:M$51,0),NA())</f>
        <v>48</v>
      </c>
      <c r="R88">
        <f>_xlfn.IFNA(51-MATCH(Songs!$A88,Data!N$2:N$51,0),NA())</f>
        <v>41</v>
      </c>
      <c r="S88">
        <f>_xlfn.IFNA(51-MATCH(Songs!$A88,Data!O$2:O$51,0),NA())</f>
        <v>32</v>
      </c>
      <c r="T88">
        <f>_xlfn.IFNA(51-MATCH(Songs!$A88,Data!P$2:P$51,0),NA())</f>
        <v>25</v>
      </c>
      <c r="U88">
        <f>_xlfn.IFNA(51-MATCH(Songs!$A88,Data!Q$2:Q$51,0),NA())</f>
        <v>17</v>
      </c>
      <c r="V88">
        <f>_xlfn.IFNA(51-MATCH(Songs!$A88,Data!R$2:R$51,0),NA())</f>
        <v>6</v>
      </c>
      <c r="W88">
        <f>_xlfn.IFNA(51-MATCH(Songs!$A88,Data!S$2:S$51,0),NA())</f>
        <v>2</v>
      </c>
      <c r="X88" t="e">
        <f>_xlfn.IFNA(51-MATCH(Songs!$A88,Data!T$2:T$51,0),NA())</f>
        <v>#N/A</v>
      </c>
      <c r="Y88" t="e">
        <f>_xlfn.IFNA(51-MATCH(Songs!$A88,Data!U$2:U$51,0),NA())</f>
        <v>#N/A</v>
      </c>
      <c r="Z88" t="e">
        <f>_xlfn.IFNA(51-MATCH(Songs!$A88,Data!V$2:V$51,0),NA())</f>
        <v>#N/A</v>
      </c>
      <c r="AA88" t="e">
        <f>_xlfn.IFNA(51-MATCH(Songs!$A88,Data!W$2:W$51,0),NA())</f>
        <v>#N/A</v>
      </c>
      <c r="AB88" t="e">
        <f>_xlfn.IFNA(51-MATCH(Songs!$A88,Data!X$2:X$51,0),NA())</f>
        <v>#N/A</v>
      </c>
      <c r="AC88" t="e">
        <f>_xlfn.IFNA(51-MATCH(Songs!$A88,Data!Y$2:Y$51,0),NA())</f>
        <v>#N/A</v>
      </c>
      <c r="AD88" t="e">
        <f>_xlfn.IFNA(51-MATCH(Songs!$A88,Data!Z$2:Z$51,0),NA())</f>
        <v>#N/A</v>
      </c>
      <c r="AE88" t="e">
        <f>_xlfn.IFNA(51-MATCH(Songs!$A88,Data!AA$2:AA$51,0),NA())</f>
        <v>#N/A</v>
      </c>
      <c r="AF88" t="e">
        <f>_xlfn.IFNA(51-MATCH(Songs!$A88,Data!AB$2:AB$51,0),NA())</f>
        <v>#N/A</v>
      </c>
      <c r="AG88" t="e">
        <f>_xlfn.IFNA(51-MATCH(Songs!$A88,Data!AC$2:AC$51,0),NA())</f>
        <v>#N/A</v>
      </c>
      <c r="AH88" t="e">
        <f>_xlfn.IFNA(51-MATCH(Songs!$A88,Data!AD$2:AD$51,0),NA())</f>
        <v>#N/A</v>
      </c>
      <c r="AI88" t="e">
        <f>_xlfn.IFNA(51-MATCH(Songs!$A88,Data!AE$2:AE$51,0),NA())</f>
        <v>#N/A</v>
      </c>
    </row>
    <row r="89" spans="1:35" ht="15.75" customHeight="1" x14ac:dyDescent="0.25">
      <c r="A89" s="6" t="s">
        <v>186</v>
      </c>
      <c r="B89" s="2" t="s">
        <v>121</v>
      </c>
      <c r="C89" t="s">
        <v>209</v>
      </c>
      <c r="F89" s="6">
        <v>0</v>
      </c>
      <c r="G89" s="2">
        <f ca="1">COUNTIF(INDIRECT(_xlfn.CONCAT("Data!$B$2:", ADDRESS(51,COUNTA(Data!$1:$1)+1,1,1))), Songs!A89) + F89</f>
        <v>5</v>
      </c>
      <c r="H89" s="8"/>
      <c r="I89" s="8"/>
      <c r="J89" s="8" cm="1">
        <f t="array" ref="J89">51 - MAX(IF(NOT(ISNA(K89:BB89)),K89:BB89))</f>
        <v>5</v>
      </c>
      <c r="K89" t="e">
        <f>_xlfn.IFNA(51-MATCH(Songs!$A89,Data!G$2:G$51,0),NA())</f>
        <v>#N/A</v>
      </c>
      <c r="L89" t="e">
        <f>_xlfn.IFNA(51-MATCH(Songs!$A89,Data!H$2:H$51,0),NA())</f>
        <v>#N/A</v>
      </c>
      <c r="M89" t="e">
        <f>_xlfn.IFNA(51-MATCH(Songs!$A89,Data!I$2:I$51,0),NA())</f>
        <v>#N/A</v>
      </c>
      <c r="N89" t="e">
        <f>_xlfn.IFNA(51-MATCH(Songs!$A89,Data!J$2:J$51,0),NA())</f>
        <v>#N/A</v>
      </c>
      <c r="O89" t="e">
        <f>_xlfn.IFNA(51-MATCH(Songs!$A89,Data!K$2:K$51,0),NA())</f>
        <v>#N/A</v>
      </c>
      <c r="P89" t="e">
        <f>_xlfn.IFNA(51-MATCH(Songs!$A89,Data!L$2:L$51,0),NA())</f>
        <v>#N/A</v>
      </c>
      <c r="Q89">
        <f>_xlfn.IFNA(51-MATCH(Songs!$A89,Data!M$2:M$51,0),NA())</f>
        <v>46</v>
      </c>
      <c r="R89">
        <f>_xlfn.IFNA(51-MATCH(Songs!$A89,Data!N$2:N$51,0),NA())</f>
        <v>39</v>
      </c>
      <c r="S89">
        <f>_xlfn.IFNA(51-MATCH(Songs!$A89,Data!O$2:O$51,0),NA())</f>
        <v>27</v>
      </c>
      <c r="T89">
        <f>_xlfn.IFNA(51-MATCH(Songs!$A89,Data!P$2:P$51,0),NA())</f>
        <v>19</v>
      </c>
      <c r="U89">
        <f>_xlfn.IFNA(51-MATCH(Songs!$A89,Data!Q$2:Q$51,0),NA())</f>
        <v>13</v>
      </c>
      <c r="V89" t="e">
        <f>_xlfn.IFNA(51-MATCH(Songs!$A89,Data!R$2:R$51,0),NA())</f>
        <v>#N/A</v>
      </c>
      <c r="W89" t="e">
        <f>_xlfn.IFNA(51-MATCH(Songs!$A89,Data!S$2:S$51,0),NA())</f>
        <v>#N/A</v>
      </c>
      <c r="X89" t="e">
        <f>_xlfn.IFNA(51-MATCH(Songs!$A89,Data!T$2:T$51,0),NA())</f>
        <v>#N/A</v>
      </c>
      <c r="Y89" t="e">
        <f>_xlfn.IFNA(51-MATCH(Songs!$A89,Data!U$2:U$51,0),NA())</f>
        <v>#N/A</v>
      </c>
      <c r="Z89" t="e">
        <f>_xlfn.IFNA(51-MATCH(Songs!$A89,Data!V$2:V$51,0),NA())</f>
        <v>#N/A</v>
      </c>
      <c r="AA89" t="e">
        <f>_xlfn.IFNA(51-MATCH(Songs!$A89,Data!W$2:W$51,0),NA())</f>
        <v>#N/A</v>
      </c>
      <c r="AB89" t="e">
        <f>_xlfn.IFNA(51-MATCH(Songs!$A89,Data!X$2:X$51,0),NA())</f>
        <v>#N/A</v>
      </c>
      <c r="AC89" t="e">
        <f>_xlfn.IFNA(51-MATCH(Songs!$A89,Data!Y$2:Y$51,0),NA())</f>
        <v>#N/A</v>
      </c>
      <c r="AD89" t="e">
        <f>_xlfn.IFNA(51-MATCH(Songs!$A89,Data!Z$2:Z$51,0),NA())</f>
        <v>#N/A</v>
      </c>
      <c r="AE89" t="e">
        <f>_xlfn.IFNA(51-MATCH(Songs!$A89,Data!AA$2:AA$51,0),NA())</f>
        <v>#N/A</v>
      </c>
      <c r="AF89" t="e">
        <f>_xlfn.IFNA(51-MATCH(Songs!$A89,Data!AB$2:AB$51,0),NA())</f>
        <v>#N/A</v>
      </c>
      <c r="AG89" t="e">
        <f>_xlfn.IFNA(51-MATCH(Songs!$A89,Data!AC$2:AC$51,0),NA())</f>
        <v>#N/A</v>
      </c>
      <c r="AH89" t="e">
        <f>_xlfn.IFNA(51-MATCH(Songs!$A89,Data!AD$2:AD$51,0),NA())</f>
        <v>#N/A</v>
      </c>
      <c r="AI89" t="e">
        <f>_xlfn.IFNA(51-MATCH(Songs!$A89,Data!AE$2:AE$51,0),NA())</f>
        <v>#N/A</v>
      </c>
    </row>
    <row r="90" spans="1:35" ht="15.75" customHeight="1" x14ac:dyDescent="0.25">
      <c r="A90" s="6" t="s">
        <v>187</v>
      </c>
      <c r="B90" s="2" t="s">
        <v>121</v>
      </c>
      <c r="C90" t="s">
        <v>210</v>
      </c>
      <c r="F90" s="6">
        <v>0</v>
      </c>
      <c r="G90" s="2">
        <f ca="1">COUNTIF(INDIRECT(_xlfn.CONCAT("Data!$B$2:", ADDRESS(51,COUNTA(Data!$1:$1)+1,1,1))), Songs!A90) + F90</f>
        <v>5</v>
      </c>
      <c r="H90" s="8"/>
      <c r="I90" s="8"/>
      <c r="J90" s="8" cm="1">
        <f t="array" ref="J90">51 - MAX(IF(NOT(ISNA(K90:BB90)),K90:BB90))</f>
        <v>6</v>
      </c>
      <c r="K90" t="e">
        <f>_xlfn.IFNA(51-MATCH(Songs!$A90,Data!G$2:G$51,0),NA())</f>
        <v>#N/A</v>
      </c>
      <c r="L90" t="e">
        <f>_xlfn.IFNA(51-MATCH(Songs!$A90,Data!H$2:H$51,0),NA())</f>
        <v>#N/A</v>
      </c>
      <c r="M90" t="e">
        <f>_xlfn.IFNA(51-MATCH(Songs!$A90,Data!I$2:I$51,0),NA())</f>
        <v>#N/A</v>
      </c>
      <c r="N90" t="e">
        <f>_xlfn.IFNA(51-MATCH(Songs!$A90,Data!J$2:J$51,0),NA())</f>
        <v>#N/A</v>
      </c>
      <c r="O90" t="e">
        <f>_xlfn.IFNA(51-MATCH(Songs!$A90,Data!K$2:K$51,0),NA())</f>
        <v>#N/A</v>
      </c>
      <c r="P90" t="e">
        <f>_xlfn.IFNA(51-MATCH(Songs!$A90,Data!L$2:L$51,0),NA())</f>
        <v>#N/A</v>
      </c>
      <c r="Q90">
        <f>_xlfn.IFNA(51-MATCH(Songs!$A90,Data!M$2:M$51,0),NA())</f>
        <v>45</v>
      </c>
      <c r="R90">
        <f>_xlfn.IFNA(51-MATCH(Songs!$A90,Data!N$2:N$51,0),NA())</f>
        <v>30</v>
      </c>
      <c r="S90">
        <f>_xlfn.IFNA(51-MATCH(Songs!$A90,Data!O$2:O$51,0),NA())</f>
        <v>16</v>
      </c>
      <c r="T90">
        <f>_xlfn.IFNA(51-MATCH(Songs!$A90,Data!P$2:P$51,0),NA())</f>
        <v>5</v>
      </c>
      <c r="U90">
        <f>_xlfn.IFNA(51-MATCH(Songs!$A90,Data!Q$2:Q$51,0),NA())</f>
        <v>3</v>
      </c>
      <c r="V90" t="e">
        <f>_xlfn.IFNA(51-MATCH(Songs!$A90,Data!R$2:R$51,0),NA())</f>
        <v>#N/A</v>
      </c>
      <c r="W90" t="e">
        <f>_xlfn.IFNA(51-MATCH(Songs!$A90,Data!S$2:S$51,0),NA())</f>
        <v>#N/A</v>
      </c>
      <c r="X90" t="e">
        <f>_xlfn.IFNA(51-MATCH(Songs!$A90,Data!T$2:T$51,0),NA())</f>
        <v>#N/A</v>
      </c>
      <c r="Y90" t="e">
        <f>_xlfn.IFNA(51-MATCH(Songs!$A90,Data!U$2:U$51,0),NA())</f>
        <v>#N/A</v>
      </c>
      <c r="Z90" t="e">
        <f>_xlfn.IFNA(51-MATCH(Songs!$A90,Data!V$2:V$51,0),NA())</f>
        <v>#N/A</v>
      </c>
      <c r="AA90" t="e">
        <f>_xlfn.IFNA(51-MATCH(Songs!$A90,Data!W$2:W$51,0),NA())</f>
        <v>#N/A</v>
      </c>
      <c r="AB90" t="e">
        <f>_xlfn.IFNA(51-MATCH(Songs!$A90,Data!X$2:X$51,0),NA())</f>
        <v>#N/A</v>
      </c>
      <c r="AC90" t="e">
        <f>_xlfn.IFNA(51-MATCH(Songs!$A90,Data!Y$2:Y$51,0),NA())</f>
        <v>#N/A</v>
      </c>
      <c r="AD90" t="e">
        <f>_xlfn.IFNA(51-MATCH(Songs!$A90,Data!Z$2:Z$51,0),NA())</f>
        <v>#N/A</v>
      </c>
      <c r="AE90" t="e">
        <f>_xlfn.IFNA(51-MATCH(Songs!$A90,Data!AA$2:AA$51,0),NA())</f>
        <v>#N/A</v>
      </c>
      <c r="AF90" t="e">
        <f>_xlfn.IFNA(51-MATCH(Songs!$A90,Data!AB$2:AB$51,0),NA())</f>
        <v>#N/A</v>
      </c>
      <c r="AG90" t="e">
        <f>_xlfn.IFNA(51-MATCH(Songs!$A90,Data!AC$2:AC$51,0),NA())</f>
        <v>#N/A</v>
      </c>
      <c r="AH90" t="e">
        <f>_xlfn.IFNA(51-MATCH(Songs!$A90,Data!AD$2:AD$51,0),NA())</f>
        <v>#N/A</v>
      </c>
      <c r="AI90" t="e">
        <f>_xlfn.IFNA(51-MATCH(Songs!$A90,Data!AE$2:AE$51,0),NA())</f>
        <v>#N/A</v>
      </c>
    </row>
    <row r="91" spans="1:35" ht="15.75" customHeight="1" x14ac:dyDescent="0.25">
      <c r="A91" s="6" t="s">
        <v>188</v>
      </c>
      <c r="B91" s="2" t="s">
        <v>121</v>
      </c>
      <c r="F91" s="6">
        <v>0</v>
      </c>
      <c r="G91" s="2">
        <f ca="1">COUNTIF(INDIRECT(_xlfn.CONCAT("Data!$B$2:", ADDRESS(51,COUNTA(Data!$1:$1)+1,1,1))), Songs!A91) + F91</f>
        <v>2</v>
      </c>
      <c r="H91" s="8"/>
      <c r="I91" s="8"/>
      <c r="J91" s="8" cm="1">
        <f t="array" ref="J91">51 - MAX(IF(NOT(ISNA(K91:BB91)),K91:BB91))</f>
        <v>7</v>
      </c>
      <c r="K91" t="e">
        <f>_xlfn.IFNA(51-MATCH(Songs!$A91,Data!G$2:G$51,0),NA())</f>
        <v>#N/A</v>
      </c>
      <c r="L91" t="e">
        <f>_xlfn.IFNA(51-MATCH(Songs!$A91,Data!H$2:H$51,0),NA())</f>
        <v>#N/A</v>
      </c>
      <c r="M91" t="e">
        <f>_xlfn.IFNA(51-MATCH(Songs!$A91,Data!I$2:I$51,0),NA())</f>
        <v>#N/A</v>
      </c>
      <c r="N91" t="e">
        <f>_xlfn.IFNA(51-MATCH(Songs!$A91,Data!J$2:J$51,0),NA())</f>
        <v>#N/A</v>
      </c>
      <c r="O91" t="e">
        <f>_xlfn.IFNA(51-MATCH(Songs!$A91,Data!K$2:K$51,0),NA())</f>
        <v>#N/A</v>
      </c>
      <c r="P91" t="e">
        <f>_xlfn.IFNA(51-MATCH(Songs!$A91,Data!L$2:L$51,0),NA())</f>
        <v>#N/A</v>
      </c>
      <c r="Q91">
        <f>_xlfn.IFNA(51-MATCH(Songs!$A91,Data!M$2:M$51,0),NA())</f>
        <v>44</v>
      </c>
      <c r="R91">
        <f>_xlfn.IFNA(51-MATCH(Songs!$A91,Data!N$2:N$51,0),NA())</f>
        <v>18</v>
      </c>
      <c r="S91" t="e">
        <f>_xlfn.IFNA(51-MATCH(Songs!$A91,Data!O$2:O$51,0),NA())</f>
        <v>#N/A</v>
      </c>
      <c r="T91" t="e">
        <f>_xlfn.IFNA(51-MATCH(Songs!$A91,Data!P$2:P$51,0),NA())</f>
        <v>#N/A</v>
      </c>
      <c r="U91" t="e">
        <f>_xlfn.IFNA(51-MATCH(Songs!$A91,Data!Q$2:Q$51,0),NA())</f>
        <v>#N/A</v>
      </c>
      <c r="V91" t="e">
        <f>_xlfn.IFNA(51-MATCH(Songs!$A91,Data!R$2:R$51,0),NA())</f>
        <v>#N/A</v>
      </c>
      <c r="W91" t="e">
        <f>_xlfn.IFNA(51-MATCH(Songs!$A91,Data!S$2:S$51,0),NA())</f>
        <v>#N/A</v>
      </c>
      <c r="X91" t="e">
        <f>_xlfn.IFNA(51-MATCH(Songs!$A91,Data!T$2:T$51,0),NA())</f>
        <v>#N/A</v>
      </c>
      <c r="Y91" t="e">
        <f>_xlfn.IFNA(51-MATCH(Songs!$A91,Data!U$2:U$51,0),NA())</f>
        <v>#N/A</v>
      </c>
      <c r="Z91" t="e">
        <f>_xlfn.IFNA(51-MATCH(Songs!$A91,Data!V$2:V$51,0),NA())</f>
        <v>#N/A</v>
      </c>
      <c r="AA91" t="e">
        <f>_xlfn.IFNA(51-MATCH(Songs!$A91,Data!W$2:W$51,0),NA())</f>
        <v>#N/A</v>
      </c>
      <c r="AB91" t="e">
        <f>_xlfn.IFNA(51-MATCH(Songs!$A91,Data!X$2:X$51,0),NA())</f>
        <v>#N/A</v>
      </c>
      <c r="AC91" t="e">
        <f>_xlfn.IFNA(51-MATCH(Songs!$A91,Data!Y$2:Y$51,0),NA())</f>
        <v>#N/A</v>
      </c>
      <c r="AD91" t="e">
        <f>_xlfn.IFNA(51-MATCH(Songs!$A91,Data!Z$2:Z$51,0),NA())</f>
        <v>#N/A</v>
      </c>
      <c r="AE91" t="e">
        <f>_xlfn.IFNA(51-MATCH(Songs!$A91,Data!AA$2:AA$51,0),NA())</f>
        <v>#N/A</v>
      </c>
      <c r="AF91" t="e">
        <f>_xlfn.IFNA(51-MATCH(Songs!$A91,Data!AB$2:AB$51,0),NA())</f>
        <v>#N/A</v>
      </c>
      <c r="AG91" t="e">
        <f>_xlfn.IFNA(51-MATCH(Songs!$A91,Data!AC$2:AC$51,0),NA())</f>
        <v>#N/A</v>
      </c>
      <c r="AH91" t="e">
        <f>_xlfn.IFNA(51-MATCH(Songs!$A91,Data!AD$2:AD$51,0),NA())</f>
        <v>#N/A</v>
      </c>
      <c r="AI91" t="e">
        <f>_xlfn.IFNA(51-MATCH(Songs!$A91,Data!AE$2:AE$51,0),NA())</f>
        <v>#N/A</v>
      </c>
    </row>
    <row r="92" spans="1:35" ht="15.75" customHeight="1" x14ac:dyDescent="0.25">
      <c r="A92" s="6" t="s">
        <v>189</v>
      </c>
      <c r="B92" s="2" t="s">
        <v>121</v>
      </c>
      <c r="F92" s="6">
        <v>0</v>
      </c>
      <c r="G92" s="2">
        <f ca="1">COUNTIF(INDIRECT(_xlfn.CONCAT("Data!$B$2:", ADDRESS(51,COUNTA(Data!$1:$1)+1,1,1))), Songs!A92) + F92</f>
        <v>2</v>
      </c>
      <c r="H92" s="8"/>
      <c r="I92" s="8"/>
      <c r="J92" s="8" cm="1">
        <f t="array" ref="J92">51 - MAX(IF(NOT(ISNA(K92:BB92)),K92:BB92))</f>
        <v>9</v>
      </c>
      <c r="K92" t="e">
        <f>_xlfn.IFNA(51-MATCH(Songs!$A92,Data!G$2:G$51,0),NA())</f>
        <v>#N/A</v>
      </c>
      <c r="L92" t="e">
        <f>_xlfn.IFNA(51-MATCH(Songs!$A92,Data!H$2:H$51,0),NA())</f>
        <v>#N/A</v>
      </c>
      <c r="M92" t="e">
        <f>_xlfn.IFNA(51-MATCH(Songs!$A92,Data!I$2:I$51,0),NA())</f>
        <v>#N/A</v>
      </c>
      <c r="N92" t="e">
        <f>_xlfn.IFNA(51-MATCH(Songs!$A92,Data!J$2:J$51,0),NA())</f>
        <v>#N/A</v>
      </c>
      <c r="O92" t="e">
        <f>_xlfn.IFNA(51-MATCH(Songs!$A92,Data!K$2:K$51,0),NA())</f>
        <v>#N/A</v>
      </c>
      <c r="P92" t="e">
        <f>_xlfn.IFNA(51-MATCH(Songs!$A92,Data!L$2:L$51,0),NA())</f>
        <v>#N/A</v>
      </c>
      <c r="Q92">
        <f>_xlfn.IFNA(51-MATCH(Songs!$A92,Data!M$2:M$51,0),NA())</f>
        <v>42</v>
      </c>
      <c r="R92">
        <f>_xlfn.IFNA(51-MATCH(Songs!$A92,Data!N$2:N$51,0),NA())</f>
        <v>22</v>
      </c>
      <c r="S92" t="e">
        <f>_xlfn.IFNA(51-MATCH(Songs!$A92,Data!O$2:O$51,0),NA())</f>
        <v>#N/A</v>
      </c>
      <c r="T92" t="e">
        <f>_xlfn.IFNA(51-MATCH(Songs!$A92,Data!P$2:P$51,0),NA())</f>
        <v>#N/A</v>
      </c>
      <c r="U92" t="e">
        <f>_xlfn.IFNA(51-MATCH(Songs!$A92,Data!Q$2:Q$51,0),NA())</f>
        <v>#N/A</v>
      </c>
      <c r="V92" t="e">
        <f>_xlfn.IFNA(51-MATCH(Songs!$A92,Data!R$2:R$51,0),NA())</f>
        <v>#N/A</v>
      </c>
      <c r="W92" t="e">
        <f>_xlfn.IFNA(51-MATCH(Songs!$A92,Data!S$2:S$51,0),NA())</f>
        <v>#N/A</v>
      </c>
      <c r="X92" t="e">
        <f>_xlfn.IFNA(51-MATCH(Songs!$A92,Data!T$2:T$51,0),NA())</f>
        <v>#N/A</v>
      </c>
      <c r="Y92" t="e">
        <f>_xlfn.IFNA(51-MATCH(Songs!$A92,Data!U$2:U$51,0),NA())</f>
        <v>#N/A</v>
      </c>
      <c r="Z92" t="e">
        <f>_xlfn.IFNA(51-MATCH(Songs!$A92,Data!V$2:V$51,0),NA())</f>
        <v>#N/A</v>
      </c>
      <c r="AA92" t="e">
        <f>_xlfn.IFNA(51-MATCH(Songs!$A92,Data!W$2:W$51,0),NA())</f>
        <v>#N/A</v>
      </c>
      <c r="AB92" t="e">
        <f>_xlfn.IFNA(51-MATCH(Songs!$A92,Data!X$2:X$51,0),NA())</f>
        <v>#N/A</v>
      </c>
      <c r="AC92" t="e">
        <f>_xlfn.IFNA(51-MATCH(Songs!$A92,Data!Y$2:Y$51,0),NA())</f>
        <v>#N/A</v>
      </c>
      <c r="AD92" t="e">
        <f>_xlfn.IFNA(51-MATCH(Songs!$A92,Data!Z$2:Z$51,0),NA())</f>
        <v>#N/A</v>
      </c>
      <c r="AE92" t="e">
        <f>_xlfn.IFNA(51-MATCH(Songs!$A92,Data!AA$2:AA$51,0),NA())</f>
        <v>#N/A</v>
      </c>
      <c r="AF92" t="e">
        <f>_xlfn.IFNA(51-MATCH(Songs!$A92,Data!AB$2:AB$51,0),NA())</f>
        <v>#N/A</v>
      </c>
      <c r="AG92" t="e">
        <f>_xlfn.IFNA(51-MATCH(Songs!$A92,Data!AC$2:AC$51,0),NA())</f>
        <v>#N/A</v>
      </c>
      <c r="AH92" t="e">
        <f>_xlfn.IFNA(51-MATCH(Songs!$A92,Data!AD$2:AD$51,0),NA())</f>
        <v>#N/A</v>
      </c>
      <c r="AI92" t="e">
        <f>_xlfn.IFNA(51-MATCH(Songs!$A92,Data!AE$2:AE$51,0),NA())</f>
        <v>#N/A</v>
      </c>
    </row>
    <row r="93" spans="1:35" ht="15.75" customHeight="1" x14ac:dyDescent="0.25">
      <c r="A93" s="6" t="s">
        <v>190</v>
      </c>
      <c r="B93" s="2" t="s">
        <v>121</v>
      </c>
      <c r="C93" t="s">
        <v>211</v>
      </c>
      <c r="F93" s="6">
        <v>0</v>
      </c>
      <c r="G93" s="2">
        <f ca="1">COUNTIF(INDIRECT(_xlfn.CONCAT("Data!$B$2:", ADDRESS(51,COUNTA(Data!$1:$1)+1,1,1))), Songs!A93) + F93</f>
        <v>2</v>
      </c>
      <c r="H93" s="8"/>
      <c r="I93" s="8"/>
      <c r="J93" s="8" cm="1">
        <f t="array" ref="J93">51 - MAX(IF(NOT(ISNA(K93:BB93)),K93:BB93))</f>
        <v>11</v>
      </c>
      <c r="K93" t="e">
        <f>_xlfn.IFNA(51-MATCH(Songs!$A93,Data!G$2:G$51,0),NA())</f>
        <v>#N/A</v>
      </c>
      <c r="L93" t="e">
        <f>_xlfn.IFNA(51-MATCH(Songs!$A93,Data!H$2:H$51,0),NA())</f>
        <v>#N/A</v>
      </c>
      <c r="M93" t="e">
        <f>_xlfn.IFNA(51-MATCH(Songs!$A93,Data!I$2:I$51,0),NA())</f>
        <v>#N/A</v>
      </c>
      <c r="N93" t="e">
        <f>_xlfn.IFNA(51-MATCH(Songs!$A93,Data!J$2:J$51,0),NA())</f>
        <v>#N/A</v>
      </c>
      <c r="O93" t="e">
        <f>_xlfn.IFNA(51-MATCH(Songs!$A93,Data!K$2:K$51,0),NA())</f>
        <v>#N/A</v>
      </c>
      <c r="P93" t="e">
        <f>_xlfn.IFNA(51-MATCH(Songs!$A93,Data!L$2:L$51,0),NA())</f>
        <v>#N/A</v>
      </c>
      <c r="Q93">
        <f>_xlfn.IFNA(51-MATCH(Songs!$A93,Data!M$2:M$51,0),NA())</f>
        <v>40</v>
      </c>
      <c r="R93">
        <f>_xlfn.IFNA(51-MATCH(Songs!$A93,Data!N$2:N$51,0),NA())</f>
        <v>15</v>
      </c>
      <c r="S93" t="e">
        <f>_xlfn.IFNA(51-MATCH(Songs!$A93,Data!O$2:O$51,0),NA())</f>
        <v>#N/A</v>
      </c>
      <c r="T93" t="e">
        <f>_xlfn.IFNA(51-MATCH(Songs!$A93,Data!P$2:P$51,0),NA())</f>
        <v>#N/A</v>
      </c>
      <c r="U93" t="e">
        <f>_xlfn.IFNA(51-MATCH(Songs!$A93,Data!Q$2:Q$51,0),NA())</f>
        <v>#N/A</v>
      </c>
      <c r="V93" t="e">
        <f>_xlfn.IFNA(51-MATCH(Songs!$A93,Data!R$2:R$51,0),NA())</f>
        <v>#N/A</v>
      </c>
      <c r="W93" t="e">
        <f>_xlfn.IFNA(51-MATCH(Songs!$A93,Data!S$2:S$51,0),NA())</f>
        <v>#N/A</v>
      </c>
      <c r="X93" t="e">
        <f>_xlfn.IFNA(51-MATCH(Songs!$A93,Data!T$2:T$51,0),NA())</f>
        <v>#N/A</v>
      </c>
      <c r="Y93" t="e">
        <f>_xlfn.IFNA(51-MATCH(Songs!$A93,Data!U$2:U$51,0),NA())</f>
        <v>#N/A</v>
      </c>
      <c r="Z93" t="e">
        <f>_xlfn.IFNA(51-MATCH(Songs!$A93,Data!V$2:V$51,0),NA())</f>
        <v>#N/A</v>
      </c>
      <c r="AA93" t="e">
        <f>_xlfn.IFNA(51-MATCH(Songs!$A93,Data!W$2:W$51,0),NA())</f>
        <v>#N/A</v>
      </c>
      <c r="AB93" t="e">
        <f>_xlfn.IFNA(51-MATCH(Songs!$A93,Data!X$2:X$51,0),NA())</f>
        <v>#N/A</v>
      </c>
      <c r="AC93" t="e">
        <f>_xlfn.IFNA(51-MATCH(Songs!$A93,Data!Y$2:Y$51,0),NA())</f>
        <v>#N/A</v>
      </c>
      <c r="AD93" t="e">
        <f>_xlfn.IFNA(51-MATCH(Songs!$A93,Data!Z$2:Z$51,0),NA())</f>
        <v>#N/A</v>
      </c>
      <c r="AE93" t="e">
        <f>_xlfn.IFNA(51-MATCH(Songs!$A93,Data!AA$2:AA$51,0),NA())</f>
        <v>#N/A</v>
      </c>
      <c r="AF93" t="e">
        <f>_xlfn.IFNA(51-MATCH(Songs!$A93,Data!AB$2:AB$51,0),NA())</f>
        <v>#N/A</v>
      </c>
      <c r="AG93" t="e">
        <f>_xlfn.IFNA(51-MATCH(Songs!$A93,Data!AC$2:AC$51,0),NA())</f>
        <v>#N/A</v>
      </c>
      <c r="AH93" t="e">
        <f>_xlfn.IFNA(51-MATCH(Songs!$A93,Data!AD$2:AD$51,0),NA())</f>
        <v>#N/A</v>
      </c>
      <c r="AI93" t="e">
        <f>_xlfn.IFNA(51-MATCH(Songs!$A93,Data!AE$2:AE$51,0),NA())</f>
        <v>#N/A</v>
      </c>
    </row>
    <row r="94" spans="1:35" ht="15.75" customHeight="1" x14ac:dyDescent="0.25">
      <c r="A94" s="6" t="s">
        <v>191</v>
      </c>
      <c r="B94" s="2" t="s">
        <v>121</v>
      </c>
      <c r="C94" t="s">
        <v>212</v>
      </c>
      <c r="F94" s="6">
        <v>0</v>
      </c>
      <c r="G94" s="2">
        <f ca="1">COUNTIF(INDIRECT(_xlfn.CONCAT("Data!$B$2:", ADDRESS(51,COUNTA(Data!$1:$1)+1,1,1))), Songs!A94) + F94</f>
        <v>5</v>
      </c>
      <c r="H94" s="8"/>
      <c r="I94" s="8"/>
      <c r="J94" s="8" cm="1">
        <f t="array" ref="J94">51 - MAX(IF(NOT(ISNA(K94:BB94)),K94:BB94))</f>
        <v>12</v>
      </c>
      <c r="K94" t="e">
        <f>_xlfn.IFNA(51-MATCH(Songs!$A94,Data!G$2:G$51,0),NA())</f>
        <v>#N/A</v>
      </c>
      <c r="L94" t="e">
        <f>_xlfn.IFNA(51-MATCH(Songs!$A94,Data!H$2:H$51,0),NA())</f>
        <v>#N/A</v>
      </c>
      <c r="M94" t="e">
        <f>_xlfn.IFNA(51-MATCH(Songs!$A94,Data!I$2:I$51,0),NA())</f>
        <v>#N/A</v>
      </c>
      <c r="N94" t="e">
        <f>_xlfn.IFNA(51-MATCH(Songs!$A94,Data!J$2:J$51,0),NA())</f>
        <v>#N/A</v>
      </c>
      <c r="O94" t="e">
        <f>_xlfn.IFNA(51-MATCH(Songs!$A94,Data!K$2:K$51,0),NA())</f>
        <v>#N/A</v>
      </c>
      <c r="P94" t="e">
        <f>_xlfn.IFNA(51-MATCH(Songs!$A94,Data!L$2:L$51,0),NA())</f>
        <v>#N/A</v>
      </c>
      <c r="Q94">
        <f>_xlfn.IFNA(51-MATCH(Songs!$A94,Data!M$2:M$51,0),NA())</f>
        <v>39</v>
      </c>
      <c r="R94">
        <f>_xlfn.IFNA(51-MATCH(Songs!$A94,Data!N$2:N$51,0),NA())</f>
        <v>31</v>
      </c>
      <c r="S94">
        <f>_xlfn.IFNA(51-MATCH(Songs!$A94,Data!O$2:O$51,0),NA())</f>
        <v>18</v>
      </c>
      <c r="T94">
        <f>_xlfn.IFNA(51-MATCH(Songs!$A94,Data!P$2:P$51,0),NA())</f>
        <v>12</v>
      </c>
      <c r="U94">
        <f>_xlfn.IFNA(51-MATCH(Songs!$A94,Data!Q$2:Q$51,0),NA())</f>
        <v>4</v>
      </c>
      <c r="V94" t="e">
        <f>_xlfn.IFNA(51-MATCH(Songs!$A94,Data!R$2:R$51,0),NA())</f>
        <v>#N/A</v>
      </c>
      <c r="W94" t="e">
        <f>_xlfn.IFNA(51-MATCH(Songs!$A94,Data!S$2:S$51,0),NA())</f>
        <v>#N/A</v>
      </c>
      <c r="X94" t="e">
        <f>_xlfn.IFNA(51-MATCH(Songs!$A94,Data!T$2:T$51,0),NA())</f>
        <v>#N/A</v>
      </c>
      <c r="Y94" t="e">
        <f>_xlfn.IFNA(51-MATCH(Songs!$A94,Data!U$2:U$51,0),NA())</f>
        <v>#N/A</v>
      </c>
      <c r="Z94" t="e">
        <f>_xlfn.IFNA(51-MATCH(Songs!$A94,Data!V$2:V$51,0),NA())</f>
        <v>#N/A</v>
      </c>
      <c r="AA94" t="e">
        <f>_xlfn.IFNA(51-MATCH(Songs!$A94,Data!W$2:W$51,0),NA())</f>
        <v>#N/A</v>
      </c>
      <c r="AB94" t="e">
        <f>_xlfn.IFNA(51-MATCH(Songs!$A94,Data!X$2:X$51,0),NA())</f>
        <v>#N/A</v>
      </c>
      <c r="AC94" t="e">
        <f>_xlfn.IFNA(51-MATCH(Songs!$A94,Data!Y$2:Y$51,0),NA())</f>
        <v>#N/A</v>
      </c>
      <c r="AD94" t="e">
        <f>_xlfn.IFNA(51-MATCH(Songs!$A94,Data!Z$2:Z$51,0),NA())</f>
        <v>#N/A</v>
      </c>
      <c r="AE94" t="e">
        <f>_xlfn.IFNA(51-MATCH(Songs!$A94,Data!AA$2:AA$51,0),NA())</f>
        <v>#N/A</v>
      </c>
      <c r="AF94" t="e">
        <f>_xlfn.IFNA(51-MATCH(Songs!$A94,Data!AB$2:AB$51,0),NA())</f>
        <v>#N/A</v>
      </c>
      <c r="AG94" t="e">
        <f>_xlfn.IFNA(51-MATCH(Songs!$A94,Data!AC$2:AC$51,0),NA())</f>
        <v>#N/A</v>
      </c>
      <c r="AH94" t="e">
        <f>_xlfn.IFNA(51-MATCH(Songs!$A94,Data!AD$2:AD$51,0),NA())</f>
        <v>#N/A</v>
      </c>
      <c r="AI94" t="e">
        <f>_xlfn.IFNA(51-MATCH(Songs!$A94,Data!AE$2:AE$51,0),NA())</f>
        <v>#N/A</v>
      </c>
    </row>
    <row r="95" spans="1:35" ht="15.75" customHeight="1" x14ac:dyDescent="0.25">
      <c r="A95" s="6" t="s">
        <v>192</v>
      </c>
      <c r="B95" s="2" t="s">
        <v>121</v>
      </c>
      <c r="F95" s="6">
        <v>0</v>
      </c>
      <c r="G95" s="2">
        <f ca="1">COUNTIF(INDIRECT(_xlfn.CONCAT("Data!$B$2:", ADDRESS(51,COUNTA(Data!$1:$1)+1,1,1))), Songs!A95) + F95</f>
        <v>3</v>
      </c>
      <c r="H95" s="8"/>
      <c r="I95" s="8"/>
      <c r="J95" s="8" cm="1">
        <f t="array" ref="J95">51 - MAX(IF(NOT(ISNA(K95:BB95)),K95:BB95))</f>
        <v>15</v>
      </c>
      <c r="K95" t="e">
        <f>_xlfn.IFNA(51-MATCH(Songs!$A95,Data!G$2:G$51,0),NA())</f>
        <v>#N/A</v>
      </c>
      <c r="L95" t="e">
        <f>_xlfn.IFNA(51-MATCH(Songs!$A95,Data!H$2:H$51,0),NA())</f>
        <v>#N/A</v>
      </c>
      <c r="M95" t="e">
        <f>_xlfn.IFNA(51-MATCH(Songs!$A95,Data!I$2:I$51,0),NA())</f>
        <v>#N/A</v>
      </c>
      <c r="N95" t="e">
        <f>_xlfn.IFNA(51-MATCH(Songs!$A95,Data!J$2:J$51,0),NA())</f>
        <v>#N/A</v>
      </c>
      <c r="O95" t="e">
        <f>_xlfn.IFNA(51-MATCH(Songs!$A95,Data!K$2:K$51,0),NA())</f>
        <v>#N/A</v>
      </c>
      <c r="P95" t="e">
        <f>_xlfn.IFNA(51-MATCH(Songs!$A95,Data!L$2:L$51,0),NA())</f>
        <v>#N/A</v>
      </c>
      <c r="Q95">
        <f>_xlfn.IFNA(51-MATCH(Songs!$A95,Data!M$2:M$51,0),NA())</f>
        <v>36</v>
      </c>
      <c r="R95">
        <f>_xlfn.IFNA(51-MATCH(Songs!$A95,Data!N$2:N$51,0),NA())</f>
        <v>20</v>
      </c>
      <c r="S95">
        <f>_xlfn.IFNA(51-MATCH(Songs!$A95,Data!O$2:O$51,0),NA())</f>
        <v>3</v>
      </c>
      <c r="T95" t="e">
        <f>_xlfn.IFNA(51-MATCH(Songs!$A95,Data!P$2:P$51,0),NA())</f>
        <v>#N/A</v>
      </c>
      <c r="U95" t="e">
        <f>_xlfn.IFNA(51-MATCH(Songs!$A95,Data!Q$2:Q$51,0),NA())</f>
        <v>#N/A</v>
      </c>
      <c r="V95" t="e">
        <f>_xlfn.IFNA(51-MATCH(Songs!$A95,Data!R$2:R$51,0),NA())</f>
        <v>#N/A</v>
      </c>
      <c r="W95" t="e">
        <f>_xlfn.IFNA(51-MATCH(Songs!$A95,Data!S$2:S$51,0),NA())</f>
        <v>#N/A</v>
      </c>
      <c r="X95" t="e">
        <f>_xlfn.IFNA(51-MATCH(Songs!$A95,Data!T$2:T$51,0),NA())</f>
        <v>#N/A</v>
      </c>
      <c r="Y95" t="e">
        <f>_xlfn.IFNA(51-MATCH(Songs!$A95,Data!U$2:U$51,0),NA())</f>
        <v>#N/A</v>
      </c>
      <c r="Z95" t="e">
        <f>_xlfn.IFNA(51-MATCH(Songs!$A95,Data!V$2:V$51,0),NA())</f>
        <v>#N/A</v>
      </c>
      <c r="AA95" t="e">
        <f>_xlfn.IFNA(51-MATCH(Songs!$A95,Data!W$2:W$51,0),NA())</f>
        <v>#N/A</v>
      </c>
      <c r="AB95" t="e">
        <f>_xlfn.IFNA(51-MATCH(Songs!$A95,Data!X$2:X$51,0),NA())</f>
        <v>#N/A</v>
      </c>
      <c r="AC95" t="e">
        <f>_xlfn.IFNA(51-MATCH(Songs!$A95,Data!Y$2:Y$51,0),NA())</f>
        <v>#N/A</v>
      </c>
      <c r="AD95" t="e">
        <f>_xlfn.IFNA(51-MATCH(Songs!$A95,Data!Z$2:Z$51,0),NA())</f>
        <v>#N/A</v>
      </c>
      <c r="AE95" t="e">
        <f>_xlfn.IFNA(51-MATCH(Songs!$A95,Data!AA$2:AA$51,0),NA())</f>
        <v>#N/A</v>
      </c>
      <c r="AF95" t="e">
        <f>_xlfn.IFNA(51-MATCH(Songs!$A95,Data!AB$2:AB$51,0),NA())</f>
        <v>#N/A</v>
      </c>
      <c r="AG95" t="e">
        <f>_xlfn.IFNA(51-MATCH(Songs!$A95,Data!AC$2:AC$51,0),NA())</f>
        <v>#N/A</v>
      </c>
      <c r="AH95" t="e">
        <f>_xlfn.IFNA(51-MATCH(Songs!$A95,Data!AD$2:AD$51,0),NA())</f>
        <v>#N/A</v>
      </c>
      <c r="AI95" t="e">
        <f>_xlfn.IFNA(51-MATCH(Songs!$A95,Data!AE$2:AE$51,0),NA())</f>
        <v>#N/A</v>
      </c>
    </row>
    <row r="96" spans="1:35" ht="15.75" customHeight="1" x14ac:dyDescent="0.25">
      <c r="A96" s="6" t="s">
        <v>193</v>
      </c>
      <c r="B96" s="2" t="s">
        <v>121</v>
      </c>
      <c r="F96" s="6">
        <v>0</v>
      </c>
      <c r="G96" s="2">
        <f ca="1">COUNTIF(INDIRECT(_xlfn.CONCAT("Data!$B$2:", ADDRESS(51,COUNTA(Data!$1:$1)+1,1,1))), Songs!A96) + F96</f>
        <v>2</v>
      </c>
      <c r="H96" s="8"/>
      <c r="I96" s="8"/>
      <c r="J96" s="8" cm="1">
        <f t="array" ref="J96">51 - MAX(IF(NOT(ISNA(K96:BB96)),K96:BB96))</f>
        <v>16</v>
      </c>
      <c r="K96" t="e">
        <f>_xlfn.IFNA(51-MATCH(Songs!$A96,Data!G$2:G$51,0),NA())</f>
        <v>#N/A</v>
      </c>
      <c r="L96" t="e">
        <f>_xlfn.IFNA(51-MATCH(Songs!$A96,Data!H$2:H$51,0),NA())</f>
        <v>#N/A</v>
      </c>
      <c r="M96" t="e">
        <f>_xlfn.IFNA(51-MATCH(Songs!$A96,Data!I$2:I$51,0),NA())</f>
        <v>#N/A</v>
      </c>
      <c r="N96" t="e">
        <f>_xlfn.IFNA(51-MATCH(Songs!$A96,Data!J$2:J$51,0),NA())</f>
        <v>#N/A</v>
      </c>
      <c r="O96" t="e">
        <f>_xlfn.IFNA(51-MATCH(Songs!$A96,Data!K$2:K$51,0),NA())</f>
        <v>#N/A</v>
      </c>
      <c r="P96" t="e">
        <f>_xlfn.IFNA(51-MATCH(Songs!$A96,Data!L$2:L$51,0),NA())</f>
        <v>#N/A</v>
      </c>
      <c r="Q96">
        <f>_xlfn.IFNA(51-MATCH(Songs!$A96,Data!M$2:M$51,0),NA())</f>
        <v>35</v>
      </c>
      <c r="R96">
        <f>_xlfn.IFNA(51-MATCH(Songs!$A96,Data!N$2:N$51,0),NA())</f>
        <v>10</v>
      </c>
      <c r="S96" t="e">
        <f>_xlfn.IFNA(51-MATCH(Songs!$A96,Data!O$2:O$51,0),NA())</f>
        <v>#N/A</v>
      </c>
      <c r="T96" t="e">
        <f>_xlfn.IFNA(51-MATCH(Songs!$A96,Data!P$2:P$51,0),NA())</f>
        <v>#N/A</v>
      </c>
      <c r="U96" t="e">
        <f>_xlfn.IFNA(51-MATCH(Songs!$A96,Data!Q$2:Q$51,0),NA())</f>
        <v>#N/A</v>
      </c>
      <c r="V96" t="e">
        <f>_xlfn.IFNA(51-MATCH(Songs!$A96,Data!R$2:R$51,0),NA())</f>
        <v>#N/A</v>
      </c>
      <c r="W96" t="e">
        <f>_xlfn.IFNA(51-MATCH(Songs!$A96,Data!S$2:S$51,0),NA())</f>
        <v>#N/A</v>
      </c>
      <c r="X96" t="e">
        <f>_xlfn.IFNA(51-MATCH(Songs!$A96,Data!T$2:T$51,0),NA())</f>
        <v>#N/A</v>
      </c>
      <c r="Y96" t="e">
        <f>_xlfn.IFNA(51-MATCH(Songs!$A96,Data!U$2:U$51,0),NA())</f>
        <v>#N/A</v>
      </c>
      <c r="Z96" t="e">
        <f>_xlfn.IFNA(51-MATCH(Songs!$A96,Data!V$2:V$51,0),NA())</f>
        <v>#N/A</v>
      </c>
      <c r="AA96" t="e">
        <f>_xlfn.IFNA(51-MATCH(Songs!$A96,Data!W$2:W$51,0),NA())</f>
        <v>#N/A</v>
      </c>
      <c r="AB96" t="e">
        <f>_xlfn.IFNA(51-MATCH(Songs!$A96,Data!X$2:X$51,0),NA())</f>
        <v>#N/A</v>
      </c>
      <c r="AC96" t="e">
        <f>_xlfn.IFNA(51-MATCH(Songs!$A96,Data!Y$2:Y$51,0),NA())</f>
        <v>#N/A</v>
      </c>
      <c r="AD96" t="e">
        <f>_xlfn.IFNA(51-MATCH(Songs!$A96,Data!Z$2:Z$51,0),NA())</f>
        <v>#N/A</v>
      </c>
      <c r="AE96" t="e">
        <f>_xlfn.IFNA(51-MATCH(Songs!$A96,Data!AA$2:AA$51,0),NA())</f>
        <v>#N/A</v>
      </c>
      <c r="AF96" t="e">
        <f>_xlfn.IFNA(51-MATCH(Songs!$A96,Data!AB$2:AB$51,0),NA())</f>
        <v>#N/A</v>
      </c>
      <c r="AG96" t="e">
        <f>_xlfn.IFNA(51-MATCH(Songs!$A96,Data!AC$2:AC$51,0),NA())</f>
        <v>#N/A</v>
      </c>
      <c r="AH96" t="e">
        <f>_xlfn.IFNA(51-MATCH(Songs!$A96,Data!AD$2:AD$51,0),NA())</f>
        <v>#N/A</v>
      </c>
      <c r="AI96" t="e">
        <f>_xlfn.IFNA(51-MATCH(Songs!$A96,Data!AE$2:AE$51,0),NA())</f>
        <v>#N/A</v>
      </c>
    </row>
    <row r="97" spans="1:35" ht="15.75" customHeight="1" x14ac:dyDescent="0.25">
      <c r="A97" s="6" t="s">
        <v>195</v>
      </c>
      <c r="B97" s="2" t="s">
        <v>121</v>
      </c>
      <c r="F97" s="6">
        <v>0</v>
      </c>
      <c r="G97" s="2">
        <f ca="1">COUNTIF(INDIRECT(_xlfn.CONCAT("Data!$B$2:", ADDRESS(51,COUNTA(Data!$1:$1)+1,1,1))), Songs!A97) + F97</f>
        <v>2</v>
      </c>
      <c r="H97" s="8"/>
      <c r="I97" s="8"/>
      <c r="J97" s="8" cm="1">
        <f t="array" ref="J97">51 - MAX(IF(NOT(ISNA(K97:BB97)),K97:BB97))</f>
        <v>17</v>
      </c>
      <c r="K97" t="e">
        <f>_xlfn.IFNA(51-MATCH(Songs!$A97,Data!G$2:G$51,0),NA())</f>
        <v>#N/A</v>
      </c>
      <c r="L97" t="e">
        <f>_xlfn.IFNA(51-MATCH(Songs!$A97,Data!H$2:H$51,0),NA())</f>
        <v>#N/A</v>
      </c>
      <c r="M97" t="e">
        <f>_xlfn.IFNA(51-MATCH(Songs!$A97,Data!I$2:I$51,0),NA())</f>
        <v>#N/A</v>
      </c>
      <c r="N97" t="e">
        <f>_xlfn.IFNA(51-MATCH(Songs!$A97,Data!J$2:J$51,0),NA())</f>
        <v>#N/A</v>
      </c>
      <c r="O97" t="e">
        <f>_xlfn.IFNA(51-MATCH(Songs!$A97,Data!K$2:K$51,0),NA())</f>
        <v>#N/A</v>
      </c>
      <c r="P97" t="e">
        <f>_xlfn.IFNA(51-MATCH(Songs!$A97,Data!L$2:L$51,0),NA())</f>
        <v>#N/A</v>
      </c>
      <c r="Q97">
        <f>_xlfn.IFNA(51-MATCH(Songs!$A97,Data!M$2:M$51,0),NA())</f>
        <v>34</v>
      </c>
      <c r="R97">
        <f>_xlfn.IFNA(51-MATCH(Songs!$A97,Data!N$2:N$51,0),NA())</f>
        <v>5</v>
      </c>
      <c r="S97" t="e">
        <f>_xlfn.IFNA(51-MATCH(Songs!$A97,Data!O$2:O$51,0),NA())</f>
        <v>#N/A</v>
      </c>
      <c r="T97" t="e">
        <f>_xlfn.IFNA(51-MATCH(Songs!$A97,Data!P$2:P$51,0),NA())</f>
        <v>#N/A</v>
      </c>
      <c r="U97" t="e">
        <f>_xlfn.IFNA(51-MATCH(Songs!$A97,Data!Q$2:Q$51,0),NA())</f>
        <v>#N/A</v>
      </c>
      <c r="V97" t="e">
        <f>_xlfn.IFNA(51-MATCH(Songs!$A97,Data!R$2:R$51,0),NA())</f>
        <v>#N/A</v>
      </c>
      <c r="W97" t="e">
        <f>_xlfn.IFNA(51-MATCH(Songs!$A97,Data!S$2:S$51,0),NA())</f>
        <v>#N/A</v>
      </c>
      <c r="X97" t="e">
        <f>_xlfn.IFNA(51-MATCH(Songs!$A97,Data!T$2:T$51,0),NA())</f>
        <v>#N/A</v>
      </c>
      <c r="Y97" t="e">
        <f>_xlfn.IFNA(51-MATCH(Songs!$A97,Data!U$2:U$51,0),NA())</f>
        <v>#N/A</v>
      </c>
      <c r="Z97" t="e">
        <f>_xlfn.IFNA(51-MATCH(Songs!$A97,Data!V$2:V$51,0),NA())</f>
        <v>#N/A</v>
      </c>
      <c r="AA97" t="e">
        <f>_xlfn.IFNA(51-MATCH(Songs!$A97,Data!W$2:W$51,0),NA())</f>
        <v>#N/A</v>
      </c>
      <c r="AB97" t="e">
        <f>_xlfn.IFNA(51-MATCH(Songs!$A97,Data!X$2:X$51,0),NA())</f>
        <v>#N/A</v>
      </c>
      <c r="AC97" t="e">
        <f>_xlfn.IFNA(51-MATCH(Songs!$A97,Data!Y$2:Y$51,0),NA())</f>
        <v>#N/A</v>
      </c>
      <c r="AD97" t="e">
        <f>_xlfn.IFNA(51-MATCH(Songs!$A97,Data!Z$2:Z$51,0),NA())</f>
        <v>#N/A</v>
      </c>
      <c r="AE97" t="e">
        <f>_xlfn.IFNA(51-MATCH(Songs!$A97,Data!AA$2:AA$51,0),NA())</f>
        <v>#N/A</v>
      </c>
      <c r="AF97" t="e">
        <f>_xlfn.IFNA(51-MATCH(Songs!$A97,Data!AB$2:AB$51,0),NA())</f>
        <v>#N/A</v>
      </c>
      <c r="AG97" t="e">
        <f>_xlfn.IFNA(51-MATCH(Songs!$A97,Data!AC$2:AC$51,0),NA())</f>
        <v>#N/A</v>
      </c>
      <c r="AH97" t="e">
        <f>_xlfn.IFNA(51-MATCH(Songs!$A97,Data!AD$2:AD$51,0),NA())</f>
        <v>#N/A</v>
      </c>
      <c r="AI97" t="e">
        <f>_xlfn.IFNA(51-MATCH(Songs!$A97,Data!AE$2:AE$51,0),NA())</f>
        <v>#N/A</v>
      </c>
    </row>
    <row r="98" spans="1:35" ht="15.75" customHeight="1" x14ac:dyDescent="0.25">
      <c r="A98" s="6" t="s">
        <v>196</v>
      </c>
      <c r="B98" s="2" t="s">
        <v>121</v>
      </c>
      <c r="C98" t="s">
        <v>213</v>
      </c>
      <c r="F98" s="6">
        <v>0</v>
      </c>
      <c r="G98" s="2">
        <f ca="1">COUNTIF(INDIRECT(_xlfn.CONCAT("Data!$B$2:", ADDRESS(51,COUNTA(Data!$1:$1)+1,1,1))), Songs!A98) + F98</f>
        <v>2</v>
      </c>
      <c r="H98" s="8"/>
      <c r="I98" s="8"/>
      <c r="J98" s="8" cm="1">
        <f t="array" ref="J98">51 - MAX(IF(NOT(ISNA(K98:BB98)),K98:BB98))</f>
        <v>20</v>
      </c>
      <c r="K98" t="e">
        <f>_xlfn.IFNA(51-MATCH(Songs!$A98,Data!G$2:G$51,0),NA())</f>
        <v>#N/A</v>
      </c>
      <c r="L98" t="e">
        <f>_xlfn.IFNA(51-MATCH(Songs!$A98,Data!H$2:H$51,0),NA())</f>
        <v>#N/A</v>
      </c>
      <c r="M98" t="e">
        <f>_xlfn.IFNA(51-MATCH(Songs!$A98,Data!I$2:I$51,0),NA())</f>
        <v>#N/A</v>
      </c>
      <c r="N98" t="e">
        <f>_xlfn.IFNA(51-MATCH(Songs!$A98,Data!J$2:J$51,0),NA())</f>
        <v>#N/A</v>
      </c>
      <c r="O98" t="e">
        <f>_xlfn.IFNA(51-MATCH(Songs!$A98,Data!K$2:K$51,0),NA())</f>
        <v>#N/A</v>
      </c>
      <c r="P98" t="e">
        <f>_xlfn.IFNA(51-MATCH(Songs!$A98,Data!L$2:L$51,0),NA())</f>
        <v>#N/A</v>
      </c>
      <c r="Q98">
        <f>_xlfn.IFNA(51-MATCH(Songs!$A98,Data!M$2:M$51,0),NA())</f>
        <v>31</v>
      </c>
      <c r="R98">
        <f>_xlfn.IFNA(51-MATCH(Songs!$A98,Data!N$2:N$51,0),NA())</f>
        <v>8</v>
      </c>
      <c r="S98" t="e">
        <f>_xlfn.IFNA(51-MATCH(Songs!$A98,Data!O$2:O$51,0),NA())</f>
        <v>#N/A</v>
      </c>
      <c r="T98" t="e">
        <f>_xlfn.IFNA(51-MATCH(Songs!$A98,Data!P$2:P$51,0),NA())</f>
        <v>#N/A</v>
      </c>
      <c r="U98" t="e">
        <f>_xlfn.IFNA(51-MATCH(Songs!$A98,Data!Q$2:Q$51,0),NA())</f>
        <v>#N/A</v>
      </c>
      <c r="V98" t="e">
        <f>_xlfn.IFNA(51-MATCH(Songs!$A98,Data!R$2:R$51,0),NA())</f>
        <v>#N/A</v>
      </c>
      <c r="W98" t="e">
        <f>_xlfn.IFNA(51-MATCH(Songs!$A98,Data!S$2:S$51,0),NA())</f>
        <v>#N/A</v>
      </c>
      <c r="X98" t="e">
        <f>_xlfn.IFNA(51-MATCH(Songs!$A98,Data!T$2:T$51,0),NA())</f>
        <v>#N/A</v>
      </c>
      <c r="Y98" t="e">
        <f>_xlfn.IFNA(51-MATCH(Songs!$A98,Data!U$2:U$51,0),NA())</f>
        <v>#N/A</v>
      </c>
      <c r="Z98" t="e">
        <f>_xlfn.IFNA(51-MATCH(Songs!$A98,Data!V$2:V$51,0),NA())</f>
        <v>#N/A</v>
      </c>
      <c r="AA98" t="e">
        <f>_xlfn.IFNA(51-MATCH(Songs!$A98,Data!W$2:W$51,0),NA())</f>
        <v>#N/A</v>
      </c>
      <c r="AB98" t="e">
        <f>_xlfn.IFNA(51-MATCH(Songs!$A98,Data!X$2:X$51,0),NA())</f>
        <v>#N/A</v>
      </c>
      <c r="AC98" t="e">
        <f>_xlfn.IFNA(51-MATCH(Songs!$A98,Data!Y$2:Y$51,0),NA())</f>
        <v>#N/A</v>
      </c>
      <c r="AD98" t="e">
        <f>_xlfn.IFNA(51-MATCH(Songs!$A98,Data!Z$2:Z$51,0),NA())</f>
        <v>#N/A</v>
      </c>
      <c r="AE98" t="e">
        <f>_xlfn.IFNA(51-MATCH(Songs!$A98,Data!AA$2:AA$51,0),NA())</f>
        <v>#N/A</v>
      </c>
      <c r="AF98" t="e">
        <f>_xlfn.IFNA(51-MATCH(Songs!$A98,Data!AB$2:AB$51,0),NA())</f>
        <v>#N/A</v>
      </c>
      <c r="AG98" t="e">
        <f>_xlfn.IFNA(51-MATCH(Songs!$A98,Data!AC$2:AC$51,0),NA())</f>
        <v>#N/A</v>
      </c>
      <c r="AH98" t="e">
        <f>_xlfn.IFNA(51-MATCH(Songs!$A98,Data!AD$2:AD$51,0),NA())</f>
        <v>#N/A</v>
      </c>
      <c r="AI98" t="e">
        <f>_xlfn.IFNA(51-MATCH(Songs!$A98,Data!AE$2:AE$51,0),NA())</f>
        <v>#N/A</v>
      </c>
    </row>
    <row r="99" spans="1:35" ht="15.75" customHeight="1" x14ac:dyDescent="0.25">
      <c r="A99" s="6" t="s">
        <v>197</v>
      </c>
      <c r="B99" s="2" t="s">
        <v>121</v>
      </c>
      <c r="F99" s="6">
        <v>0</v>
      </c>
      <c r="G99" s="2">
        <f ca="1">COUNTIF(INDIRECT(_xlfn.CONCAT("Data!$B$2:", ADDRESS(51,COUNTA(Data!$1:$1)+1,1,1))), Songs!A99) + F99</f>
        <v>1</v>
      </c>
      <c r="H99" s="8"/>
      <c r="I99" s="8"/>
      <c r="J99" s="8" cm="1">
        <f t="array" ref="J99">51 - MAX(IF(NOT(ISNA(K99:BB99)),K99:BB99))</f>
        <v>22</v>
      </c>
      <c r="K99" t="e">
        <f>_xlfn.IFNA(51-MATCH(Songs!$A99,Data!G$2:G$51,0),NA())</f>
        <v>#N/A</v>
      </c>
      <c r="L99" t="e">
        <f>_xlfn.IFNA(51-MATCH(Songs!$A99,Data!H$2:H$51,0),NA())</f>
        <v>#N/A</v>
      </c>
      <c r="M99" t="e">
        <f>_xlfn.IFNA(51-MATCH(Songs!$A99,Data!I$2:I$51,0),NA())</f>
        <v>#N/A</v>
      </c>
      <c r="N99" t="e">
        <f>_xlfn.IFNA(51-MATCH(Songs!$A99,Data!J$2:J$51,0),NA())</f>
        <v>#N/A</v>
      </c>
      <c r="O99" t="e">
        <f>_xlfn.IFNA(51-MATCH(Songs!$A99,Data!K$2:K$51,0),NA())</f>
        <v>#N/A</v>
      </c>
      <c r="P99" t="e">
        <f>_xlfn.IFNA(51-MATCH(Songs!$A99,Data!L$2:L$51,0),NA())</f>
        <v>#N/A</v>
      </c>
      <c r="Q99">
        <f>_xlfn.IFNA(51-MATCH(Songs!$A99,Data!M$2:M$51,0),NA())</f>
        <v>29</v>
      </c>
      <c r="R99" t="e">
        <f>_xlfn.IFNA(51-MATCH(Songs!$A99,Data!N$2:N$51,0),NA())</f>
        <v>#N/A</v>
      </c>
      <c r="S99" t="e">
        <f>_xlfn.IFNA(51-MATCH(Songs!$A99,Data!O$2:O$51,0),NA())</f>
        <v>#N/A</v>
      </c>
      <c r="T99" t="e">
        <f>_xlfn.IFNA(51-MATCH(Songs!$A99,Data!P$2:P$51,0),NA())</f>
        <v>#N/A</v>
      </c>
      <c r="U99" t="e">
        <f>_xlfn.IFNA(51-MATCH(Songs!$A99,Data!Q$2:Q$51,0),NA())</f>
        <v>#N/A</v>
      </c>
      <c r="V99" t="e">
        <f>_xlfn.IFNA(51-MATCH(Songs!$A99,Data!R$2:R$51,0),NA())</f>
        <v>#N/A</v>
      </c>
      <c r="W99" t="e">
        <f>_xlfn.IFNA(51-MATCH(Songs!$A99,Data!S$2:S$51,0),NA())</f>
        <v>#N/A</v>
      </c>
      <c r="X99" t="e">
        <f>_xlfn.IFNA(51-MATCH(Songs!$A99,Data!T$2:T$51,0),NA())</f>
        <v>#N/A</v>
      </c>
      <c r="Y99" t="e">
        <f>_xlfn.IFNA(51-MATCH(Songs!$A99,Data!U$2:U$51,0),NA())</f>
        <v>#N/A</v>
      </c>
      <c r="Z99" t="e">
        <f>_xlfn.IFNA(51-MATCH(Songs!$A99,Data!V$2:V$51,0),NA())</f>
        <v>#N/A</v>
      </c>
      <c r="AA99" t="e">
        <f>_xlfn.IFNA(51-MATCH(Songs!$A99,Data!W$2:W$51,0),NA())</f>
        <v>#N/A</v>
      </c>
      <c r="AB99" t="e">
        <f>_xlfn.IFNA(51-MATCH(Songs!$A99,Data!X$2:X$51,0),NA())</f>
        <v>#N/A</v>
      </c>
      <c r="AC99" t="e">
        <f>_xlfn.IFNA(51-MATCH(Songs!$A99,Data!Y$2:Y$51,0),NA())</f>
        <v>#N/A</v>
      </c>
      <c r="AD99" t="e">
        <f>_xlfn.IFNA(51-MATCH(Songs!$A99,Data!Z$2:Z$51,0),NA())</f>
        <v>#N/A</v>
      </c>
      <c r="AE99" t="e">
        <f>_xlfn.IFNA(51-MATCH(Songs!$A99,Data!AA$2:AA$51,0),NA())</f>
        <v>#N/A</v>
      </c>
      <c r="AF99" t="e">
        <f>_xlfn.IFNA(51-MATCH(Songs!$A99,Data!AB$2:AB$51,0),NA())</f>
        <v>#N/A</v>
      </c>
      <c r="AG99" t="e">
        <f>_xlfn.IFNA(51-MATCH(Songs!$A99,Data!AC$2:AC$51,0),NA())</f>
        <v>#N/A</v>
      </c>
      <c r="AH99" t="e">
        <f>_xlfn.IFNA(51-MATCH(Songs!$A99,Data!AD$2:AD$51,0),NA())</f>
        <v>#N/A</v>
      </c>
      <c r="AI99" t="e">
        <f>_xlfn.IFNA(51-MATCH(Songs!$A99,Data!AE$2:AE$51,0),NA())</f>
        <v>#N/A</v>
      </c>
    </row>
    <row r="100" spans="1:35" ht="15.75" customHeight="1" x14ac:dyDescent="0.25">
      <c r="A100" s="6" t="s">
        <v>198</v>
      </c>
      <c r="B100" s="2" t="s">
        <v>121</v>
      </c>
      <c r="F100" s="6">
        <v>0</v>
      </c>
      <c r="G100" s="2">
        <f ca="1">COUNTIF(INDIRECT(_xlfn.CONCAT("Data!$B$2:", ADDRESS(51,COUNTA(Data!$1:$1)+1,1,1))), Songs!A100) + F100</f>
        <v>1</v>
      </c>
      <c r="H100" s="8"/>
      <c r="I100" s="8"/>
      <c r="J100" s="8" cm="1">
        <f t="array" ref="J100">51 - MAX(IF(NOT(ISNA(K100:BB100)),K100:BB100))</f>
        <v>23</v>
      </c>
      <c r="K100" t="e">
        <f>_xlfn.IFNA(51-MATCH(Songs!$A100,Data!G$2:G$51,0),NA())</f>
        <v>#N/A</v>
      </c>
      <c r="L100" t="e">
        <f>_xlfn.IFNA(51-MATCH(Songs!$A100,Data!H$2:H$51,0),NA())</f>
        <v>#N/A</v>
      </c>
      <c r="M100" t="e">
        <f>_xlfn.IFNA(51-MATCH(Songs!$A100,Data!I$2:I$51,0),NA())</f>
        <v>#N/A</v>
      </c>
      <c r="N100" t="e">
        <f>_xlfn.IFNA(51-MATCH(Songs!$A100,Data!J$2:J$51,0),NA())</f>
        <v>#N/A</v>
      </c>
      <c r="O100" t="e">
        <f>_xlfn.IFNA(51-MATCH(Songs!$A100,Data!K$2:K$51,0),NA())</f>
        <v>#N/A</v>
      </c>
      <c r="P100" t="e">
        <f>_xlfn.IFNA(51-MATCH(Songs!$A100,Data!L$2:L$51,0),NA())</f>
        <v>#N/A</v>
      </c>
      <c r="Q100">
        <f>_xlfn.IFNA(51-MATCH(Songs!$A100,Data!M$2:M$51,0),NA())</f>
        <v>28</v>
      </c>
      <c r="R100" t="e">
        <f>_xlfn.IFNA(51-MATCH(Songs!$A100,Data!N$2:N$51,0),NA())</f>
        <v>#N/A</v>
      </c>
      <c r="S100" t="e">
        <f>_xlfn.IFNA(51-MATCH(Songs!$A100,Data!O$2:O$51,0),NA())</f>
        <v>#N/A</v>
      </c>
      <c r="T100" t="e">
        <f>_xlfn.IFNA(51-MATCH(Songs!$A100,Data!P$2:P$51,0),NA())</f>
        <v>#N/A</v>
      </c>
      <c r="U100" t="e">
        <f>_xlfn.IFNA(51-MATCH(Songs!$A100,Data!Q$2:Q$51,0),NA())</f>
        <v>#N/A</v>
      </c>
      <c r="V100" t="e">
        <f>_xlfn.IFNA(51-MATCH(Songs!$A100,Data!R$2:R$51,0),NA())</f>
        <v>#N/A</v>
      </c>
      <c r="W100" t="e">
        <f>_xlfn.IFNA(51-MATCH(Songs!$A100,Data!S$2:S$51,0),NA())</f>
        <v>#N/A</v>
      </c>
      <c r="X100" t="e">
        <f>_xlfn.IFNA(51-MATCH(Songs!$A100,Data!T$2:T$51,0),NA())</f>
        <v>#N/A</v>
      </c>
      <c r="Y100" t="e">
        <f>_xlfn.IFNA(51-MATCH(Songs!$A100,Data!U$2:U$51,0),NA())</f>
        <v>#N/A</v>
      </c>
      <c r="Z100" t="e">
        <f>_xlfn.IFNA(51-MATCH(Songs!$A100,Data!V$2:V$51,0),NA())</f>
        <v>#N/A</v>
      </c>
      <c r="AA100" t="e">
        <f>_xlfn.IFNA(51-MATCH(Songs!$A100,Data!W$2:W$51,0),NA())</f>
        <v>#N/A</v>
      </c>
      <c r="AB100" t="e">
        <f>_xlfn.IFNA(51-MATCH(Songs!$A100,Data!X$2:X$51,0),NA())</f>
        <v>#N/A</v>
      </c>
      <c r="AC100" t="e">
        <f>_xlfn.IFNA(51-MATCH(Songs!$A100,Data!Y$2:Y$51,0),NA())</f>
        <v>#N/A</v>
      </c>
      <c r="AD100" t="e">
        <f>_xlfn.IFNA(51-MATCH(Songs!$A100,Data!Z$2:Z$51,0),NA())</f>
        <v>#N/A</v>
      </c>
      <c r="AE100" t="e">
        <f>_xlfn.IFNA(51-MATCH(Songs!$A100,Data!AA$2:AA$51,0),NA())</f>
        <v>#N/A</v>
      </c>
      <c r="AF100" t="e">
        <f>_xlfn.IFNA(51-MATCH(Songs!$A100,Data!AB$2:AB$51,0),NA())</f>
        <v>#N/A</v>
      </c>
      <c r="AG100" t="e">
        <f>_xlfn.IFNA(51-MATCH(Songs!$A100,Data!AC$2:AC$51,0),NA())</f>
        <v>#N/A</v>
      </c>
      <c r="AH100" t="e">
        <f>_xlfn.IFNA(51-MATCH(Songs!$A100,Data!AD$2:AD$51,0),NA())</f>
        <v>#N/A</v>
      </c>
      <c r="AI100" t="e">
        <f>_xlfn.IFNA(51-MATCH(Songs!$A100,Data!AE$2:AE$51,0),NA())</f>
        <v>#N/A</v>
      </c>
    </row>
    <row r="101" spans="1:35" ht="15.75" customHeight="1" x14ac:dyDescent="0.25">
      <c r="A101" s="6" t="s">
        <v>199</v>
      </c>
      <c r="B101" s="2" t="s">
        <v>143</v>
      </c>
      <c r="F101" s="6">
        <v>0</v>
      </c>
      <c r="G101" s="2">
        <f ca="1">COUNTIF(INDIRECT(_xlfn.CONCAT("Data!$B$2:", ADDRESS(51,COUNTA(Data!$1:$1)+1,1,1))), Songs!A101) + F101</f>
        <v>19</v>
      </c>
      <c r="H101" s="8"/>
      <c r="I101" s="8"/>
      <c r="J101" s="8" cm="1">
        <f t="array" ref="J101">51 - MAX(IF(NOT(ISNA(K101:BB101)),K101:BB101))</f>
        <v>11</v>
      </c>
      <c r="K101" t="e">
        <f>_xlfn.IFNA(51-MATCH(Songs!$A101,Data!G$2:G$51,0),NA())</f>
        <v>#N/A</v>
      </c>
      <c r="L101" t="e">
        <f>_xlfn.IFNA(51-MATCH(Songs!$A101,Data!H$2:H$51,0),NA())</f>
        <v>#N/A</v>
      </c>
      <c r="M101" t="e">
        <f>_xlfn.IFNA(51-MATCH(Songs!$A101,Data!I$2:I$51,0),NA())</f>
        <v>#N/A</v>
      </c>
      <c r="N101" t="e">
        <f>_xlfn.IFNA(51-MATCH(Songs!$A101,Data!J$2:J$51,0),NA())</f>
        <v>#N/A</v>
      </c>
      <c r="O101" t="e">
        <f>_xlfn.IFNA(51-MATCH(Songs!$A101,Data!K$2:K$51,0),NA())</f>
        <v>#N/A</v>
      </c>
      <c r="P101" t="e">
        <f>_xlfn.IFNA(51-MATCH(Songs!$A101,Data!L$2:L$51,0),NA())</f>
        <v>#N/A</v>
      </c>
      <c r="Q101">
        <f>_xlfn.IFNA(51-MATCH(Songs!$A101,Data!M$2:M$51,0),NA())</f>
        <v>27</v>
      </c>
      <c r="R101">
        <f>_xlfn.IFNA(51-MATCH(Songs!$A101,Data!N$2:N$51,0),NA())</f>
        <v>29</v>
      </c>
      <c r="S101">
        <f>_xlfn.IFNA(51-MATCH(Songs!$A101,Data!O$2:O$51,0),NA())</f>
        <v>36</v>
      </c>
      <c r="T101">
        <f>_xlfn.IFNA(51-MATCH(Songs!$A101,Data!P$2:P$51,0),NA())</f>
        <v>40</v>
      </c>
      <c r="U101">
        <f>_xlfn.IFNA(51-MATCH(Songs!$A101,Data!Q$2:Q$51,0),NA())</f>
        <v>39</v>
      </c>
      <c r="V101">
        <f>_xlfn.IFNA(51-MATCH(Songs!$A101,Data!R$2:R$51,0),NA())</f>
        <v>36</v>
      </c>
      <c r="W101">
        <f>_xlfn.IFNA(51-MATCH(Songs!$A101,Data!S$2:S$51,0),NA())</f>
        <v>35</v>
      </c>
      <c r="X101">
        <f>_xlfn.IFNA(51-MATCH(Songs!$A101,Data!T$2:T$51,0),NA())</f>
        <v>29</v>
      </c>
      <c r="Y101">
        <f>_xlfn.IFNA(51-MATCH(Songs!$A101,Data!U$2:U$51,0),NA())</f>
        <v>33</v>
      </c>
      <c r="Z101">
        <f>_xlfn.IFNA(51-MATCH(Songs!$A101,Data!V$2:V$51,0),NA())</f>
        <v>31</v>
      </c>
      <c r="AA101">
        <f>_xlfn.IFNA(51-MATCH(Songs!$A101,Data!W$2:W$51,0),NA())</f>
        <v>33</v>
      </c>
      <c r="AB101">
        <f>_xlfn.IFNA(51-MATCH(Songs!$A101,Data!X$2:X$51,0),NA())</f>
        <v>31</v>
      </c>
      <c r="AC101">
        <f>_xlfn.IFNA(51-MATCH(Songs!$A101,Data!Y$2:Y$51,0),NA())</f>
        <v>33</v>
      </c>
      <c r="AD101">
        <f>_xlfn.IFNA(51-MATCH(Songs!$A101,Data!Z$2:Z$51,0),NA())</f>
        <v>32</v>
      </c>
      <c r="AE101">
        <f>_xlfn.IFNA(51-MATCH(Songs!$A101,Data!AA$2:AA$51,0),NA())</f>
        <v>22</v>
      </c>
      <c r="AF101">
        <f>_xlfn.IFNA(51-MATCH(Songs!$A101,Data!AB$2:AB$51,0),NA())</f>
        <v>32</v>
      </c>
      <c r="AG101">
        <f>_xlfn.IFNA(51-MATCH(Songs!$A101,Data!AC$2:AC$51,0),NA())</f>
        <v>33</v>
      </c>
      <c r="AH101">
        <f>_xlfn.IFNA(51-MATCH(Songs!$A101,Data!AD$2:AD$51,0),NA())</f>
        <v>29</v>
      </c>
      <c r="AI101">
        <f>_xlfn.IFNA(51-MATCH(Songs!$A101,Data!AE$2:AE$51,0),NA())</f>
        <v>30</v>
      </c>
    </row>
    <row r="102" spans="1:35" ht="15.75" customHeight="1" x14ac:dyDescent="0.25">
      <c r="A102" s="6" t="s">
        <v>200</v>
      </c>
      <c r="B102" s="2" t="s">
        <v>113</v>
      </c>
      <c r="F102" s="6">
        <v>0</v>
      </c>
      <c r="G102" s="2">
        <f ca="1">COUNTIF(INDIRECT(_xlfn.CONCAT("Data!$B$2:", ADDRESS(51,COUNTA(Data!$1:$1)+1,1,1))), Songs!A102) + F102</f>
        <v>17</v>
      </c>
      <c r="H102" s="8"/>
      <c r="I102" s="8"/>
      <c r="J102" s="8" cm="1">
        <f t="array" ref="J102">51 - MAX(IF(NOT(ISNA(K102:BB102)),K102:BB102))</f>
        <v>35</v>
      </c>
      <c r="K102" t="e">
        <f>_xlfn.IFNA(51-MATCH(Songs!$A102,Data!G$2:G$51,0),NA())</f>
        <v>#N/A</v>
      </c>
      <c r="L102" t="e">
        <f>_xlfn.IFNA(51-MATCH(Songs!$A102,Data!H$2:H$51,0),NA())</f>
        <v>#N/A</v>
      </c>
      <c r="M102" t="e">
        <f>_xlfn.IFNA(51-MATCH(Songs!$A102,Data!I$2:I$51,0),NA())</f>
        <v>#N/A</v>
      </c>
      <c r="N102" t="e">
        <f>_xlfn.IFNA(51-MATCH(Songs!$A102,Data!J$2:J$51,0),NA())</f>
        <v>#N/A</v>
      </c>
      <c r="O102" t="e">
        <f>_xlfn.IFNA(51-MATCH(Songs!$A102,Data!K$2:K$51,0),NA())</f>
        <v>#N/A</v>
      </c>
      <c r="P102" t="e">
        <f>_xlfn.IFNA(51-MATCH(Songs!$A102,Data!L$2:L$51,0),NA())</f>
        <v>#N/A</v>
      </c>
      <c r="Q102">
        <f>_xlfn.IFNA(51-MATCH(Songs!$A102,Data!M$2:M$51,0),NA())</f>
        <v>9</v>
      </c>
      <c r="R102" t="e">
        <f>_xlfn.IFNA(51-MATCH(Songs!$A102,Data!N$2:N$51,0),NA())</f>
        <v>#N/A</v>
      </c>
      <c r="S102">
        <f>_xlfn.IFNA(51-MATCH(Songs!$A102,Data!O$2:O$51,0),NA())</f>
        <v>7</v>
      </c>
      <c r="T102">
        <f>_xlfn.IFNA(51-MATCH(Songs!$A102,Data!P$2:P$51,0),NA())</f>
        <v>11</v>
      </c>
      <c r="U102">
        <f>_xlfn.IFNA(51-MATCH(Songs!$A102,Data!Q$2:Q$51,0),NA())</f>
        <v>12</v>
      </c>
      <c r="V102">
        <f>_xlfn.IFNA(51-MATCH(Songs!$A102,Data!R$2:R$51,0),NA())</f>
        <v>9</v>
      </c>
      <c r="W102">
        <f>_xlfn.IFNA(51-MATCH(Songs!$A102,Data!S$2:S$51,0),NA())</f>
        <v>11</v>
      </c>
      <c r="X102">
        <f>_xlfn.IFNA(51-MATCH(Songs!$A102,Data!T$2:T$51,0),NA())</f>
        <v>2</v>
      </c>
      <c r="Y102">
        <f>_xlfn.IFNA(51-MATCH(Songs!$A102,Data!U$2:U$51,0),NA())</f>
        <v>3</v>
      </c>
      <c r="Z102">
        <f>_xlfn.IFNA(51-MATCH(Songs!$A102,Data!V$2:V$51,0),NA())</f>
        <v>7</v>
      </c>
      <c r="AA102">
        <f>_xlfn.IFNA(51-MATCH(Songs!$A102,Data!W$2:W$51,0),NA())</f>
        <v>14</v>
      </c>
      <c r="AB102">
        <f>_xlfn.IFNA(51-MATCH(Songs!$A102,Data!X$2:X$51,0),NA())</f>
        <v>9</v>
      </c>
      <c r="AC102">
        <f>_xlfn.IFNA(51-MATCH(Songs!$A102,Data!Y$2:Y$51,0),NA())</f>
        <v>15</v>
      </c>
      <c r="AD102">
        <f>_xlfn.IFNA(51-MATCH(Songs!$A102,Data!Z$2:Z$51,0),NA())</f>
        <v>16</v>
      </c>
      <c r="AE102" t="e">
        <f>_xlfn.IFNA(51-MATCH(Songs!$A102,Data!AA$2:AA$51,0),NA())</f>
        <v>#N/A</v>
      </c>
      <c r="AF102">
        <f>_xlfn.IFNA(51-MATCH(Songs!$A102,Data!AB$2:AB$51,0),NA())</f>
        <v>5</v>
      </c>
      <c r="AG102">
        <f>_xlfn.IFNA(51-MATCH(Songs!$A102,Data!AC$2:AC$51,0),NA())</f>
        <v>10</v>
      </c>
      <c r="AH102">
        <f>_xlfn.IFNA(51-MATCH(Songs!$A102,Data!AD$2:AD$51,0),NA())</f>
        <v>9</v>
      </c>
      <c r="AI102">
        <f>_xlfn.IFNA(51-MATCH(Songs!$A102,Data!AE$2:AE$51,0),NA())</f>
        <v>12</v>
      </c>
    </row>
    <row r="103" spans="1:35" ht="15.75" customHeight="1" x14ac:dyDescent="0.25">
      <c r="A103" s="6" t="s">
        <v>215</v>
      </c>
      <c r="B103" s="2" t="s">
        <v>142</v>
      </c>
      <c r="F103" s="6">
        <v>6</v>
      </c>
      <c r="G103" s="2">
        <f ca="1">COUNTIF(INDIRECT(_xlfn.CONCAT("Data!$B$2:", ADDRESS(51,COUNTA(Data!$1:$1)+1,1,1))), Songs!A103) + F103</f>
        <v>15</v>
      </c>
      <c r="H103" s="8"/>
      <c r="I103" s="8"/>
      <c r="J103" s="8" cm="1">
        <f t="array" ref="J103">51 - MAX(IF(NOT(ISNA(K103:BB103)),K103:BB103))</f>
        <v>6</v>
      </c>
      <c r="K103" t="e">
        <f>_xlfn.IFNA(51-MATCH(Songs!$A103,Data!G$2:G$51,0),NA())</f>
        <v>#N/A</v>
      </c>
      <c r="L103" t="e">
        <f>_xlfn.IFNA(51-MATCH(Songs!$A103,Data!H$2:H$51,0),NA())</f>
        <v>#N/A</v>
      </c>
      <c r="M103" t="e">
        <f>_xlfn.IFNA(51-MATCH(Songs!$A103,Data!I$2:I$51,0),NA())</f>
        <v>#N/A</v>
      </c>
      <c r="N103" t="e">
        <f>_xlfn.IFNA(51-MATCH(Songs!$A103,Data!J$2:J$51,0),NA())</f>
        <v>#N/A</v>
      </c>
      <c r="O103" t="e">
        <f>_xlfn.IFNA(51-MATCH(Songs!$A103,Data!K$2:K$51,0),NA())</f>
        <v>#N/A</v>
      </c>
      <c r="P103" t="e">
        <f>_xlfn.IFNA(51-MATCH(Songs!$A103,Data!L$2:L$51,0),NA())</f>
        <v>#N/A</v>
      </c>
      <c r="Q103" t="e">
        <f>_xlfn.IFNA(51-MATCH(Songs!$A103,Data!M$2:M$51,0),NA())</f>
        <v>#N/A</v>
      </c>
      <c r="R103">
        <f>_xlfn.IFNA(51-MATCH(Songs!$A103,Data!N$2:N$51,0),NA())</f>
        <v>43</v>
      </c>
      <c r="S103">
        <f>_xlfn.IFNA(51-MATCH(Songs!$A103,Data!O$2:O$51,0),NA())</f>
        <v>44</v>
      </c>
      <c r="T103">
        <f>_xlfn.IFNA(51-MATCH(Songs!$A103,Data!P$2:P$51,0),NA())</f>
        <v>45</v>
      </c>
      <c r="U103">
        <f>_xlfn.IFNA(51-MATCH(Songs!$A103,Data!Q$2:Q$51,0),NA())</f>
        <v>45</v>
      </c>
      <c r="V103">
        <f>_xlfn.IFNA(51-MATCH(Songs!$A103,Data!R$2:R$51,0),NA())</f>
        <v>43</v>
      </c>
      <c r="W103">
        <f>_xlfn.IFNA(51-MATCH(Songs!$A103,Data!S$2:S$51,0),NA())</f>
        <v>44</v>
      </c>
      <c r="X103">
        <f>_xlfn.IFNA(51-MATCH(Songs!$A103,Data!T$2:T$51,0),NA())</f>
        <v>43</v>
      </c>
      <c r="Y103">
        <f>_xlfn.IFNA(51-MATCH(Songs!$A103,Data!U$2:U$51,0),NA())</f>
        <v>42</v>
      </c>
      <c r="Z103">
        <f>_xlfn.IFNA(51-MATCH(Songs!$A103,Data!V$2:V$51,0),NA())</f>
        <v>42</v>
      </c>
      <c r="AA103" t="e">
        <f>_xlfn.IFNA(51-MATCH(Songs!$A103,Data!W$2:W$51,0),NA())</f>
        <v>#N/A</v>
      </c>
      <c r="AB103" t="e">
        <f>_xlfn.IFNA(51-MATCH(Songs!$A103,Data!X$2:X$51,0),NA())</f>
        <v>#N/A</v>
      </c>
      <c r="AC103" t="e">
        <f>_xlfn.IFNA(51-MATCH(Songs!$A103,Data!Y$2:Y$51,0),NA())</f>
        <v>#N/A</v>
      </c>
      <c r="AD103" t="e">
        <f>_xlfn.IFNA(51-MATCH(Songs!$A103,Data!Z$2:Z$51,0),NA())</f>
        <v>#N/A</v>
      </c>
      <c r="AE103" t="e">
        <f>_xlfn.IFNA(51-MATCH(Songs!$A103,Data!AA$2:AA$51,0),NA())</f>
        <v>#N/A</v>
      </c>
      <c r="AF103" t="e">
        <f>_xlfn.IFNA(51-MATCH(Songs!$A103,Data!AB$2:AB$51,0),NA())</f>
        <v>#N/A</v>
      </c>
      <c r="AG103" t="e">
        <f>_xlfn.IFNA(51-MATCH(Songs!$A103,Data!AC$2:AC$51,0),NA())</f>
        <v>#N/A</v>
      </c>
      <c r="AH103" t="e">
        <f>_xlfn.IFNA(51-MATCH(Songs!$A103,Data!AD$2:AD$51,0),NA())</f>
        <v>#N/A</v>
      </c>
      <c r="AI103" t="e">
        <f>_xlfn.IFNA(51-MATCH(Songs!$A103,Data!AE$2:AE$51,0),NA())</f>
        <v>#N/A</v>
      </c>
    </row>
    <row r="104" spans="1:35" ht="15.75" customHeight="1" x14ac:dyDescent="0.25">
      <c r="A104" s="6" t="s">
        <v>216</v>
      </c>
      <c r="B104" s="2" t="s">
        <v>76</v>
      </c>
      <c r="D104" t="s">
        <v>219</v>
      </c>
      <c r="F104" s="6">
        <v>12</v>
      </c>
      <c r="G104" s="2">
        <f ca="1">COUNTIF(INDIRECT(_xlfn.CONCAT("Data!$B$2:", ADDRESS(51,COUNTA(Data!$1:$1)+1,1,1))), Songs!A104) + F104</f>
        <v>30</v>
      </c>
      <c r="H104" s="8"/>
      <c r="I104" s="8"/>
      <c r="J104" s="8" cm="1">
        <f t="array" ref="J104">51 - MAX(IF(NOT(ISNA(K104:BB104)),K104:BB104))</f>
        <v>3</v>
      </c>
      <c r="K104" t="e">
        <f>_xlfn.IFNA(51-MATCH(Songs!$A104,Data!G$2:G$51,0),NA())</f>
        <v>#N/A</v>
      </c>
      <c r="L104" t="e">
        <f>_xlfn.IFNA(51-MATCH(Songs!$A104,Data!H$2:H$51,0),NA())</f>
        <v>#N/A</v>
      </c>
      <c r="M104" t="e">
        <f>_xlfn.IFNA(51-MATCH(Songs!$A104,Data!I$2:I$51,0),NA())</f>
        <v>#N/A</v>
      </c>
      <c r="N104" t="e">
        <f>_xlfn.IFNA(51-MATCH(Songs!$A104,Data!J$2:J$51,0),NA())</f>
        <v>#N/A</v>
      </c>
      <c r="O104" t="e">
        <f>_xlfn.IFNA(51-MATCH(Songs!$A104,Data!K$2:K$51,0),NA())</f>
        <v>#N/A</v>
      </c>
      <c r="P104" t="e">
        <f>_xlfn.IFNA(51-MATCH(Songs!$A104,Data!L$2:L$51,0),NA())</f>
        <v>#N/A</v>
      </c>
      <c r="Q104" t="e">
        <f>_xlfn.IFNA(51-MATCH(Songs!$A104,Data!M$2:M$51,0),NA())</f>
        <v>#N/A</v>
      </c>
      <c r="R104">
        <f>_xlfn.IFNA(51-MATCH(Songs!$A104,Data!N$2:N$51,0),NA())</f>
        <v>38</v>
      </c>
      <c r="S104">
        <f>_xlfn.IFNA(51-MATCH(Songs!$A104,Data!O$2:O$51,0),NA())</f>
        <v>40</v>
      </c>
      <c r="T104">
        <f>_xlfn.IFNA(51-MATCH(Songs!$A104,Data!P$2:P$51,0),NA())</f>
        <v>41</v>
      </c>
      <c r="U104">
        <f>_xlfn.IFNA(51-MATCH(Songs!$A104,Data!Q$2:Q$51,0),NA())</f>
        <v>44</v>
      </c>
      <c r="V104">
        <f>_xlfn.IFNA(51-MATCH(Songs!$A104,Data!R$2:R$51,0),NA())</f>
        <v>45</v>
      </c>
      <c r="W104">
        <f>_xlfn.IFNA(51-MATCH(Songs!$A104,Data!S$2:S$51,0),NA())</f>
        <v>45</v>
      </c>
      <c r="X104">
        <f>_xlfn.IFNA(51-MATCH(Songs!$A104,Data!T$2:T$51,0),NA())</f>
        <v>46</v>
      </c>
      <c r="Y104">
        <f>_xlfn.IFNA(51-MATCH(Songs!$A104,Data!U$2:U$51,0),NA())</f>
        <v>46</v>
      </c>
      <c r="Z104">
        <f>_xlfn.IFNA(51-MATCH(Songs!$A104,Data!V$2:V$51,0),NA())</f>
        <v>47</v>
      </c>
      <c r="AA104">
        <f>_xlfn.IFNA(51-MATCH(Songs!$A104,Data!W$2:W$51,0),NA())</f>
        <v>47</v>
      </c>
      <c r="AB104">
        <f>_xlfn.IFNA(51-MATCH(Songs!$A104,Data!X$2:X$51,0),NA())</f>
        <v>47</v>
      </c>
      <c r="AC104">
        <f>_xlfn.IFNA(51-MATCH(Songs!$A104,Data!Y$2:Y$51,0),NA())</f>
        <v>46</v>
      </c>
      <c r="AD104">
        <f>_xlfn.IFNA(51-MATCH(Songs!$A104,Data!Z$2:Z$51,0),NA())</f>
        <v>48</v>
      </c>
      <c r="AE104">
        <f>_xlfn.IFNA(51-MATCH(Songs!$A104,Data!AA$2:AA$51,0),NA())</f>
        <v>45</v>
      </c>
      <c r="AF104">
        <f>_xlfn.IFNA(51-MATCH(Songs!$A104,Data!AB$2:AB$51,0),NA())</f>
        <v>47</v>
      </c>
      <c r="AG104">
        <f>_xlfn.IFNA(51-MATCH(Songs!$A104,Data!AC$2:AC$51,0),NA())</f>
        <v>46</v>
      </c>
      <c r="AH104">
        <f>_xlfn.IFNA(51-MATCH(Songs!$A104,Data!AD$2:AD$51,0),NA())</f>
        <v>46</v>
      </c>
      <c r="AI104">
        <f>_xlfn.IFNA(51-MATCH(Songs!$A104,Data!AE$2:AE$51,0),NA())</f>
        <v>48</v>
      </c>
    </row>
    <row r="105" spans="1:35" ht="15.75" customHeight="1" x14ac:dyDescent="0.25">
      <c r="A105" s="6" t="s">
        <v>217</v>
      </c>
      <c r="B105" s="2" t="s">
        <v>220</v>
      </c>
      <c r="F105" s="6">
        <v>0</v>
      </c>
      <c r="G105" s="2">
        <f ca="1">COUNTIF(INDIRECT(_xlfn.CONCAT("Data!$B$2:", ADDRESS(51,COUNTA(Data!$1:$1)+1,1,1))), Songs!A105) + F105</f>
        <v>16</v>
      </c>
      <c r="H105" s="8"/>
      <c r="I105" s="8"/>
      <c r="J105" s="8" cm="1">
        <f t="array" ref="J105">51 - MAX(IF(NOT(ISNA(K105:BB105)),K105:BB105))</f>
        <v>28</v>
      </c>
      <c r="K105" t="e">
        <f>_xlfn.IFNA(51-MATCH(Songs!$A105,Data!G$2:G$51,0),NA())</f>
        <v>#N/A</v>
      </c>
      <c r="L105" t="e">
        <f>_xlfn.IFNA(51-MATCH(Songs!$A105,Data!H$2:H$51,0),NA())</f>
        <v>#N/A</v>
      </c>
      <c r="M105" t="e">
        <f>_xlfn.IFNA(51-MATCH(Songs!$A105,Data!I$2:I$51,0),NA())</f>
        <v>#N/A</v>
      </c>
      <c r="N105" t="e">
        <f>_xlfn.IFNA(51-MATCH(Songs!$A105,Data!J$2:J$51,0),NA())</f>
        <v>#N/A</v>
      </c>
      <c r="O105" t="e">
        <f>_xlfn.IFNA(51-MATCH(Songs!$A105,Data!K$2:K$51,0),NA())</f>
        <v>#N/A</v>
      </c>
      <c r="P105" t="e">
        <f>_xlfn.IFNA(51-MATCH(Songs!$A105,Data!L$2:L$51,0),NA())</f>
        <v>#N/A</v>
      </c>
      <c r="Q105" t="e">
        <f>_xlfn.IFNA(51-MATCH(Songs!$A105,Data!M$2:M$51,0),NA())</f>
        <v>#N/A</v>
      </c>
      <c r="R105">
        <f>_xlfn.IFNA(51-MATCH(Songs!$A105,Data!N$2:N$51,0),NA())</f>
        <v>11</v>
      </c>
      <c r="S105">
        <f>_xlfn.IFNA(51-MATCH(Songs!$A105,Data!O$2:O$51,0),NA())</f>
        <v>6</v>
      </c>
      <c r="T105">
        <f>_xlfn.IFNA(51-MATCH(Songs!$A105,Data!P$2:P$51,0),NA())</f>
        <v>8</v>
      </c>
      <c r="U105">
        <f>_xlfn.IFNA(51-MATCH(Songs!$A105,Data!Q$2:Q$51,0),NA())</f>
        <v>5</v>
      </c>
      <c r="V105" t="e">
        <f>_xlfn.IFNA(51-MATCH(Songs!$A105,Data!R$2:R$51,0),NA())</f>
        <v>#N/A</v>
      </c>
      <c r="W105">
        <f>_xlfn.IFNA(51-MATCH(Songs!$A105,Data!S$2:S$51,0),NA())</f>
        <v>10</v>
      </c>
      <c r="X105">
        <f>_xlfn.IFNA(51-MATCH(Songs!$A105,Data!T$2:T$51,0),NA())</f>
        <v>9</v>
      </c>
      <c r="Y105">
        <f>_xlfn.IFNA(51-MATCH(Songs!$A105,Data!U$2:U$51,0),NA())</f>
        <v>10</v>
      </c>
      <c r="Z105">
        <f>_xlfn.IFNA(51-MATCH(Songs!$A105,Data!V$2:V$51,0),NA())</f>
        <v>5</v>
      </c>
      <c r="AA105">
        <f>_xlfn.IFNA(51-MATCH(Songs!$A105,Data!W$2:W$51,0),NA())</f>
        <v>7</v>
      </c>
      <c r="AB105">
        <f>_xlfn.IFNA(51-MATCH(Songs!$A105,Data!X$2:X$51,0),NA())</f>
        <v>4</v>
      </c>
      <c r="AC105">
        <f>_xlfn.IFNA(51-MATCH(Songs!$A105,Data!Y$2:Y$51,0),NA())</f>
        <v>10</v>
      </c>
      <c r="AD105">
        <f>_xlfn.IFNA(51-MATCH(Songs!$A105,Data!Z$2:Z$51,0),NA())</f>
        <v>12</v>
      </c>
      <c r="AE105" t="e">
        <f>_xlfn.IFNA(51-MATCH(Songs!$A105,Data!AA$2:AA$51,0),NA())</f>
        <v>#N/A</v>
      </c>
      <c r="AF105">
        <f>_xlfn.IFNA(51-MATCH(Songs!$A105,Data!AB$2:AB$51,0),NA())</f>
        <v>16</v>
      </c>
      <c r="AG105">
        <f>_xlfn.IFNA(51-MATCH(Songs!$A105,Data!AC$2:AC$51,0),NA())</f>
        <v>20</v>
      </c>
      <c r="AH105">
        <f>_xlfn.IFNA(51-MATCH(Songs!$A105,Data!AD$2:AD$51,0),NA())</f>
        <v>23</v>
      </c>
      <c r="AI105">
        <f>_xlfn.IFNA(51-MATCH(Songs!$A105,Data!AE$2:AE$51,0),NA())</f>
        <v>23</v>
      </c>
    </row>
    <row r="106" spans="1:35" ht="15.75" customHeight="1" x14ac:dyDescent="0.25">
      <c r="A106" s="6" t="s">
        <v>230</v>
      </c>
      <c r="B106" s="2" t="s">
        <v>234</v>
      </c>
      <c r="F106" s="6">
        <v>0</v>
      </c>
      <c r="G106" s="2">
        <f ca="1">COUNTIF(INDIRECT(_xlfn.CONCAT("Data!$B$2:", ADDRESS(51,COUNTA(Data!$1:$1)+1,1,1))), Songs!A106) + F106</f>
        <v>17</v>
      </c>
      <c r="H106" s="8"/>
      <c r="I106" s="8"/>
      <c r="J106" s="8" cm="1">
        <f t="array" ref="J106">51 - MAX(IF(NOT(ISNA(K106:BB106)),K106:BB106))</f>
        <v>1</v>
      </c>
      <c r="K106" t="e">
        <f>_xlfn.IFNA(51-MATCH(Songs!$A106,Data!G$2:G$51,0),NA())</f>
        <v>#N/A</v>
      </c>
      <c r="L106" t="e">
        <f>_xlfn.IFNA(51-MATCH(Songs!$A106,Data!H$2:H$51,0),NA())</f>
        <v>#N/A</v>
      </c>
      <c r="M106" t="e">
        <f>_xlfn.IFNA(51-MATCH(Songs!$A106,Data!I$2:I$51,0),NA())</f>
        <v>#N/A</v>
      </c>
      <c r="N106" t="e">
        <f>_xlfn.IFNA(51-MATCH(Songs!$A106,Data!J$2:J$51,0),NA())</f>
        <v>#N/A</v>
      </c>
      <c r="O106" t="e">
        <f>_xlfn.IFNA(51-MATCH(Songs!$A106,Data!K$2:K$51,0),NA())</f>
        <v>#N/A</v>
      </c>
      <c r="P106" t="e">
        <f>_xlfn.IFNA(51-MATCH(Songs!$A106,Data!L$2:L$51,0),NA())</f>
        <v>#N/A</v>
      </c>
      <c r="Q106" t="e">
        <f>_xlfn.IFNA(51-MATCH(Songs!$A106,Data!M$2:M$51,0),NA())</f>
        <v>#N/A</v>
      </c>
      <c r="R106" t="e">
        <f>_xlfn.IFNA(51-MATCH(Songs!$A106,Data!N$2:N$51,0),NA())</f>
        <v>#N/A</v>
      </c>
      <c r="S106">
        <f>_xlfn.IFNA(51-MATCH(Songs!$A106,Data!O$2:O$51,0),NA())</f>
        <v>45</v>
      </c>
      <c r="T106">
        <f>_xlfn.IFNA(51-MATCH(Songs!$A106,Data!P$2:P$51,0),NA())</f>
        <v>50</v>
      </c>
      <c r="U106">
        <f>_xlfn.IFNA(51-MATCH(Songs!$A106,Data!Q$2:Q$51,0),NA())</f>
        <v>50</v>
      </c>
      <c r="V106">
        <f>_xlfn.IFNA(51-MATCH(Songs!$A106,Data!R$2:R$51,0),NA())</f>
        <v>50</v>
      </c>
      <c r="W106">
        <f>_xlfn.IFNA(51-MATCH(Songs!$A106,Data!S$2:S$51,0),NA())</f>
        <v>49</v>
      </c>
      <c r="X106">
        <f>_xlfn.IFNA(51-MATCH(Songs!$A106,Data!T$2:T$51,0),NA())</f>
        <v>49</v>
      </c>
      <c r="Y106">
        <f>_xlfn.IFNA(51-MATCH(Songs!$A106,Data!U$2:U$51,0),NA())</f>
        <v>49</v>
      </c>
      <c r="Z106">
        <f>_xlfn.IFNA(51-MATCH(Songs!$A106,Data!V$2:V$51,0),NA())</f>
        <v>49</v>
      </c>
      <c r="AA106">
        <f>_xlfn.IFNA(51-MATCH(Songs!$A106,Data!W$2:W$51,0),NA())</f>
        <v>49</v>
      </c>
      <c r="AB106">
        <f>_xlfn.IFNA(51-MATCH(Songs!$A106,Data!X$2:X$51,0),NA())</f>
        <v>49</v>
      </c>
      <c r="AC106">
        <f>_xlfn.IFNA(51-MATCH(Songs!$A106,Data!Y$2:Y$51,0),NA())</f>
        <v>49</v>
      </c>
      <c r="AD106">
        <f>_xlfn.IFNA(51-MATCH(Songs!$A106,Data!Z$2:Z$51,0),NA())</f>
        <v>50</v>
      </c>
      <c r="AE106">
        <f>_xlfn.IFNA(51-MATCH(Songs!$A106,Data!AA$2:AA$51,0),NA())</f>
        <v>50</v>
      </c>
      <c r="AF106">
        <f>_xlfn.IFNA(51-MATCH(Songs!$A106,Data!AB$2:AB$51,0),NA())</f>
        <v>50</v>
      </c>
      <c r="AG106">
        <f>_xlfn.IFNA(51-MATCH(Songs!$A106,Data!AC$2:AC$51,0),NA())</f>
        <v>50</v>
      </c>
      <c r="AH106">
        <f>_xlfn.IFNA(51-MATCH(Songs!$A106,Data!AD$2:AD$51,0),NA())</f>
        <v>50</v>
      </c>
      <c r="AI106">
        <f>_xlfn.IFNA(51-MATCH(Songs!$A106,Data!AE$2:AE$51,0),NA())</f>
        <v>50</v>
      </c>
    </row>
    <row r="107" spans="1:35" ht="15.75" customHeight="1" x14ac:dyDescent="0.25">
      <c r="A107" s="6" t="s">
        <v>231</v>
      </c>
      <c r="B107" s="2" t="s">
        <v>86</v>
      </c>
      <c r="F107" s="6">
        <v>0</v>
      </c>
      <c r="G107" s="2">
        <f ca="1">COUNTIF(INDIRECT(_xlfn.CONCAT("Data!$B$2:", ADDRESS(51,COUNTA(Data!$1:$1)+1,1,1))), Songs!A107) + F107</f>
        <v>16</v>
      </c>
      <c r="H107" s="8"/>
      <c r="I107" s="8"/>
      <c r="J107" s="8" cm="1">
        <f t="array" ref="J107">51 - MAX(IF(NOT(ISNA(K107:BB107)),K107:BB107))</f>
        <v>32</v>
      </c>
      <c r="K107" t="e">
        <f>_xlfn.IFNA(51-MATCH(Songs!$A107,Data!G$2:G$51,0),NA())</f>
        <v>#N/A</v>
      </c>
      <c r="L107" t="e">
        <f>_xlfn.IFNA(51-MATCH(Songs!$A107,Data!H$2:H$51,0),NA())</f>
        <v>#N/A</v>
      </c>
      <c r="M107" t="e">
        <f>_xlfn.IFNA(51-MATCH(Songs!$A107,Data!I$2:I$51,0),NA())</f>
        <v>#N/A</v>
      </c>
      <c r="N107" t="e">
        <f>_xlfn.IFNA(51-MATCH(Songs!$A107,Data!J$2:J$51,0),NA())</f>
        <v>#N/A</v>
      </c>
      <c r="O107" t="e">
        <f>_xlfn.IFNA(51-MATCH(Songs!$A107,Data!K$2:K$51,0),NA())</f>
        <v>#N/A</v>
      </c>
      <c r="P107" t="e">
        <f>_xlfn.IFNA(51-MATCH(Songs!$A107,Data!L$2:L$51,0),NA())</f>
        <v>#N/A</v>
      </c>
      <c r="Q107" t="e">
        <f>_xlfn.IFNA(51-MATCH(Songs!$A107,Data!M$2:M$51,0),NA())</f>
        <v>#N/A</v>
      </c>
      <c r="R107" t="e">
        <f>_xlfn.IFNA(51-MATCH(Songs!$A107,Data!N$2:N$51,0),NA())</f>
        <v>#N/A</v>
      </c>
      <c r="S107">
        <f>_xlfn.IFNA(51-MATCH(Songs!$A107,Data!O$2:O$51,0),NA())</f>
        <v>13</v>
      </c>
      <c r="T107">
        <f>_xlfn.IFNA(51-MATCH(Songs!$A107,Data!P$2:P$51,0),NA())</f>
        <v>15</v>
      </c>
      <c r="U107">
        <f>_xlfn.IFNA(51-MATCH(Songs!$A107,Data!Q$2:Q$51,0),NA())</f>
        <v>7</v>
      </c>
      <c r="V107">
        <f>_xlfn.IFNA(51-MATCH(Songs!$A107,Data!R$2:R$51,0),NA())</f>
        <v>4</v>
      </c>
      <c r="W107">
        <f>_xlfn.IFNA(51-MATCH(Songs!$A107,Data!S$2:S$51,0),NA())</f>
        <v>3</v>
      </c>
      <c r="X107">
        <f>_xlfn.IFNA(51-MATCH(Songs!$A107,Data!T$2:T$51,0),NA())</f>
        <v>7</v>
      </c>
      <c r="Y107">
        <f>_xlfn.IFNA(51-MATCH(Songs!$A107,Data!U$2:U$51,0),NA())</f>
        <v>11</v>
      </c>
      <c r="Z107">
        <f>_xlfn.IFNA(51-MATCH(Songs!$A107,Data!V$2:V$51,0),NA())</f>
        <v>8</v>
      </c>
      <c r="AA107">
        <f>_xlfn.IFNA(51-MATCH(Songs!$A107,Data!W$2:W$51,0),NA())</f>
        <v>15</v>
      </c>
      <c r="AB107">
        <f>_xlfn.IFNA(51-MATCH(Songs!$A107,Data!X$2:X$51,0),NA())</f>
        <v>11</v>
      </c>
      <c r="AC107">
        <f>_xlfn.IFNA(51-MATCH(Songs!$A107,Data!Y$2:Y$51,0),NA())</f>
        <v>19</v>
      </c>
      <c r="AD107">
        <f>_xlfn.IFNA(51-MATCH(Songs!$A107,Data!Z$2:Z$51,0),NA())</f>
        <v>19</v>
      </c>
      <c r="AE107" t="e">
        <f>_xlfn.IFNA(51-MATCH(Songs!$A107,Data!AA$2:AA$51,0),NA())</f>
        <v>#N/A</v>
      </c>
      <c r="AF107">
        <f>_xlfn.IFNA(51-MATCH(Songs!$A107,Data!AB$2:AB$51,0),NA())</f>
        <v>13</v>
      </c>
      <c r="AG107">
        <f>_xlfn.IFNA(51-MATCH(Songs!$A107,Data!AC$2:AC$51,0),NA())</f>
        <v>13</v>
      </c>
      <c r="AH107">
        <f>_xlfn.IFNA(51-MATCH(Songs!$A107,Data!AD$2:AD$51,0),NA())</f>
        <v>18</v>
      </c>
      <c r="AI107">
        <f>_xlfn.IFNA(51-MATCH(Songs!$A107,Data!AE$2:AE$51,0),NA())</f>
        <v>17</v>
      </c>
    </row>
    <row r="108" spans="1:35" ht="15.75" customHeight="1" x14ac:dyDescent="0.25">
      <c r="A108" s="6" t="s">
        <v>232</v>
      </c>
      <c r="B108" s="2" t="s">
        <v>235</v>
      </c>
      <c r="F108" s="6">
        <v>0</v>
      </c>
      <c r="G108" s="2">
        <f ca="1">COUNTIF(INDIRECT(_xlfn.CONCAT("Data!$B$2:", ADDRESS(51,COUNTA(Data!$1:$1)+1,1,1))), Songs!A108) + F108</f>
        <v>17</v>
      </c>
      <c r="H108" s="8"/>
      <c r="I108" s="8"/>
      <c r="J108" s="8" cm="1">
        <f t="array" ref="J108">51 - MAX(IF(NOT(ISNA(K108:BB108)),K108:BB108))</f>
        <v>30</v>
      </c>
      <c r="K108" t="e">
        <f>_xlfn.IFNA(51-MATCH(Songs!$A108,Data!G$2:G$51,0),NA())</f>
        <v>#N/A</v>
      </c>
      <c r="L108" t="e">
        <f>_xlfn.IFNA(51-MATCH(Songs!$A108,Data!H$2:H$51,0),NA())</f>
        <v>#N/A</v>
      </c>
      <c r="M108" t="e">
        <f>_xlfn.IFNA(51-MATCH(Songs!$A108,Data!I$2:I$51,0),NA())</f>
        <v>#N/A</v>
      </c>
      <c r="N108" t="e">
        <f>_xlfn.IFNA(51-MATCH(Songs!$A108,Data!J$2:J$51,0),NA())</f>
        <v>#N/A</v>
      </c>
      <c r="O108" t="e">
        <f>_xlfn.IFNA(51-MATCH(Songs!$A108,Data!K$2:K$51,0),NA())</f>
        <v>#N/A</v>
      </c>
      <c r="P108" t="e">
        <f>_xlfn.IFNA(51-MATCH(Songs!$A108,Data!L$2:L$51,0),NA())</f>
        <v>#N/A</v>
      </c>
      <c r="Q108" t="e">
        <f>_xlfn.IFNA(51-MATCH(Songs!$A108,Data!M$2:M$51,0),NA())</f>
        <v>#N/A</v>
      </c>
      <c r="R108" t="e">
        <f>_xlfn.IFNA(51-MATCH(Songs!$A108,Data!N$2:N$51,0),NA())</f>
        <v>#N/A</v>
      </c>
      <c r="S108">
        <f>_xlfn.IFNA(51-MATCH(Songs!$A108,Data!O$2:O$51,0),NA())</f>
        <v>12</v>
      </c>
      <c r="T108">
        <f>_xlfn.IFNA(51-MATCH(Songs!$A108,Data!P$2:P$51,0),NA())</f>
        <v>18</v>
      </c>
      <c r="U108">
        <f>_xlfn.IFNA(51-MATCH(Songs!$A108,Data!Q$2:Q$51,0),NA())</f>
        <v>21</v>
      </c>
      <c r="V108">
        <f>_xlfn.IFNA(51-MATCH(Songs!$A108,Data!R$2:R$51,0),NA())</f>
        <v>17</v>
      </c>
      <c r="W108">
        <f>_xlfn.IFNA(51-MATCH(Songs!$A108,Data!S$2:S$51,0),NA())</f>
        <v>18</v>
      </c>
      <c r="X108">
        <f>_xlfn.IFNA(51-MATCH(Songs!$A108,Data!T$2:T$51,0),NA())</f>
        <v>15</v>
      </c>
      <c r="Y108">
        <f>_xlfn.IFNA(51-MATCH(Songs!$A108,Data!U$2:U$51,0),NA())</f>
        <v>17</v>
      </c>
      <c r="Z108">
        <f>_xlfn.IFNA(51-MATCH(Songs!$A108,Data!V$2:V$51,0),NA())</f>
        <v>16</v>
      </c>
      <c r="AA108">
        <f>_xlfn.IFNA(51-MATCH(Songs!$A108,Data!W$2:W$51,0),NA())</f>
        <v>17</v>
      </c>
      <c r="AB108">
        <f>_xlfn.IFNA(51-MATCH(Songs!$A108,Data!X$2:X$51,0),NA())</f>
        <v>16</v>
      </c>
      <c r="AC108">
        <f>_xlfn.IFNA(51-MATCH(Songs!$A108,Data!Y$2:Y$51,0),NA())</f>
        <v>18</v>
      </c>
      <c r="AD108">
        <f>_xlfn.IFNA(51-MATCH(Songs!$A108,Data!Z$2:Z$51,0),NA())</f>
        <v>20</v>
      </c>
      <c r="AE108">
        <f>_xlfn.IFNA(51-MATCH(Songs!$A108,Data!AA$2:AA$51,0),NA())</f>
        <v>2</v>
      </c>
      <c r="AF108">
        <f>_xlfn.IFNA(51-MATCH(Songs!$A108,Data!AB$2:AB$51,0),NA())</f>
        <v>9</v>
      </c>
      <c r="AG108">
        <f>_xlfn.IFNA(51-MATCH(Songs!$A108,Data!AC$2:AC$51,0),NA())</f>
        <v>14</v>
      </c>
      <c r="AH108">
        <f>_xlfn.IFNA(51-MATCH(Songs!$A108,Data!AD$2:AD$51,0),NA())</f>
        <v>14</v>
      </c>
      <c r="AI108">
        <f>_xlfn.IFNA(51-MATCH(Songs!$A108,Data!AE$2:AE$51,0),NA())</f>
        <v>18</v>
      </c>
    </row>
    <row r="109" spans="1:35" ht="15.75" customHeight="1" x14ac:dyDescent="0.25">
      <c r="A109" s="6" t="s">
        <v>233</v>
      </c>
      <c r="B109" s="2" t="s">
        <v>219</v>
      </c>
      <c r="C109" t="s">
        <v>236</v>
      </c>
      <c r="F109" s="6">
        <v>0</v>
      </c>
      <c r="G109" s="2">
        <f ca="1">COUNTIF(INDIRECT(_xlfn.CONCAT("Data!$B$2:", ADDRESS(51,COUNTA(Data!$1:$1)+1,1,1))), Songs!A109) + F109</f>
        <v>4</v>
      </c>
      <c r="H109" s="8"/>
      <c r="I109" s="8"/>
      <c r="J109" s="8" cm="1">
        <f t="array" ref="J109">51 - MAX(IF(NOT(ISNA(K109:BB109)),K109:BB109))</f>
        <v>37</v>
      </c>
      <c r="K109" t="e">
        <f>_xlfn.IFNA(51-MATCH(Songs!$A109,Data!G$2:G$51,0),NA())</f>
        <v>#N/A</v>
      </c>
      <c r="L109" t="e">
        <f>_xlfn.IFNA(51-MATCH(Songs!$A109,Data!H$2:H$51,0),NA())</f>
        <v>#N/A</v>
      </c>
      <c r="M109" t="e">
        <f>_xlfn.IFNA(51-MATCH(Songs!$A109,Data!I$2:I$51,0),NA())</f>
        <v>#N/A</v>
      </c>
      <c r="N109" t="e">
        <f>_xlfn.IFNA(51-MATCH(Songs!$A109,Data!J$2:J$51,0),NA())</f>
        <v>#N/A</v>
      </c>
      <c r="O109" t="e">
        <f>_xlfn.IFNA(51-MATCH(Songs!$A109,Data!K$2:K$51,0),NA())</f>
        <v>#N/A</v>
      </c>
      <c r="P109" t="e">
        <f>_xlfn.IFNA(51-MATCH(Songs!$A109,Data!L$2:L$51,0),NA())</f>
        <v>#N/A</v>
      </c>
      <c r="Q109" t="e">
        <f>_xlfn.IFNA(51-MATCH(Songs!$A109,Data!M$2:M$51,0),NA())</f>
        <v>#N/A</v>
      </c>
      <c r="R109" t="e">
        <f>_xlfn.IFNA(51-MATCH(Songs!$A109,Data!N$2:N$51,0),NA())</f>
        <v>#N/A</v>
      </c>
      <c r="S109">
        <f>_xlfn.IFNA(51-MATCH(Songs!$A109,Data!O$2:O$51,0),NA())</f>
        <v>5</v>
      </c>
      <c r="T109">
        <f>_xlfn.IFNA(51-MATCH(Songs!$A109,Data!P$2:P$51,0),NA())</f>
        <v>9</v>
      </c>
      <c r="U109">
        <f>_xlfn.IFNA(51-MATCH(Songs!$A109,Data!Q$2:Q$51,0),NA())</f>
        <v>14</v>
      </c>
      <c r="V109">
        <f>_xlfn.IFNA(51-MATCH(Songs!$A109,Data!R$2:R$51,0),NA())</f>
        <v>10</v>
      </c>
      <c r="W109" t="e">
        <f>_xlfn.IFNA(51-MATCH(Songs!$A109,Data!S$2:S$51,0),NA())</f>
        <v>#N/A</v>
      </c>
      <c r="X109" t="e">
        <f>_xlfn.IFNA(51-MATCH(Songs!$A109,Data!T$2:T$51,0),NA())</f>
        <v>#N/A</v>
      </c>
      <c r="Y109" t="e">
        <f>_xlfn.IFNA(51-MATCH(Songs!$A109,Data!U$2:U$51,0),NA())</f>
        <v>#N/A</v>
      </c>
      <c r="Z109" t="e">
        <f>_xlfn.IFNA(51-MATCH(Songs!$A109,Data!V$2:V$51,0),NA())</f>
        <v>#N/A</v>
      </c>
      <c r="AA109" t="e">
        <f>_xlfn.IFNA(51-MATCH(Songs!$A109,Data!W$2:W$51,0),NA())</f>
        <v>#N/A</v>
      </c>
      <c r="AB109" t="e">
        <f>_xlfn.IFNA(51-MATCH(Songs!$A109,Data!X$2:X$51,0),NA())</f>
        <v>#N/A</v>
      </c>
      <c r="AC109" t="e">
        <f>_xlfn.IFNA(51-MATCH(Songs!$A109,Data!Y$2:Y$51,0),NA())</f>
        <v>#N/A</v>
      </c>
      <c r="AD109" t="e">
        <f>_xlfn.IFNA(51-MATCH(Songs!$A109,Data!Z$2:Z$51,0),NA())</f>
        <v>#N/A</v>
      </c>
      <c r="AE109" t="e">
        <f>_xlfn.IFNA(51-MATCH(Songs!$A109,Data!AA$2:AA$51,0),NA())</f>
        <v>#N/A</v>
      </c>
      <c r="AF109" t="e">
        <f>_xlfn.IFNA(51-MATCH(Songs!$A109,Data!AB$2:AB$51,0),NA())</f>
        <v>#N/A</v>
      </c>
      <c r="AG109" t="e">
        <f>_xlfn.IFNA(51-MATCH(Songs!$A109,Data!AC$2:AC$51,0),NA())</f>
        <v>#N/A</v>
      </c>
      <c r="AH109" t="e">
        <f>_xlfn.IFNA(51-MATCH(Songs!$A109,Data!AD$2:AD$51,0),NA())</f>
        <v>#N/A</v>
      </c>
      <c r="AI109" t="e">
        <f>_xlfn.IFNA(51-MATCH(Songs!$A109,Data!AE$2:AE$51,0),NA())</f>
        <v>#N/A</v>
      </c>
    </row>
    <row r="110" spans="1:35" ht="15.75" customHeight="1" x14ac:dyDescent="0.25">
      <c r="A110" s="6" t="s">
        <v>238</v>
      </c>
      <c r="B110" s="2" t="s">
        <v>222</v>
      </c>
      <c r="F110" s="6">
        <v>0</v>
      </c>
      <c r="G110" s="2">
        <f ca="1">COUNTIF(INDIRECT(_xlfn.CONCAT("Data!$B$2:", ADDRESS(51,COUNTA(Data!$1:$1)+1,1,1))), Songs!A110) + F110</f>
        <v>2</v>
      </c>
      <c r="H110" s="8"/>
      <c r="I110" s="8"/>
      <c r="J110" s="8" cm="1">
        <f t="array" ref="J110">51 - MAX(IF(NOT(ISNA(K110:BB110)),K110:BB110))</f>
        <v>45</v>
      </c>
      <c r="K110" t="e">
        <f>_xlfn.IFNA(51-MATCH(Songs!$A110,Data!G$2:G$51,0),NA())</f>
        <v>#N/A</v>
      </c>
      <c r="L110" t="e">
        <f>_xlfn.IFNA(51-MATCH(Songs!$A110,Data!H$2:H$51,0),NA())</f>
        <v>#N/A</v>
      </c>
      <c r="M110" t="e">
        <f>_xlfn.IFNA(51-MATCH(Songs!$A110,Data!I$2:I$51,0),NA())</f>
        <v>#N/A</v>
      </c>
      <c r="N110" t="e">
        <f>_xlfn.IFNA(51-MATCH(Songs!$A110,Data!J$2:J$51,0),NA())</f>
        <v>#N/A</v>
      </c>
      <c r="O110" t="e">
        <f>_xlfn.IFNA(51-MATCH(Songs!$A110,Data!K$2:K$51,0),NA())</f>
        <v>#N/A</v>
      </c>
      <c r="P110" t="e">
        <f>_xlfn.IFNA(51-MATCH(Songs!$A110,Data!L$2:L$51,0),NA())</f>
        <v>#N/A</v>
      </c>
      <c r="Q110" t="e">
        <f>_xlfn.IFNA(51-MATCH(Songs!$A110,Data!M$2:M$51,0),NA())</f>
        <v>#N/A</v>
      </c>
      <c r="R110" t="e">
        <f>_xlfn.IFNA(51-MATCH(Songs!$A110,Data!N$2:N$51,0),NA())</f>
        <v>#N/A</v>
      </c>
      <c r="S110" t="e">
        <f>_xlfn.IFNA(51-MATCH(Songs!$A110,Data!O$2:O$51,0),NA())</f>
        <v>#N/A</v>
      </c>
      <c r="T110" t="e">
        <f>_xlfn.IFNA(51-MATCH(Songs!$A110,Data!P$2:P$51,0),NA())</f>
        <v>#N/A</v>
      </c>
      <c r="U110">
        <f>_xlfn.IFNA(51-MATCH(Songs!$A110,Data!Q$2:Q$51,0),NA())</f>
        <v>6</v>
      </c>
      <c r="V110">
        <f>_xlfn.IFNA(51-MATCH(Songs!$A110,Data!R$2:R$51,0),NA())</f>
        <v>3</v>
      </c>
      <c r="W110" t="e">
        <f>_xlfn.IFNA(51-MATCH(Songs!$A110,Data!S$2:S$51,0),NA())</f>
        <v>#N/A</v>
      </c>
      <c r="X110" t="e">
        <f>_xlfn.IFNA(51-MATCH(Songs!$A110,Data!T$2:T$51,0),NA())</f>
        <v>#N/A</v>
      </c>
      <c r="Y110" t="e">
        <f>_xlfn.IFNA(51-MATCH(Songs!$A110,Data!U$2:U$51,0),NA())</f>
        <v>#N/A</v>
      </c>
      <c r="Z110" t="e">
        <f>_xlfn.IFNA(51-MATCH(Songs!$A110,Data!V$2:V$51,0),NA())</f>
        <v>#N/A</v>
      </c>
      <c r="AA110" t="e">
        <f>_xlfn.IFNA(51-MATCH(Songs!$A110,Data!W$2:W$51,0),NA())</f>
        <v>#N/A</v>
      </c>
      <c r="AB110" t="e">
        <f>_xlfn.IFNA(51-MATCH(Songs!$A110,Data!X$2:X$51,0),NA())</f>
        <v>#N/A</v>
      </c>
      <c r="AC110" t="e">
        <f>_xlfn.IFNA(51-MATCH(Songs!$A110,Data!Y$2:Y$51,0),NA())</f>
        <v>#N/A</v>
      </c>
      <c r="AD110" t="e">
        <f>_xlfn.IFNA(51-MATCH(Songs!$A110,Data!Z$2:Z$51,0),NA())</f>
        <v>#N/A</v>
      </c>
      <c r="AE110" t="e">
        <f>_xlfn.IFNA(51-MATCH(Songs!$A110,Data!AA$2:AA$51,0),NA())</f>
        <v>#N/A</v>
      </c>
      <c r="AF110" t="e">
        <f>_xlfn.IFNA(51-MATCH(Songs!$A110,Data!AB$2:AB$51,0),NA())</f>
        <v>#N/A</v>
      </c>
      <c r="AG110" t="e">
        <f>_xlfn.IFNA(51-MATCH(Songs!$A110,Data!AC$2:AC$51,0),NA())</f>
        <v>#N/A</v>
      </c>
      <c r="AH110" t="e">
        <f>_xlfn.IFNA(51-MATCH(Songs!$A110,Data!AD$2:AD$51,0),NA())</f>
        <v>#N/A</v>
      </c>
      <c r="AI110" t="e">
        <f>_xlfn.IFNA(51-MATCH(Songs!$A110,Data!AE$2:AE$51,0),NA())</f>
        <v>#N/A</v>
      </c>
    </row>
    <row r="111" spans="1:35" ht="15.75" customHeight="1" x14ac:dyDescent="0.25">
      <c r="A111" s="6" t="s">
        <v>243</v>
      </c>
      <c r="B111" s="2" t="s">
        <v>250</v>
      </c>
      <c r="C111" t="s">
        <v>251</v>
      </c>
      <c r="F111" s="6">
        <v>0</v>
      </c>
      <c r="G111" s="2">
        <f ca="1">COUNTIF(INDIRECT(_xlfn.CONCAT("Data!$B$2:", ADDRESS(51,COUNTA(Data!$1:$1)+1,1,1))), Songs!A111) + F111</f>
        <v>14</v>
      </c>
      <c r="H111" s="8"/>
      <c r="I111" s="8"/>
      <c r="J111" s="8" cm="1">
        <f t="array" ref="J111">51 - MAX(IF(NOT(ISNA(K111:BB111)),K111:BB111))</f>
        <v>4</v>
      </c>
      <c r="K111" t="e">
        <f>_xlfn.IFNA(51-MATCH(Songs!$A111,Data!G$2:G$51,0),NA())</f>
        <v>#N/A</v>
      </c>
      <c r="L111" t="e">
        <f>_xlfn.IFNA(51-MATCH(Songs!$A111,Data!H$2:H$51,0),NA())</f>
        <v>#N/A</v>
      </c>
      <c r="M111" t="e">
        <f>_xlfn.IFNA(51-MATCH(Songs!$A111,Data!I$2:I$51,0),NA())</f>
        <v>#N/A</v>
      </c>
      <c r="N111" t="e">
        <f>_xlfn.IFNA(51-MATCH(Songs!$A111,Data!J$2:J$51,0),NA())</f>
        <v>#N/A</v>
      </c>
      <c r="O111" t="e">
        <f>_xlfn.IFNA(51-MATCH(Songs!$A111,Data!K$2:K$51,0),NA())</f>
        <v>#N/A</v>
      </c>
      <c r="P111" t="e">
        <f>_xlfn.IFNA(51-MATCH(Songs!$A111,Data!L$2:L$51,0),NA())</f>
        <v>#N/A</v>
      </c>
      <c r="Q111" t="e">
        <f>_xlfn.IFNA(51-MATCH(Songs!$A111,Data!M$2:M$51,0),NA())</f>
        <v>#N/A</v>
      </c>
      <c r="R111" t="e">
        <f>_xlfn.IFNA(51-MATCH(Songs!$A111,Data!N$2:N$51,0),NA())</f>
        <v>#N/A</v>
      </c>
      <c r="S111" t="e">
        <f>_xlfn.IFNA(51-MATCH(Songs!$A111,Data!O$2:O$51,0),NA())</f>
        <v>#N/A</v>
      </c>
      <c r="T111" t="e">
        <f>_xlfn.IFNA(51-MATCH(Songs!$A111,Data!P$2:P$51,0),NA())</f>
        <v>#N/A</v>
      </c>
      <c r="U111" t="e">
        <f>_xlfn.IFNA(51-MATCH(Songs!$A111,Data!Q$2:Q$51,0),NA())</f>
        <v>#N/A</v>
      </c>
      <c r="V111">
        <f>_xlfn.IFNA(51-MATCH(Songs!$A111,Data!R$2:R$51,0),NA())</f>
        <v>46</v>
      </c>
      <c r="W111">
        <f>_xlfn.IFNA(51-MATCH(Songs!$A111,Data!S$2:S$51,0),NA())</f>
        <v>47</v>
      </c>
      <c r="X111">
        <f>_xlfn.IFNA(51-MATCH(Songs!$A111,Data!T$2:T$51,0),NA())</f>
        <v>45</v>
      </c>
      <c r="Y111">
        <f>_xlfn.IFNA(51-MATCH(Songs!$A111,Data!U$2:U$51,0),NA())</f>
        <v>45</v>
      </c>
      <c r="Z111">
        <f>_xlfn.IFNA(51-MATCH(Songs!$A111,Data!V$2:V$51,0),NA())</f>
        <v>44</v>
      </c>
      <c r="AA111">
        <f>_xlfn.IFNA(51-MATCH(Songs!$A111,Data!W$2:W$51,0),NA())</f>
        <v>44</v>
      </c>
      <c r="AB111">
        <f>_xlfn.IFNA(51-MATCH(Songs!$A111,Data!X$2:X$51,0),NA())</f>
        <v>43</v>
      </c>
      <c r="AC111">
        <f>_xlfn.IFNA(51-MATCH(Songs!$A111,Data!Y$2:Y$51,0),NA())</f>
        <v>42</v>
      </c>
      <c r="AD111">
        <f>_xlfn.IFNA(51-MATCH(Songs!$A111,Data!Z$2:Z$51,0),NA())</f>
        <v>44</v>
      </c>
      <c r="AE111">
        <f>_xlfn.IFNA(51-MATCH(Songs!$A111,Data!AA$2:AA$51,0),NA())</f>
        <v>44</v>
      </c>
      <c r="AF111">
        <f>_xlfn.IFNA(51-MATCH(Songs!$A111,Data!AB$2:AB$51,0),NA())</f>
        <v>44</v>
      </c>
      <c r="AG111">
        <f>_xlfn.IFNA(51-MATCH(Songs!$A111,Data!AC$2:AC$51,0),NA())</f>
        <v>43</v>
      </c>
      <c r="AH111">
        <f>_xlfn.IFNA(51-MATCH(Songs!$A111,Data!AD$2:AD$51,0),NA())</f>
        <v>43</v>
      </c>
      <c r="AI111">
        <f>_xlfn.IFNA(51-MATCH(Songs!$A111,Data!AE$2:AE$51,0),NA())</f>
        <v>44</v>
      </c>
    </row>
    <row r="112" spans="1:35" ht="15.75" customHeight="1" x14ac:dyDescent="0.25">
      <c r="A112" s="6" t="s">
        <v>244</v>
      </c>
      <c r="B112" s="2" t="s">
        <v>104</v>
      </c>
      <c r="F112" s="6">
        <v>0</v>
      </c>
      <c r="G112" s="2">
        <f ca="1">COUNTIF(INDIRECT(_xlfn.CONCAT("Data!$B$2:", ADDRESS(51,COUNTA(Data!$1:$1)+1,1,1))), Songs!A112) + F112</f>
        <v>13</v>
      </c>
      <c r="H112" s="8"/>
      <c r="I112" s="8"/>
      <c r="J112" s="8" cm="1">
        <f t="array" ref="J112">51 - MAX(IF(NOT(ISNA(K112:BB112)),K112:BB112))</f>
        <v>21</v>
      </c>
      <c r="K112" t="e">
        <f>_xlfn.IFNA(51-MATCH(Songs!$A112,Data!G$2:G$51,0),NA())</f>
        <v>#N/A</v>
      </c>
      <c r="L112" t="e">
        <f>_xlfn.IFNA(51-MATCH(Songs!$A112,Data!H$2:H$51,0),NA())</f>
        <v>#N/A</v>
      </c>
      <c r="M112" t="e">
        <f>_xlfn.IFNA(51-MATCH(Songs!$A112,Data!I$2:I$51,0),NA())</f>
        <v>#N/A</v>
      </c>
      <c r="N112" t="e">
        <f>_xlfn.IFNA(51-MATCH(Songs!$A112,Data!J$2:J$51,0),NA())</f>
        <v>#N/A</v>
      </c>
      <c r="O112" t="e">
        <f>_xlfn.IFNA(51-MATCH(Songs!$A112,Data!K$2:K$51,0),NA())</f>
        <v>#N/A</v>
      </c>
      <c r="P112" t="e">
        <f>_xlfn.IFNA(51-MATCH(Songs!$A112,Data!L$2:L$51,0),NA())</f>
        <v>#N/A</v>
      </c>
      <c r="Q112" t="e">
        <f>_xlfn.IFNA(51-MATCH(Songs!$A112,Data!M$2:M$51,0),NA())</f>
        <v>#N/A</v>
      </c>
      <c r="R112" t="e">
        <f>_xlfn.IFNA(51-MATCH(Songs!$A112,Data!N$2:N$51,0),NA())</f>
        <v>#N/A</v>
      </c>
      <c r="S112" t="e">
        <f>_xlfn.IFNA(51-MATCH(Songs!$A112,Data!O$2:O$51,0),NA())</f>
        <v>#N/A</v>
      </c>
      <c r="T112" t="e">
        <f>_xlfn.IFNA(51-MATCH(Songs!$A112,Data!P$2:P$51,0),NA())</f>
        <v>#N/A</v>
      </c>
      <c r="U112" t="e">
        <f>_xlfn.IFNA(51-MATCH(Songs!$A112,Data!Q$2:Q$51,0),NA())</f>
        <v>#N/A</v>
      </c>
      <c r="V112">
        <f>_xlfn.IFNA(51-MATCH(Songs!$A112,Data!R$2:R$51,0),NA())</f>
        <v>25</v>
      </c>
      <c r="W112">
        <f>_xlfn.IFNA(51-MATCH(Songs!$A112,Data!S$2:S$51,0),NA())</f>
        <v>13</v>
      </c>
      <c r="X112">
        <f>_xlfn.IFNA(51-MATCH(Songs!$A112,Data!T$2:T$51,0),NA())</f>
        <v>13</v>
      </c>
      <c r="Y112">
        <f>_xlfn.IFNA(51-MATCH(Songs!$A112,Data!U$2:U$51,0),NA())</f>
        <v>18</v>
      </c>
      <c r="Z112">
        <f>_xlfn.IFNA(51-MATCH(Songs!$A112,Data!V$2:V$51,0),NA())</f>
        <v>13</v>
      </c>
      <c r="AA112">
        <f>_xlfn.IFNA(51-MATCH(Songs!$A112,Data!W$2:W$51,0),NA())</f>
        <v>11</v>
      </c>
      <c r="AB112">
        <f>_xlfn.IFNA(51-MATCH(Songs!$A112,Data!X$2:X$51,0),NA())</f>
        <v>3</v>
      </c>
      <c r="AC112">
        <f>_xlfn.IFNA(51-MATCH(Songs!$A112,Data!Y$2:Y$51,0),NA())</f>
        <v>7</v>
      </c>
      <c r="AD112">
        <f>_xlfn.IFNA(51-MATCH(Songs!$A112,Data!Z$2:Z$51,0),NA())</f>
        <v>9</v>
      </c>
      <c r="AE112" t="e">
        <f>_xlfn.IFNA(51-MATCH(Songs!$A112,Data!AA$2:AA$51,0),NA())</f>
        <v>#N/A</v>
      </c>
      <c r="AF112">
        <f>_xlfn.IFNA(51-MATCH(Songs!$A112,Data!AB$2:AB$51,0),NA())</f>
        <v>30</v>
      </c>
      <c r="AG112">
        <f>_xlfn.IFNA(51-MATCH(Songs!$A112,Data!AC$2:AC$51,0),NA())</f>
        <v>25</v>
      </c>
      <c r="AH112">
        <f>_xlfn.IFNA(51-MATCH(Songs!$A112,Data!AD$2:AD$51,0),NA())</f>
        <v>11</v>
      </c>
      <c r="AI112">
        <f>_xlfn.IFNA(51-MATCH(Songs!$A112,Data!AE$2:AE$51,0),NA())</f>
        <v>2</v>
      </c>
    </row>
    <row r="113" spans="1:35" ht="15.75" customHeight="1" x14ac:dyDescent="0.25">
      <c r="A113" s="6" t="s">
        <v>245</v>
      </c>
      <c r="B113" s="2" t="s">
        <v>252</v>
      </c>
      <c r="F113" s="6">
        <v>0</v>
      </c>
      <c r="G113" s="2">
        <f ca="1">COUNTIF(INDIRECT(_xlfn.CONCAT("Data!$B$2:", ADDRESS(51,COUNTA(Data!$1:$1)+1,1,1))), Songs!A113) + F113</f>
        <v>2</v>
      </c>
      <c r="H113" s="8"/>
      <c r="I113" s="8"/>
      <c r="J113" s="8" cm="1">
        <f t="array" ref="J113">51 - MAX(IF(NOT(ISNA(K113:BB113)),K113:BB113))</f>
        <v>31</v>
      </c>
      <c r="K113" t="e">
        <f>_xlfn.IFNA(51-MATCH(Songs!$A113,Data!G$2:G$51,0),NA())</f>
        <v>#N/A</v>
      </c>
      <c r="L113" t="e">
        <f>_xlfn.IFNA(51-MATCH(Songs!$A113,Data!H$2:H$51,0),NA())</f>
        <v>#N/A</v>
      </c>
      <c r="M113" t="e">
        <f>_xlfn.IFNA(51-MATCH(Songs!$A113,Data!I$2:I$51,0),NA())</f>
        <v>#N/A</v>
      </c>
      <c r="N113" t="e">
        <f>_xlfn.IFNA(51-MATCH(Songs!$A113,Data!J$2:J$51,0),NA())</f>
        <v>#N/A</v>
      </c>
      <c r="O113" t="e">
        <f>_xlfn.IFNA(51-MATCH(Songs!$A113,Data!K$2:K$51,0),NA())</f>
        <v>#N/A</v>
      </c>
      <c r="P113" t="e">
        <f>_xlfn.IFNA(51-MATCH(Songs!$A113,Data!L$2:L$51,0),NA())</f>
        <v>#N/A</v>
      </c>
      <c r="Q113" t="e">
        <f>_xlfn.IFNA(51-MATCH(Songs!$A113,Data!M$2:M$51,0),NA())</f>
        <v>#N/A</v>
      </c>
      <c r="R113" t="e">
        <f>_xlfn.IFNA(51-MATCH(Songs!$A113,Data!N$2:N$51,0),NA())</f>
        <v>#N/A</v>
      </c>
      <c r="S113" t="e">
        <f>_xlfn.IFNA(51-MATCH(Songs!$A113,Data!O$2:O$51,0),NA())</f>
        <v>#N/A</v>
      </c>
      <c r="T113" t="e">
        <f>_xlfn.IFNA(51-MATCH(Songs!$A113,Data!P$2:P$51,0),NA())</f>
        <v>#N/A</v>
      </c>
      <c r="U113" t="e">
        <f>_xlfn.IFNA(51-MATCH(Songs!$A113,Data!Q$2:Q$51,0),NA())</f>
        <v>#N/A</v>
      </c>
      <c r="V113">
        <f>_xlfn.IFNA(51-MATCH(Songs!$A113,Data!R$2:R$51,0),NA())</f>
        <v>20</v>
      </c>
      <c r="W113" t="e">
        <f>_xlfn.IFNA(51-MATCH(Songs!$A113,Data!S$2:S$51,0),NA())</f>
        <v>#N/A</v>
      </c>
      <c r="X113" t="e">
        <f>_xlfn.IFNA(51-MATCH(Songs!$A113,Data!T$2:T$51,0),NA())</f>
        <v>#N/A</v>
      </c>
      <c r="Y113">
        <f>_xlfn.IFNA(51-MATCH(Songs!$A113,Data!U$2:U$51,0),NA())</f>
        <v>5</v>
      </c>
      <c r="Z113" t="e">
        <f>_xlfn.IFNA(51-MATCH(Songs!$A113,Data!V$2:V$51,0),NA())</f>
        <v>#N/A</v>
      </c>
      <c r="AA113" t="e">
        <f>_xlfn.IFNA(51-MATCH(Songs!$A113,Data!W$2:W$51,0),NA())</f>
        <v>#N/A</v>
      </c>
      <c r="AB113" t="e">
        <f>_xlfn.IFNA(51-MATCH(Songs!$A113,Data!X$2:X$51,0),NA())</f>
        <v>#N/A</v>
      </c>
      <c r="AC113" t="e">
        <f>_xlfn.IFNA(51-MATCH(Songs!$A113,Data!Y$2:Y$51,0),NA())</f>
        <v>#N/A</v>
      </c>
      <c r="AD113" t="e">
        <f>_xlfn.IFNA(51-MATCH(Songs!$A113,Data!Z$2:Z$51,0),NA())</f>
        <v>#N/A</v>
      </c>
      <c r="AE113" t="e">
        <f>_xlfn.IFNA(51-MATCH(Songs!$A113,Data!AA$2:AA$51,0),NA())</f>
        <v>#N/A</v>
      </c>
      <c r="AF113" t="e">
        <f>_xlfn.IFNA(51-MATCH(Songs!$A113,Data!AB$2:AB$51,0),NA())</f>
        <v>#N/A</v>
      </c>
      <c r="AG113" t="e">
        <f>_xlfn.IFNA(51-MATCH(Songs!$A113,Data!AC$2:AC$51,0),NA())</f>
        <v>#N/A</v>
      </c>
      <c r="AH113" t="e">
        <f>_xlfn.IFNA(51-MATCH(Songs!$A113,Data!AD$2:AD$51,0),NA())</f>
        <v>#N/A</v>
      </c>
      <c r="AI113" t="e">
        <f>_xlfn.IFNA(51-MATCH(Songs!$A113,Data!AE$2:AE$51,0),NA())</f>
        <v>#N/A</v>
      </c>
    </row>
    <row r="114" spans="1:35" ht="15.75" customHeight="1" x14ac:dyDescent="0.25">
      <c r="A114" s="6" t="s">
        <v>246</v>
      </c>
      <c r="B114" s="2" t="s">
        <v>253</v>
      </c>
      <c r="F114" s="6">
        <v>0</v>
      </c>
      <c r="G114" s="2">
        <f ca="1">COUNTIF(INDIRECT(_xlfn.CONCAT("Data!$B$2:", ADDRESS(51,COUNTA(Data!$1:$1)+1,1,1))), Songs!A114) + F114</f>
        <v>1</v>
      </c>
      <c r="H114" s="8"/>
      <c r="I114" s="8"/>
      <c r="J114" s="8" cm="1">
        <f t="array" ref="J114">51 - MAX(IF(NOT(ISNA(K114:BB114)),K114:BB114))</f>
        <v>33</v>
      </c>
      <c r="K114" t="e">
        <f>_xlfn.IFNA(51-MATCH(Songs!$A114,Data!G$2:G$51,0),NA())</f>
        <v>#N/A</v>
      </c>
      <c r="L114" t="e">
        <f>_xlfn.IFNA(51-MATCH(Songs!$A114,Data!H$2:H$51,0),NA())</f>
        <v>#N/A</v>
      </c>
      <c r="M114" t="e">
        <f>_xlfn.IFNA(51-MATCH(Songs!$A114,Data!I$2:I$51,0),NA())</f>
        <v>#N/A</v>
      </c>
      <c r="N114" t="e">
        <f>_xlfn.IFNA(51-MATCH(Songs!$A114,Data!J$2:J$51,0),NA())</f>
        <v>#N/A</v>
      </c>
      <c r="O114" t="e">
        <f>_xlfn.IFNA(51-MATCH(Songs!$A114,Data!K$2:K$51,0),NA())</f>
        <v>#N/A</v>
      </c>
      <c r="P114" t="e">
        <f>_xlfn.IFNA(51-MATCH(Songs!$A114,Data!L$2:L$51,0),NA())</f>
        <v>#N/A</v>
      </c>
      <c r="Q114" t="e">
        <f>_xlfn.IFNA(51-MATCH(Songs!$A114,Data!M$2:M$51,0),NA())</f>
        <v>#N/A</v>
      </c>
      <c r="R114" t="e">
        <f>_xlfn.IFNA(51-MATCH(Songs!$A114,Data!N$2:N$51,0),NA())</f>
        <v>#N/A</v>
      </c>
      <c r="S114" t="e">
        <f>_xlfn.IFNA(51-MATCH(Songs!$A114,Data!O$2:O$51,0),NA())</f>
        <v>#N/A</v>
      </c>
      <c r="T114" t="e">
        <f>_xlfn.IFNA(51-MATCH(Songs!$A114,Data!P$2:P$51,0),NA())</f>
        <v>#N/A</v>
      </c>
      <c r="U114" t="e">
        <f>_xlfn.IFNA(51-MATCH(Songs!$A114,Data!Q$2:Q$51,0),NA())</f>
        <v>#N/A</v>
      </c>
      <c r="V114">
        <f>_xlfn.IFNA(51-MATCH(Songs!$A114,Data!R$2:R$51,0),NA())</f>
        <v>18</v>
      </c>
      <c r="W114" t="e">
        <f>_xlfn.IFNA(51-MATCH(Songs!$A114,Data!S$2:S$51,0),NA())</f>
        <v>#N/A</v>
      </c>
      <c r="X114" t="e">
        <f>_xlfn.IFNA(51-MATCH(Songs!$A114,Data!T$2:T$51,0),NA())</f>
        <v>#N/A</v>
      </c>
      <c r="Y114" t="e">
        <f>_xlfn.IFNA(51-MATCH(Songs!$A114,Data!U$2:U$51,0),NA())</f>
        <v>#N/A</v>
      </c>
      <c r="Z114" t="e">
        <f>_xlfn.IFNA(51-MATCH(Songs!$A114,Data!V$2:V$51,0),NA())</f>
        <v>#N/A</v>
      </c>
      <c r="AA114" t="e">
        <f>_xlfn.IFNA(51-MATCH(Songs!$A114,Data!W$2:W$51,0),NA())</f>
        <v>#N/A</v>
      </c>
      <c r="AB114" t="e">
        <f>_xlfn.IFNA(51-MATCH(Songs!$A114,Data!X$2:X$51,0),NA())</f>
        <v>#N/A</v>
      </c>
      <c r="AC114" t="e">
        <f>_xlfn.IFNA(51-MATCH(Songs!$A114,Data!Y$2:Y$51,0),NA())</f>
        <v>#N/A</v>
      </c>
      <c r="AD114" t="e">
        <f>_xlfn.IFNA(51-MATCH(Songs!$A114,Data!Z$2:Z$51,0),NA())</f>
        <v>#N/A</v>
      </c>
      <c r="AE114" t="e">
        <f>_xlfn.IFNA(51-MATCH(Songs!$A114,Data!AA$2:AA$51,0),NA())</f>
        <v>#N/A</v>
      </c>
      <c r="AF114" t="e">
        <f>_xlfn.IFNA(51-MATCH(Songs!$A114,Data!AB$2:AB$51,0),NA())</f>
        <v>#N/A</v>
      </c>
      <c r="AG114" t="e">
        <f>_xlfn.IFNA(51-MATCH(Songs!$A114,Data!AC$2:AC$51,0),NA())</f>
        <v>#N/A</v>
      </c>
      <c r="AH114" t="e">
        <f>_xlfn.IFNA(51-MATCH(Songs!$A114,Data!AD$2:AD$51,0),NA())</f>
        <v>#N/A</v>
      </c>
      <c r="AI114" t="e">
        <f>_xlfn.IFNA(51-MATCH(Songs!$A114,Data!AE$2:AE$51,0),NA())</f>
        <v>#N/A</v>
      </c>
    </row>
    <row r="115" spans="1:35" ht="15.75" customHeight="1" x14ac:dyDescent="0.25">
      <c r="A115" s="6" t="s">
        <v>247</v>
      </c>
      <c r="B115" s="2" t="s">
        <v>222</v>
      </c>
      <c r="C115" t="s">
        <v>236</v>
      </c>
      <c r="F115" s="6">
        <v>0</v>
      </c>
      <c r="G115" s="2">
        <f ca="1">COUNTIF(INDIRECT(_xlfn.CONCAT("Data!$B$2:", ADDRESS(51,COUNTA(Data!$1:$1)+1,1,1))), Songs!A115) + F115</f>
        <v>14</v>
      </c>
      <c r="H115" s="8"/>
      <c r="I115" s="8"/>
      <c r="J115" s="8" cm="1">
        <f t="array" ref="J115">51 - MAX(IF(NOT(ISNA(K115:BB115)),K115:BB115))</f>
        <v>1</v>
      </c>
      <c r="K115" t="e">
        <f>_xlfn.IFNA(51-MATCH(Songs!$A115,Data!G$2:G$51,0),NA())</f>
        <v>#N/A</v>
      </c>
      <c r="L115" t="e">
        <f>_xlfn.IFNA(51-MATCH(Songs!$A115,Data!H$2:H$51,0),NA())</f>
        <v>#N/A</v>
      </c>
      <c r="M115" t="e">
        <f>_xlfn.IFNA(51-MATCH(Songs!$A115,Data!I$2:I$51,0),NA())</f>
        <v>#N/A</v>
      </c>
      <c r="N115" t="e">
        <f>_xlfn.IFNA(51-MATCH(Songs!$A115,Data!J$2:J$51,0),NA())</f>
        <v>#N/A</v>
      </c>
      <c r="O115" t="e">
        <f>_xlfn.IFNA(51-MATCH(Songs!$A115,Data!K$2:K$51,0),NA())</f>
        <v>#N/A</v>
      </c>
      <c r="P115" t="e">
        <f>_xlfn.IFNA(51-MATCH(Songs!$A115,Data!L$2:L$51,0),NA())</f>
        <v>#N/A</v>
      </c>
      <c r="Q115" t="e">
        <f>_xlfn.IFNA(51-MATCH(Songs!$A115,Data!M$2:M$51,0),NA())</f>
        <v>#N/A</v>
      </c>
      <c r="R115" t="e">
        <f>_xlfn.IFNA(51-MATCH(Songs!$A115,Data!N$2:N$51,0),NA())</f>
        <v>#N/A</v>
      </c>
      <c r="S115" t="e">
        <f>_xlfn.IFNA(51-MATCH(Songs!$A115,Data!O$2:O$51,0),NA())</f>
        <v>#N/A</v>
      </c>
      <c r="T115" t="e">
        <f>_xlfn.IFNA(51-MATCH(Songs!$A115,Data!P$2:P$51,0),NA())</f>
        <v>#N/A</v>
      </c>
      <c r="U115" t="e">
        <f>_xlfn.IFNA(51-MATCH(Songs!$A115,Data!Q$2:Q$51,0),NA())</f>
        <v>#N/A</v>
      </c>
      <c r="V115">
        <f>_xlfn.IFNA(51-MATCH(Songs!$A115,Data!R$2:R$51,0),NA())</f>
        <v>5</v>
      </c>
      <c r="W115">
        <f>_xlfn.IFNA(51-MATCH(Songs!$A115,Data!S$2:S$51,0),NA())</f>
        <v>50</v>
      </c>
      <c r="X115">
        <f>_xlfn.IFNA(51-MATCH(Songs!$A115,Data!T$2:T$51,0),NA())</f>
        <v>50</v>
      </c>
      <c r="Y115">
        <f>_xlfn.IFNA(51-MATCH(Songs!$A115,Data!U$2:U$51,0),NA())</f>
        <v>50</v>
      </c>
      <c r="Z115">
        <f>_xlfn.IFNA(51-MATCH(Songs!$A115,Data!V$2:V$51,0),NA())</f>
        <v>50</v>
      </c>
      <c r="AA115">
        <f>_xlfn.IFNA(51-MATCH(Songs!$A115,Data!W$2:W$51,0),NA())</f>
        <v>50</v>
      </c>
      <c r="AB115">
        <f>_xlfn.IFNA(51-MATCH(Songs!$A115,Data!X$2:X$51,0),NA())</f>
        <v>50</v>
      </c>
      <c r="AC115">
        <f>_xlfn.IFNA(51-MATCH(Songs!$A115,Data!Y$2:Y$51,0),NA())</f>
        <v>50</v>
      </c>
      <c r="AD115">
        <f>_xlfn.IFNA(51-MATCH(Songs!$A115,Data!Z$2:Z$51,0),NA())</f>
        <v>49</v>
      </c>
      <c r="AE115">
        <f>_xlfn.IFNA(51-MATCH(Songs!$A115,Data!AA$2:AA$51,0),NA())</f>
        <v>49</v>
      </c>
      <c r="AF115">
        <f>_xlfn.IFNA(51-MATCH(Songs!$A115,Data!AB$2:AB$51,0),NA())</f>
        <v>49</v>
      </c>
      <c r="AG115">
        <f>_xlfn.IFNA(51-MATCH(Songs!$A115,Data!AC$2:AC$51,0),NA())</f>
        <v>49</v>
      </c>
      <c r="AH115">
        <f>_xlfn.IFNA(51-MATCH(Songs!$A115,Data!AD$2:AD$51,0),NA())</f>
        <v>49</v>
      </c>
      <c r="AI115">
        <f>_xlfn.IFNA(51-MATCH(Songs!$A115,Data!AE$2:AE$51,0),NA())</f>
        <v>49</v>
      </c>
    </row>
    <row r="116" spans="1:35" ht="15.75" customHeight="1" x14ac:dyDescent="0.25">
      <c r="A116" s="6" t="s">
        <v>248</v>
      </c>
      <c r="B116" s="2" t="s">
        <v>254</v>
      </c>
      <c r="F116" s="6">
        <v>0</v>
      </c>
      <c r="G116" s="2">
        <f ca="1">COUNTIF(INDIRECT(_xlfn.CONCAT("Data!$B$2:", ADDRESS(51,COUNTA(Data!$1:$1)+1,1,1))), Songs!A116) + F116</f>
        <v>1</v>
      </c>
      <c r="H116" s="8"/>
      <c r="I116" s="8"/>
      <c r="J116" s="8" cm="1">
        <f t="array" ref="J116">51 - MAX(IF(NOT(ISNA(K116:BB116)),K116:BB116))</f>
        <v>49</v>
      </c>
      <c r="K116" t="e">
        <f>_xlfn.IFNA(51-MATCH(Songs!$A116,Data!G$2:G$51,0),NA())</f>
        <v>#N/A</v>
      </c>
      <c r="L116" t="e">
        <f>_xlfn.IFNA(51-MATCH(Songs!$A116,Data!H$2:H$51,0),NA())</f>
        <v>#N/A</v>
      </c>
      <c r="M116" t="e">
        <f>_xlfn.IFNA(51-MATCH(Songs!$A116,Data!I$2:I$51,0),NA())</f>
        <v>#N/A</v>
      </c>
      <c r="N116" t="e">
        <f>_xlfn.IFNA(51-MATCH(Songs!$A116,Data!J$2:J$51,0),NA())</f>
        <v>#N/A</v>
      </c>
      <c r="O116" t="e">
        <f>_xlfn.IFNA(51-MATCH(Songs!$A116,Data!K$2:K$51,0),NA())</f>
        <v>#N/A</v>
      </c>
      <c r="P116" t="e">
        <f>_xlfn.IFNA(51-MATCH(Songs!$A116,Data!L$2:L$51,0),NA())</f>
        <v>#N/A</v>
      </c>
      <c r="Q116" t="e">
        <f>_xlfn.IFNA(51-MATCH(Songs!$A116,Data!M$2:M$51,0),NA())</f>
        <v>#N/A</v>
      </c>
      <c r="R116" t="e">
        <f>_xlfn.IFNA(51-MATCH(Songs!$A116,Data!N$2:N$51,0),NA())</f>
        <v>#N/A</v>
      </c>
      <c r="S116" t="e">
        <f>_xlfn.IFNA(51-MATCH(Songs!$A116,Data!O$2:O$51,0),NA())</f>
        <v>#N/A</v>
      </c>
      <c r="T116" t="e">
        <f>_xlfn.IFNA(51-MATCH(Songs!$A116,Data!P$2:P$51,0),NA())</f>
        <v>#N/A</v>
      </c>
      <c r="U116" t="e">
        <f>_xlfn.IFNA(51-MATCH(Songs!$A116,Data!Q$2:Q$51,0),NA())</f>
        <v>#N/A</v>
      </c>
      <c r="V116">
        <f>_xlfn.IFNA(51-MATCH(Songs!$A116,Data!R$2:R$51,0),NA())</f>
        <v>2</v>
      </c>
      <c r="W116" t="e">
        <f>_xlfn.IFNA(51-MATCH(Songs!$A116,Data!S$2:S$51,0),NA())</f>
        <v>#N/A</v>
      </c>
      <c r="X116" t="e">
        <f>_xlfn.IFNA(51-MATCH(Songs!$A116,Data!T$2:T$51,0),NA())</f>
        <v>#N/A</v>
      </c>
      <c r="Y116" t="e">
        <f>_xlfn.IFNA(51-MATCH(Songs!$A116,Data!U$2:U$51,0),NA())</f>
        <v>#N/A</v>
      </c>
      <c r="Z116" t="e">
        <f>_xlfn.IFNA(51-MATCH(Songs!$A116,Data!V$2:V$51,0),NA())</f>
        <v>#N/A</v>
      </c>
      <c r="AA116" t="e">
        <f>_xlfn.IFNA(51-MATCH(Songs!$A116,Data!W$2:W$51,0),NA())</f>
        <v>#N/A</v>
      </c>
      <c r="AB116" t="e">
        <f>_xlfn.IFNA(51-MATCH(Songs!$A116,Data!X$2:X$51,0),NA())</f>
        <v>#N/A</v>
      </c>
      <c r="AC116" t="e">
        <f>_xlfn.IFNA(51-MATCH(Songs!$A116,Data!Y$2:Y$51,0),NA())</f>
        <v>#N/A</v>
      </c>
      <c r="AD116" t="e">
        <f>_xlfn.IFNA(51-MATCH(Songs!$A116,Data!Z$2:Z$51,0),NA())</f>
        <v>#N/A</v>
      </c>
      <c r="AE116" t="e">
        <f>_xlfn.IFNA(51-MATCH(Songs!$A116,Data!AA$2:AA$51,0),NA())</f>
        <v>#N/A</v>
      </c>
      <c r="AF116" t="e">
        <f>_xlfn.IFNA(51-MATCH(Songs!$A116,Data!AB$2:AB$51,0),NA())</f>
        <v>#N/A</v>
      </c>
      <c r="AG116" t="e">
        <f>_xlfn.IFNA(51-MATCH(Songs!$A116,Data!AC$2:AC$51,0),NA())</f>
        <v>#N/A</v>
      </c>
      <c r="AH116" t="e">
        <f>_xlfn.IFNA(51-MATCH(Songs!$A116,Data!AD$2:AD$51,0),NA())</f>
        <v>#N/A</v>
      </c>
      <c r="AI116" t="e">
        <f>_xlfn.IFNA(51-MATCH(Songs!$A116,Data!AE$2:AE$51,0),NA())</f>
        <v>#N/A</v>
      </c>
    </row>
    <row r="117" spans="1:35" ht="15.75" customHeight="1" x14ac:dyDescent="0.25">
      <c r="A117" s="6" t="s">
        <v>249</v>
      </c>
      <c r="B117" s="2" t="s">
        <v>80</v>
      </c>
      <c r="D117" t="s">
        <v>255</v>
      </c>
      <c r="E117" s="5">
        <v>45427</v>
      </c>
      <c r="F117" s="6">
        <v>0</v>
      </c>
      <c r="G117" s="2">
        <f ca="1">COUNTIF(INDIRECT(_xlfn.CONCAT("Data!$B$2:", ADDRESS(51,COUNTA(Data!$1:$1)+1,1,1))), Songs!A117) + F117</f>
        <v>3</v>
      </c>
      <c r="H117" s="8"/>
      <c r="I117" s="8"/>
      <c r="J117" s="8" cm="1">
        <f t="array" ref="J117">51 - MAX(IF(NOT(ISNA(K117:BB117)),K117:BB117))</f>
        <v>48</v>
      </c>
      <c r="K117" t="e">
        <f>_xlfn.IFNA(51-MATCH(Songs!$A117,Data!G$2:G$51,0),NA())</f>
        <v>#N/A</v>
      </c>
      <c r="L117" t="e">
        <f>_xlfn.IFNA(51-MATCH(Songs!$A117,Data!H$2:H$51,0),NA())</f>
        <v>#N/A</v>
      </c>
      <c r="M117" t="e">
        <f>_xlfn.IFNA(51-MATCH(Songs!$A117,Data!I$2:I$51,0),NA())</f>
        <v>#N/A</v>
      </c>
      <c r="N117" t="e">
        <f>_xlfn.IFNA(51-MATCH(Songs!$A117,Data!J$2:J$51,0),NA())</f>
        <v>#N/A</v>
      </c>
      <c r="O117" t="e">
        <f>_xlfn.IFNA(51-MATCH(Songs!$A117,Data!K$2:K$51,0),NA())</f>
        <v>#N/A</v>
      </c>
      <c r="P117" t="e">
        <f>_xlfn.IFNA(51-MATCH(Songs!$A117,Data!L$2:L$51,0),NA())</f>
        <v>#N/A</v>
      </c>
      <c r="Q117" t="e">
        <f>_xlfn.IFNA(51-MATCH(Songs!$A117,Data!M$2:M$51,0),NA())</f>
        <v>#N/A</v>
      </c>
      <c r="R117" t="e">
        <f>_xlfn.IFNA(51-MATCH(Songs!$A117,Data!N$2:N$51,0),NA())</f>
        <v>#N/A</v>
      </c>
      <c r="S117" t="e">
        <f>_xlfn.IFNA(51-MATCH(Songs!$A117,Data!O$2:O$51,0),NA())</f>
        <v>#N/A</v>
      </c>
      <c r="T117" t="e">
        <f>_xlfn.IFNA(51-MATCH(Songs!$A117,Data!P$2:P$51,0),NA())</f>
        <v>#N/A</v>
      </c>
      <c r="U117" t="e">
        <f>_xlfn.IFNA(51-MATCH(Songs!$A117,Data!Q$2:Q$51,0),NA())</f>
        <v>#N/A</v>
      </c>
      <c r="V117">
        <f>_xlfn.IFNA(51-MATCH(Songs!$A117,Data!R$2:R$51,0),NA())</f>
        <v>1</v>
      </c>
      <c r="W117">
        <f>_xlfn.IFNA(51-MATCH(Songs!$A117,Data!S$2:S$51,0),NA())</f>
        <v>1</v>
      </c>
      <c r="X117">
        <f>_xlfn.IFNA(51-MATCH(Songs!$A117,Data!T$2:T$51,0),NA())</f>
        <v>3</v>
      </c>
      <c r="Y117" t="e">
        <f>_xlfn.IFNA(51-MATCH(Songs!$A117,Data!U$2:U$51,0),NA())</f>
        <v>#N/A</v>
      </c>
      <c r="Z117" t="e">
        <f>_xlfn.IFNA(51-MATCH(Songs!$A117,Data!V$2:V$51,0),NA())</f>
        <v>#N/A</v>
      </c>
      <c r="AA117" t="e">
        <f>_xlfn.IFNA(51-MATCH(Songs!$A117,Data!W$2:W$51,0),NA())</f>
        <v>#N/A</v>
      </c>
      <c r="AB117" t="e">
        <f>_xlfn.IFNA(51-MATCH(Songs!$A117,Data!X$2:X$51,0),NA())</f>
        <v>#N/A</v>
      </c>
      <c r="AC117" t="e">
        <f>_xlfn.IFNA(51-MATCH(Songs!$A117,Data!Y$2:Y$51,0),NA())</f>
        <v>#N/A</v>
      </c>
      <c r="AD117" t="e">
        <f>_xlfn.IFNA(51-MATCH(Songs!$A117,Data!Z$2:Z$51,0),NA())</f>
        <v>#N/A</v>
      </c>
      <c r="AE117" t="e">
        <f>_xlfn.IFNA(51-MATCH(Songs!$A117,Data!AA$2:AA$51,0),NA())</f>
        <v>#N/A</v>
      </c>
      <c r="AF117" t="e">
        <f>_xlfn.IFNA(51-MATCH(Songs!$A117,Data!AB$2:AB$51,0),NA())</f>
        <v>#N/A</v>
      </c>
      <c r="AG117" t="e">
        <f>_xlfn.IFNA(51-MATCH(Songs!$A117,Data!AC$2:AC$51,0),NA())</f>
        <v>#N/A</v>
      </c>
      <c r="AH117" t="e">
        <f>_xlfn.IFNA(51-MATCH(Songs!$A117,Data!AD$2:AD$51,0),NA())</f>
        <v>#N/A</v>
      </c>
      <c r="AI117" t="e">
        <f>_xlfn.IFNA(51-MATCH(Songs!$A117,Data!AE$2:AE$51,0),NA())</f>
        <v>#N/A</v>
      </c>
    </row>
    <row r="118" spans="1:35" ht="15.75" customHeight="1" x14ac:dyDescent="0.25">
      <c r="A118" s="6" t="s">
        <v>260</v>
      </c>
      <c r="B118" s="2" t="s">
        <v>95</v>
      </c>
      <c r="F118" s="6">
        <v>0</v>
      </c>
      <c r="G118" s="2">
        <f ca="1">COUNTIF(INDIRECT(_xlfn.CONCAT("Data!$B$2:", ADDRESS(51,COUNTA(Data!$1:$1)+1,1,1))), Songs!A118) + F118</f>
        <v>13</v>
      </c>
      <c r="H118" s="8"/>
      <c r="I118" s="8"/>
      <c r="J118" s="8" cm="1">
        <f t="array" ref="J118">51 - MAX(IF(NOT(ISNA(K118:BB118)),K118:BB118))</f>
        <v>22</v>
      </c>
      <c r="K118" t="e">
        <f>_xlfn.IFNA(51-MATCH(Songs!$A118,Data!G$2:G$51,0),NA())</f>
        <v>#N/A</v>
      </c>
      <c r="L118" t="e">
        <f>_xlfn.IFNA(51-MATCH(Songs!$A118,Data!H$2:H$51,0),NA())</f>
        <v>#N/A</v>
      </c>
      <c r="M118" t="e">
        <f>_xlfn.IFNA(51-MATCH(Songs!$A118,Data!I$2:I$51,0),NA())</f>
        <v>#N/A</v>
      </c>
      <c r="N118" t="e">
        <f>_xlfn.IFNA(51-MATCH(Songs!$A118,Data!J$2:J$51,0),NA())</f>
        <v>#N/A</v>
      </c>
      <c r="O118" t="e">
        <f>_xlfn.IFNA(51-MATCH(Songs!$A118,Data!K$2:K$51,0),NA())</f>
        <v>#N/A</v>
      </c>
      <c r="P118" t="e">
        <f>_xlfn.IFNA(51-MATCH(Songs!$A118,Data!L$2:L$51,0),NA())</f>
        <v>#N/A</v>
      </c>
      <c r="Q118" t="e">
        <f>_xlfn.IFNA(51-MATCH(Songs!$A118,Data!M$2:M$51,0),NA())</f>
        <v>#N/A</v>
      </c>
      <c r="R118" t="e">
        <f>_xlfn.IFNA(51-MATCH(Songs!$A118,Data!N$2:N$51,0),NA())</f>
        <v>#N/A</v>
      </c>
      <c r="S118" t="e">
        <f>_xlfn.IFNA(51-MATCH(Songs!$A118,Data!O$2:O$51,0),NA())</f>
        <v>#N/A</v>
      </c>
      <c r="T118" t="e">
        <f>_xlfn.IFNA(51-MATCH(Songs!$A118,Data!P$2:P$51,0),NA())</f>
        <v>#N/A</v>
      </c>
      <c r="U118" t="e">
        <f>_xlfn.IFNA(51-MATCH(Songs!$A118,Data!Q$2:Q$51,0),NA())</f>
        <v>#N/A</v>
      </c>
      <c r="V118" t="e">
        <f>_xlfn.IFNA(51-MATCH(Songs!$A118,Data!R$2:R$51,0),NA())</f>
        <v>#N/A</v>
      </c>
      <c r="W118">
        <f>_xlfn.IFNA(51-MATCH(Songs!$A118,Data!S$2:S$51,0),NA())</f>
        <v>29</v>
      </c>
      <c r="X118">
        <f>_xlfn.IFNA(51-MATCH(Songs!$A118,Data!T$2:T$51,0),NA())</f>
        <v>21</v>
      </c>
      <c r="Y118">
        <f>_xlfn.IFNA(51-MATCH(Songs!$A118,Data!U$2:U$51,0),NA())</f>
        <v>23</v>
      </c>
      <c r="Z118">
        <f>_xlfn.IFNA(51-MATCH(Songs!$A118,Data!V$2:V$51,0),NA())</f>
        <v>25</v>
      </c>
      <c r="AA118">
        <f>_xlfn.IFNA(51-MATCH(Songs!$A118,Data!W$2:W$51,0),NA())</f>
        <v>25</v>
      </c>
      <c r="AB118">
        <f>_xlfn.IFNA(51-MATCH(Songs!$A118,Data!X$2:X$51,0),NA())</f>
        <v>26</v>
      </c>
      <c r="AC118">
        <f>_xlfn.IFNA(51-MATCH(Songs!$A118,Data!Y$2:Y$51,0),NA())</f>
        <v>29</v>
      </c>
      <c r="AD118">
        <f>_xlfn.IFNA(51-MATCH(Songs!$A118,Data!Z$2:Z$51,0),NA())</f>
        <v>27</v>
      </c>
      <c r="AE118">
        <f>_xlfn.IFNA(51-MATCH(Songs!$A118,Data!AA$2:AA$51,0),NA())</f>
        <v>11</v>
      </c>
      <c r="AF118">
        <f>_xlfn.IFNA(51-MATCH(Songs!$A118,Data!AB$2:AB$51,0),NA())</f>
        <v>24</v>
      </c>
      <c r="AG118">
        <f>_xlfn.IFNA(51-MATCH(Songs!$A118,Data!AC$2:AC$51,0),NA())</f>
        <v>29</v>
      </c>
      <c r="AH118">
        <f>_xlfn.IFNA(51-MATCH(Songs!$A118,Data!AD$2:AD$51,0),NA())</f>
        <v>26</v>
      </c>
      <c r="AI118">
        <f>_xlfn.IFNA(51-MATCH(Songs!$A118,Data!AE$2:AE$51,0),NA())</f>
        <v>27</v>
      </c>
    </row>
    <row r="119" spans="1:35" ht="15.75" customHeight="1" x14ac:dyDescent="0.25">
      <c r="A119" s="6" t="s">
        <v>261</v>
      </c>
      <c r="B119" s="2" t="s">
        <v>77</v>
      </c>
      <c r="F119" s="6">
        <v>0</v>
      </c>
      <c r="G119" s="2">
        <f ca="1">COUNTIF(INDIRECT(_xlfn.CONCAT("Data!$B$2:", ADDRESS(51,COUNTA(Data!$1:$1)+1,1,1))), Songs!A119) + F119</f>
        <v>13</v>
      </c>
      <c r="H119" s="8"/>
      <c r="I119" s="8"/>
      <c r="J119" s="8" cm="1">
        <f t="array" ref="J119">51 - MAX(IF(NOT(ISNA(K119:BB119)),K119:BB119))</f>
        <v>4</v>
      </c>
      <c r="K119" t="e">
        <f>_xlfn.IFNA(51-MATCH(Songs!$A119,Data!G$2:G$51,0),NA())</f>
        <v>#N/A</v>
      </c>
      <c r="L119" t="e">
        <f>_xlfn.IFNA(51-MATCH(Songs!$A119,Data!H$2:H$51,0),NA())</f>
        <v>#N/A</v>
      </c>
      <c r="M119" t="e">
        <f>_xlfn.IFNA(51-MATCH(Songs!$A119,Data!I$2:I$51,0),NA())</f>
        <v>#N/A</v>
      </c>
      <c r="N119" t="e">
        <f>_xlfn.IFNA(51-MATCH(Songs!$A119,Data!J$2:J$51,0),NA())</f>
        <v>#N/A</v>
      </c>
      <c r="O119" t="e">
        <f>_xlfn.IFNA(51-MATCH(Songs!$A119,Data!K$2:K$51,0),NA())</f>
        <v>#N/A</v>
      </c>
      <c r="P119" t="e">
        <f>_xlfn.IFNA(51-MATCH(Songs!$A119,Data!L$2:L$51,0),NA())</f>
        <v>#N/A</v>
      </c>
      <c r="Q119" t="e">
        <f>_xlfn.IFNA(51-MATCH(Songs!$A119,Data!M$2:M$51,0),NA())</f>
        <v>#N/A</v>
      </c>
      <c r="R119" t="e">
        <f>_xlfn.IFNA(51-MATCH(Songs!$A119,Data!N$2:N$51,0),NA())</f>
        <v>#N/A</v>
      </c>
      <c r="S119" t="e">
        <f>_xlfn.IFNA(51-MATCH(Songs!$A119,Data!O$2:O$51,0),NA())</f>
        <v>#N/A</v>
      </c>
      <c r="T119" t="e">
        <f>_xlfn.IFNA(51-MATCH(Songs!$A119,Data!P$2:P$51,0),NA())</f>
        <v>#N/A</v>
      </c>
      <c r="U119" t="e">
        <f>_xlfn.IFNA(51-MATCH(Songs!$A119,Data!Q$2:Q$51,0),NA())</f>
        <v>#N/A</v>
      </c>
      <c r="V119" t="e">
        <f>_xlfn.IFNA(51-MATCH(Songs!$A119,Data!R$2:R$51,0),NA())</f>
        <v>#N/A</v>
      </c>
      <c r="W119">
        <f>_xlfn.IFNA(51-MATCH(Songs!$A119,Data!S$2:S$51,0),NA())</f>
        <v>12</v>
      </c>
      <c r="X119">
        <f>_xlfn.IFNA(51-MATCH(Songs!$A119,Data!T$2:T$51,0),NA())</f>
        <v>47</v>
      </c>
      <c r="Y119">
        <f>_xlfn.IFNA(51-MATCH(Songs!$A119,Data!U$2:U$51,0),NA())</f>
        <v>43</v>
      </c>
      <c r="Z119">
        <f>_xlfn.IFNA(51-MATCH(Songs!$A119,Data!V$2:V$51,0),NA())</f>
        <v>43</v>
      </c>
      <c r="AA119">
        <f>_xlfn.IFNA(51-MATCH(Songs!$A119,Data!W$2:W$51,0),NA())</f>
        <v>42</v>
      </c>
      <c r="AB119">
        <f>_xlfn.IFNA(51-MATCH(Songs!$A119,Data!X$2:X$51,0),NA())</f>
        <v>40</v>
      </c>
      <c r="AC119">
        <f>_xlfn.IFNA(51-MATCH(Songs!$A119,Data!Y$2:Y$51,0),NA())</f>
        <v>39</v>
      </c>
      <c r="AD119">
        <f>_xlfn.IFNA(51-MATCH(Songs!$A119,Data!Z$2:Z$51,0),NA())</f>
        <v>39</v>
      </c>
      <c r="AE119">
        <f>_xlfn.IFNA(51-MATCH(Songs!$A119,Data!AA$2:AA$51,0),NA())</f>
        <v>38</v>
      </c>
      <c r="AF119">
        <f>_xlfn.IFNA(51-MATCH(Songs!$A119,Data!AB$2:AB$51,0),NA())</f>
        <v>40</v>
      </c>
      <c r="AG119">
        <f>_xlfn.IFNA(51-MATCH(Songs!$A119,Data!AC$2:AC$51,0),NA())</f>
        <v>47</v>
      </c>
      <c r="AH119">
        <f>_xlfn.IFNA(51-MATCH(Songs!$A119,Data!AD$2:AD$51,0),NA())</f>
        <v>47</v>
      </c>
      <c r="AI119">
        <f>_xlfn.IFNA(51-MATCH(Songs!$A119,Data!AE$2:AE$51,0),NA())</f>
        <v>47</v>
      </c>
    </row>
    <row r="120" spans="1:35" ht="15.75" customHeight="1" x14ac:dyDescent="0.25">
      <c r="A120" s="6" t="s">
        <v>262</v>
      </c>
      <c r="B120" s="2" t="s">
        <v>74</v>
      </c>
      <c r="F120" s="6">
        <v>15</v>
      </c>
      <c r="G120" s="2">
        <f ca="1">COUNTIF(INDIRECT(_xlfn.CONCAT("Data!$B$2:", ADDRESS(51,COUNTA(Data!$1:$1)+1,1,1))), Songs!A120) + F120</f>
        <v>18</v>
      </c>
      <c r="H120" s="8"/>
      <c r="I120" s="8"/>
      <c r="J120" s="8" cm="1">
        <f t="array" ref="J120">51 - MAX(IF(NOT(ISNA(K120:BB120)),K120:BB120))</f>
        <v>47</v>
      </c>
      <c r="K120" t="e">
        <f>_xlfn.IFNA(51-MATCH(Songs!$A120,Data!G$2:G$51,0),NA())</f>
        <v>#N/A</v>
      </c>
      <c r="L120" t="e">
        <f>_xlfn.IFNA(51-MATCH(Songs!$A120,Data!H$2:H$51,0),NA())</f>
        <v>#N/A</v>
      </c>
      <c r="M120" t="e">
        <f>_xlfn.IFNA(51-MATCH(Songs!$A120,Data!I$2:I$51,0),NA())</f>
        <v>#N/A</v>
      </c>
      <c r="N120" t="e">
        <f>_xlfn.IFNA(51-MATCH(Songs!$A120,Data!J$2:J$51,0),NA())</f>
        <v>#N/A</v>
      </c>
      <c r="O120" t="e">
        <f>_xlfn.IFNA(51-MATCH(Songs!$A120,Data!K$2:K$51,0),NA())</f>
        <v>#N/A</v>
      </c>
      <c r="P120" t="e">
        <f>_xlfn.IFNA(51-MATCH(Songs!$A120,Data!L$2:L$51,0),NA())</f>
        <v>#N/A</v>
      </c>
      <c r="Q120" t="e">
        <f>_xlfn.IFNA(51-MATCH(Songs!$A120,Data!M$2:M$51,0),NA())</f>
        <v>#N/A</v>
      </c>
      <c r="R120" t="e">
        <f>_xlfn.IFNA(51-MATCH(Songs!$A120,Data!N$2:N$51,0),NA())</f>
        <v>#N/A</v>
      </c>
      <c r="S120" t="e">
        <f>_xlfn.IFNA(51-MATCH(Songs!$A120,Data!O$2:O$51,0),NA())</f>
        <v>#N/A</v>
      </c>
      <c r="T120" t="e">
        <f>_xlfn.IFNA(51-MATCH(Songs!$A120,Data!P$2:P$51,0),NA())</f>
        <v>#N/A</v>
      </c>
      <c r="U120" t="e">
        <f>_xlfn.IFNA(51-MATCH(Songs!$A120,Data!Q$2:Q$51,0),NA())</f>
        <v>#N/A</v>
      </c>
      <c r="V120" t="e">
        <f>_xlfn.IFNA(51-MATCH(Songs!$A120,Data!R$2:R$51,0),NA())</f>
        <v>#N/A</v>
      </c>
      <c r="W120">
        <f>_xlfn.IFNA(51-MATCH(Songs!$A120,Data!S$2:S$51,0),NA())</f>
        <v>4</v>
      </c>
      <c r="X120">
        <f>_xlfn.IFNA(51-MATCH(Songs!$A120,Data!T$2:T$51,0),NA())</f>
        <v>4</v>
      </c>
      <c r="Y120">
        <f>_xlfn.IFNA(51-MATCH(Songs!$A120,Data!U$2:U$51,0),NA())</f>
        <v>4</v>
      </c>
      <c r="Z120" t="e">
        <f>_xlfn.IFNA(51-MATCH(Songs!$A120,Data!V$2:V$51,0),NA())</f>
        <v>#N/A</v>
      </c>
      <c r="AA120" t="e">
        <f>_xlfn.IFNA(51-MATCH(Songs!$A120,Data!W$2:W$51,0),NA())</f>
        <v>#N/A</v>
      </c>
      <c r="AB120" t="e">
        <f>_xlfn.IFNA(51-MATCH(Songs!$A120,Data!X$2:X$51,0),NA())</f>
        <v>#N/A</v>
      </c>
      <c r="AC120" t="e">
        <f>_xlfn.IFNA(51-MATCH(Songs!$A120,Data!Y$2:Y$51,0),NA())</f>
        <v>#N/A</v>
      </c>
      <c r="AD120" t="e">
        <f>_xlfn.IFNA(51-MATCH(Songs!$A120,Data!Z$2:Z$51,0),NA())</f>
        <v>#N/A</v>
      </c>
      <c r="AE120" t="e">
        <f>_xlfn.IFNA(51-MATCH(Songs!$A120,Data!AA$2:AA$51,0),NA())</f>
        <v>#N/A</v>
      </c>
      <c r="AF120" t="e">
        <f>_xlfn.IFNA(51-MATCH(Songs!$A120,Data!AB$2:AB$51,0),NA())</f>
        <v>#N/A</v>
      </c>
      <c r="AG120" t="e">
        <f>_xlfn.IFNA(51-MATCH(Songs!$A120,Data!AC$2:AC$51,0),NA())</f>
        <v>#N/A</v>
      </c>
      <c r="AH120" t="e">
        <f>_xlfn.IFNA(51-MATCH(Songs!$A120,Data!AD$2:AD$51,0),NA())</f>
        <v>#N/A</v>
      </c>
      <c r="AI120" t="e">
        <f>_xlfn.IFNA(51-MATCH(Songs!$A120,Data!AE$2:AE$51,0),NA())</f>
        <v>#N/A</v>
      </c>
    </row>
    <row r="121" spans="1:35" ht="15.75" customHeight="1" x14ac:dyDescent="0.25">
      <c r="A121" s="6" t="s">
        <v>266</v>
      </c>
      <c r="B121" s="2" t="s">
        <v>156</v>
      </c>
      <c r="F121" s="6">
        <v>0</v>
      </c>
      <c r="G121" s="2">
        <f ca="1">COUNTIF(INDIRECT(_xlfn.CONCAT("Data!$B$2:", ADDRESS(51,COUNTA(Data!$1:$1)+1,1,1))), Songs!A121) + F121</f>
        <v>12</v>
      </c>
      <c r="H121" s="8"/>
      <c r="I121" s="8"/>
      <c r="J121" s="8" cm="1">
        <f t="array" ref="J121">51 - MAX(IF(NOT(ISNA(K121:BB121)),K121:BB121))</f>
        <v>10</v>
      </c>
      <c r="K121" t="e">
        <f>_xlfn.IFNA(51-MATCH(Songs!$A121,Data!G$2:G$51,0),NA())</f>
        <v>#N/A</v>
      </c>
      <c r="L121" t="e">
        <f>_xlfn.IFNA(51-MATCH(Songs!$A121,Data!H$2:H$51,0),NA())</f>
        <v>#N/A</v>
      </c>
      <c r="M121" t="e">
        <f>_xlfn.IFNA(51-MATCH(Songs!$A121,Data!I$2:I$51,0),NA())</f>
        <v>#N/A</v>
      </c>
      <c r="N121" t="e">
        <f>_xlfn.IFNA(51-MATCH(Songs!$A121,Data!J$2:J$51,0),NA())</f>
        <v>#N/A</v>
      </c>
      <c r="O121" t="e">
        <f>_xlfn.IFNA(51-MATCH(Songs!$A121,Data!K$2:K$51,0),NA())</f>
        <v>#N/A</v>
      </c>
      <c r="P121" t="e">
        <f>_xlfn.IFNA(51-MATCH(Songs!$A121,Data!L$2:L$51,0),NA())</f>
        <v>#N/A</v>
      </c>
      <c r="Q121" t="e">
        <f>_xlfn.IFNA(51-MATCH(Songs!$A121,Data!M$2:M$51,0),NA())</f>
        <v>#N/A</v>
      </c>
      <c r="R121" t="e">
        <f>_xlfn.IFNA(51-MATCH(Songs!$A121,Data!N$2:N$51,0),NA())</f>
        <v>#N/A</v>
      </c>
      <c r="S121" t="e">
        <f>_xlfn.IFNA(51-MATCH(Songs!$A121,Data!O$2:O$51,0),NA())</f>
        <v>#N/A</v>
      </c>
      <c r="T121" t="e">
        <f>_xlfn.IFNA(51-MATCH(Songs!$A121,Data!P$2:P$51,0),NA())</f>
        <v>#N/A</v>
      </c>
      <c r="U121" t="e">
        <f>_xlfn.IFNA(51-MATCH(Songs!$A121,Data!Q$2:Q$51,0),NA())</f>
        <v>#N/A</v>
      </c>
      <c r="V121" t="e">
        <f>_xlfn.IFNA(51-MATCH(Songs!$A121,Data!R$2:R$51,0),NA())</f>
        <v>#N/A</v>
      </c>
      <c r="W121" t="e">
        <f>_xlfn.IFNA(51-MATCH(Songs!$A121,Data!S$2:S$51,0),NA())</f>
        <v>#N/A</v>
      </c>
      <c r="X121">
        <f>_xlfn.IFNA(51-MATCH(Songs!$A121,Data!T$2:T$51,0),NA())</f>
        <v>40</v>
      </c>
      <c r="Y121">
        <f>_xlfn.IFNA(51-MATCH(Songs!$A121,Data!U$2:U$51,0),NA())</f>
        <v>38</v>
      </c>
      <c r="Z121">
        <f>_xlfn.IFNA(51-MATCH(Songs!$A121,Data!V$2:V$51,0),NA())</f>
        <v>39</v>
      </c>
      <c r="AA121">
        <f>_xlfn.IFNA(51-MATCH(Songs!$A121,Data!W$2:W$51,0),NA())</f>
        <v>41</v>
      </c>
      <c r="AB121">
        <f>_xlfn.IFNA(51-MATCH(Songs!$A121,Data!X$2:X$51,0),NA())</f>
        <v>36</v>
      </c>
      <c r="AC121">
        <f>_xlfn.IFNA(51-MATCH(Songs!$A121,Data!Y$2:Y$51,0),NA())</f>
        <v>34</v>
      </c>
      <c r="AD121">
        <f>_xlfn.IFNA(51-MATCH(Songs!$A121,Data!Z$2:Z$51,0),NA())</f>
        <v>30</v>
      </c>
      <c r="AE121">
        <f>_xlfn.IFNA(51-MATCH(Songs!$A121,Data!AA$2:AA$51,0),NA())</f>
        <v>16</v>
      </c>
      <c r="AF121">
        <f>_xlfn.IFNA(51-MATCH(Songs!$A121,Data!AB$2:AB$51,0),NA())</f>
        <v>23</v>
      </c>
      <c r="AG121">
        <f>_xlfn.IFNA(51-MATCH(Songs!$A121,Data!AC$2:AC$51,0),NA())</f>
        <v>32</v>
      </c>
      <c r="AH121">
        <f>_xlfn.IFNA(51-MATCH(Songs!$A121,Data!AD$2:AD$51,0),NA())</f>
        <v>27</v>
      </c>
      <c r="AI121">
        <f>_xlfn.IFNA(51-MATCH(Songs!$A121,Data!AE$2:AE$51,0),NA())</f>
        <v>24</v>
      </c>
    </row>
    <row r="122" spans="1:35" ht="15.75" customHeight="1" x14ac:dyDescent="0.25">
      <c r="A122" s="6" t="s">
        <v>267</v>
      </c>
      <c r="B122" s="2" t="s">
        <v>98</v>
      </c>
      <c r="F122" s="6">
        <v>0</v>
      </c>
      <c r="G122" s="2">
        <f ca="1">COUNTIF(INDIRECT(_xlfn.CONCAT("Data!$B$2:", ADDRESS(51,COUNTA(Data!$1:$1)+1,1,1))), Songs!A122) + F122</f>
        <v>12</v>
      </c>
      <c r="H122" s="8"/>
      <c r="I122" s="8"/>
      <c r="J122" s="8" cm="1">
        <f t="array" ref="J122">51 - MAX(IF(NOT(ISNA(K122:BB122)),K122:BB122))</f>
        <v>19</v>
      </c>
      <c r="K122" t="e">
        <f>_xlfn.IFNA(51-MATCH(Songs!$A122,Data!G$2:G$51,0),NA())</f>
        <v>#N/A</v>
      </c>
      <c r="L122" t="e">
        <f>_xlfn.IFNA(51-MATCH(Songs!$A122,Data!H$2:H$51,0),NA())</f>
        <v>#N/A</v>
      </c>
      <c r="M122" t="e">
        <f>_xlfn.IFNA(51-MATCH(Songs!$A122,Data!I$2:I$51,0),NA())</f>
        <v>#N/A</v>
      </c>
      <c r="N122" t="e">
        <f>_xlfn.IFNA(51-MATCH(Songs!$A122,Data!J$2:J$51,0),NA())</f>
        <v>#N/A</v>
      </c>
      <c r="O122" t="e">
        <f>_xlfn.IFNA(51-MATCH(Songs!$A122,Data!K$2:K$51,0),NA())</f>
        <v>#N/A</v>
      </c>
      <c r="P122" t="e">
        <f>_xlfn.IFNA(51-MATCH(Songs!$A122,Data!L$2:L$51,0),NA())</f>
        <v>#N/A</v>
      </c>
      <c r="Q122" t="e">
        <f>_xlfn.IFNA(51-MATCH(Songs!$A122,Data!M$2:M$51,0),NA())</f>
        <v>#N/A</v>
      </c>
      <c r="R122" t="e">
        <f>_xlfn.IFNA(51-MATCH(Songs!$A122,Data!N$2:N$51,0),NA())</f>
        <v>#N/A</v>
      </c>
      <c r="S122" t="e">
        <f>_xlfn.IFNA(51-MATCH(Songs!$A122,Data!O$2:O$51,0),NA())</f>
        <v>#N/A</v>
      </c>
      <c r="T122" t="e">
        <f>_xlfn.IFNA(51-MATCH(Songs!$A122,Data!P$2:P$51,0),NA())</f>
        <v>#N/A</v>
      </c>
      <c r="U122" t="e">
        <f>_xlfn.IFNA(51-MATCH(Songs!$A122,Data!Q$2:Q$51,0),NA())</f>
        <v>#N/A</v>
      </c>
      <c r="V122" t="e">
        <f>_xlfn.IFNA(51-MATCH(Songs!$A122,Data!R$2:R$51,0),NA())</f>
        <v>#N/A</v>
      </c>
      <c r="W122" t="e">
        <f>_xlfn.IFNA(51-MATCH(Songs!$A122,Data!S$2:S$51,0),NA())</f>
        <v>#N/A</v>
      </c>
      <c r="X122">
        <f>_xlfn.IFNA(51-MATCH(Songs!$A122,Data!T$2:T$51,0),NA())</f>
        <v>17</v>
      </c>
      <c r="Y122">
        <f>_xlfn.IFNA(51-MATCH(Songs!$A122,Data!U$2:U$51,0),NA())</f>
        <v>14</v>
      </c>
      <c r="Z122">
        <f>_xlfn.IFNA(51-MATCH(Songs!$A122,Data!V$2:V$51,0),NA())</f>
        <v>22</v>
      </c>
      <c r="AA122">
        <f>_xlfn.IFNA(51-MATCH(Songs!$A122,Data!W$2:W$51,0),NA())</f>
        <v>24</v>
      </c>
      <c r="AB122">
        <f>_xlfn.IFNA(51-MATCH(Songs!$A122,Data!X$2:X$51,0),NA())</f>
        <v>21</v>
      </c>
      <c r="AC122">
        <f>_xlfn.IFNA(51-MATCH(Songs!$A122,Data!Y$2:Y$51,0),NA())</f>
        <v>26</v>
      </c>
      <c r="AD122">
        <f>_xlfn.IFNA(51-MATCH(Songs!$A122,Data!Z$2:Z$51,0),NA())</f>
        <v>25</v>
      </c>
      <c r="AE122">
        <f>_xlfn.IFNA(51-MATCH(Songs!$A122,Data!AA$2:AA$51,0),NA())</f>
        <v>18</v>
      </c>
      <c r="AF122">
        <f>_xlfn.IFNA(51-MATCH(Songs!$A122,Data!AB$2:AB$51,0),NA())</f>
        <v>28</v>
      </c>
      <c r="AG122">
        <f>_xlfn.IFNA(51-MATCH(Songs!$A122,Data!AC$2:AC$51,0),NA())</f>
        <v>28</v>
      </c>
      <c r="AH122">
        <f>_xlfn.IFNA(51-MATCH(Songs!$A122,Data!AD$2:AD$51,0),NA())</f>
        <v>30</v>
      </c>
      <c r="AI122">
        <f>_xlfn.IFNA(51-MATCH(Songs!$A122,Data!AE$2:AE$51,0),NA())</f>
        <v>32</v>
      </c>
    </row>
    <row r="123" spans="1:35" ht="15.75" customHeight="1" x14ac:dyDescent="0.25">
      <c r="A123" s="6" t="s">
        <v>268</v>
      </c>
      <c r="B123" s="2" t="s">
        <v>81</v>
      </c>
      <c r="F123" s="6">
        <v>0</v>
      </c>
      <c r="G123" s="2">
        <f ca="1">COUNTIF(INDIRECT(_xlfn.CONCAT("Data!$B$2:", ADDRESS(51,COUNTA(Data!$1:$1)+1,1,1))), Songs!A123) + F123</f>
        <v>2</v>
      </c>
      <c r="H123" s="8"/>
      <c r="I123" s="8"/>
      <c r="J123" s="8" cm="1">
        <f t="array" ref="J123">51 - MAX(IF(NOT(ISNA(K123:BB123)),K123:BB123))</f>
        <v>41</v>
      </c>
      <c r="K123" t="e">
        <f>_xlfn.IFNA(51-MATCH(Songs!$A123,Data!G$2:G$51,0),NA())</f>
        <v>#N/A</v>
      </c>
      <c r="L123" t="e">
        <f>_xlfn.IFNA(51-MATCH(Songs!$A123,Data!H$2:H$51,0),NA())</f>
        <v>#N/A</v>
      </c>
      <c r="M123" t="e">
        <f>_xlfn.IFNA(51-MATCH(Songs!$A123,Data!I$2:I$51,0),NA())</f>
        <v>#N/A</v>
      </c>
      <c r="N123" t="e">
        <f>_xlfn.IFNA(51-MATCH(Songs!$A123,Data!J$2:J$51,0),NA())</f>
        <v>#N/A</v>
      </c>
      <c r="O123" t="e">
        <f>_xlfn.IFNA(51-MATCH(Songs!$A123,Data!K$2:K$51,0),NA())</f>
        <v>#N/A</v>
      </c>
      <c r="P123" t="e">
        <f>_xlfn.IFNA(51-MATCH(Songs!$A123,Data!L$2:L$51,0),NA())</f>
        <v>#N/A</v>
      </c>
      <c r="Q123" t="e">
        <f>_xlfn.IFNA(51-MATCH(Songs!$A123,Data!M$2:M$51,0),NA())</f>
        <v>#N/A</v>
      </c>
      <c r="R123" t="e">
        <f>_xlfn.IFNA(51-MATCH(Songs!$A123,Data!N$2:N$51,0),NA())</f>
        <v>#N/A</v>
      </c>
      <c r="S123" t="e">
        <f>_xlfn.IFNA(51-MATCH(Songs!$A123,Data!O$2:O$51,0),NA())</f>
        <v>#N/A</v>
      </c>
      <c r="T123" t="e">
        <f>_xlfn.IFNA(51-MATCH(Songs!$A123,Data!P$2:P$51,0),NA())</f>
        <v>#N/A</v>
      </c>
      <c r="U123" t="e">
        <f>_xlfn.IFNA(51-MATCH(Songs!$A123,Data!Q$2:Q$51,0),NA())</f>
        <v>#N/A</v>
      </c>
      <c r="V123" t="e">
        <f>_xlfn.IFNA(51-MATCH(Songs!$A123,Data!R$2:R$51,0),NA())</f>
        <v>#N/A</v>
      </c>
      <c r="W123" t="e">
        <f>_xlfn.IFNA(51-MATCH(Songs!$A123,Data!S$2:S$51,0),NA())</f>
        <v>#N/A</v>
      </c>
      <c r="X123">
        <f>_xlfn.IFNA(51-MATCH(Songs!$A123,Data!T$2:T$51,0),NA())</f>
        <v>10</v>
      </c>
      <c r="Y123">
        <f>_xlfn.IFNA(51-MATCH(Songs!$A123,Data!U$2:U$51,0),NA())</f>
        <v>6</v>
      </c>
      <c r="Z123" t="e">
        <f>_xlfn.IFNA(51-MATCH(Songs!$A123,Data!V$2:V$51,0),NA())</f>
        <v>#N/A</v>
      </c>
      <c r="AA123" t="e">
        <f>_xlfn.IFNA(51-MATCH(Songs!$A123,Data!W$2:W$51,0),NA())</f>
        <v>#N/A</v>
      </c>
      <c r="AB123" t="e">
        <f>_xlfn.IFNA(51-MATCH(Songs!$A123,Data!X$2:X$51,0),NA())</f>
        <v>#N/A</v>
      </c>
      <c r="AC123" t="e">
        <f>_xlfn.IFNA(51-MATCH(Songs!$A123,Data!Y$2:Y$51,0),NA())</f>
        <v>#N/A</v>
      </c>
      <c r="AD123" t="e">
        <f>_xlfn.IFNA(51-MATCH(Songs!$A123,Data!Z$2:Z$51,0),NA())</f>
        <v>#N/A</v>
      </c>
      <c r="AE123" t="e">
        <f>_xlfn.IFNA(51-MATCH(Songs!$A123,Data!AA$2:AA$51,0),NA())</f>
        <v>#N/A</v>
      </c>
      <c r="AF123" t="e">
        <f>_xlfn.IFNA(51-MATCH(Songs!$A123,Data!AB$2:AB$51,0),NA())</f>
        <v>#N/A</v>
      </c>
      <c r="AG123" t="e">
        <f>_xlfn.IFNA(51-MATCH(Songs!$A123,Data!AC$2:AC$51,0),NA())</f>
        <v>#N/A</v>
      </c>
      <c r="AH123" t="e">
        <f>_xlfn.IFNA(51-MATCH(Songs!$A123,Data!AD$2:AD$51,0),NA())</f>
        <v>#N/A</v>
      </c>
      <c r="AI123" t="e">
        <f>_xlfn.IFNA(51-MATCH(Songs!$A123,Data!AE$2:AE$51,0),NA())</f>
        <v>#N/A</v>
      </c>
    </row>
    <row r="124" spans="1:35" ht="15.75" customHeight="1" x14ac:dyDescent="0.25">
      <c r="A124" s="6" t="s">
        <v>269</v>
      </c>
      <c r="B124" s="2" t="s">
        <v>74</v>
      </c>
      <c r="F124" s="6">
        <v>0</v>
      </c>
      <c r="G124" s="2">
        <f ca="1">COUNTIF(INDIRECT(_xlfn.CONCAT("Data!$B$2:", ADDRESS(51,COUNTA(Data!$1:$1)+1,1,1))), Songs!A124) + F124</f>
        <v>11</v>
      </c>
      <c r="H124" s="8"/>
      <c r="I124" s="8"/>
      <c r="J124" s="8" cm="1">
        <f t="array" ref="J124">51 - MAX(IF(NOT(ISNA(K124:BB124)),K124:BB124))</f>
        <v>3</v>
      </c>
      <c r="K124" t="e">
        <f>_xlfn.IFNA(51-MATCH(Songs!$A124,Data!G$2:G$51,0),NA())</f>
        <v>#N/A</v>
      </c>
      <c r="L124" t="e">
        <f>_xlfn.IFNA(51-MATCH(Songs!$A124,Data!H$2:H$51,0),NA())</f>
        <v>#N/A</v>
      </c>
      <c r="M124" t="e">
        <f>_xlfn.IFNA(51-MATCH(Songs!$A124,Data!I$2:I$51,0),NA())</f>
        <v>#N/A</v>
      </c>
      <c r="N124" t="e">
        <f>_xlfn.IFNA(51-MATCH(Songs!$A124,Data!J$2:J$51,0),NA())</f>
        <v>#N/A</v>
      </c>
      <c r="O124" t="e">
        <f>_xlfn.IFNA(51-MATCH(Songs!$A124,Data!K$2:K$51,0),NA())</f>
        <v>#N/A</v>
      </c>
      <c r="P124" t="e">
        <f>_xlfn.IFNA(51-MATCH(Songs!$A124,Data!L$2:L$51,0),NA())</f>
        <v>#N/A</v>
      </c>
      <c r="Q124" t="e">
        <f>_xlfn.IFNA(51-MATCH(Songs!$A124,Data!M$2:M$51,0),NA())</f>
        <v>#N/A</v>
      </c>
      <c r="R124" t="e">
        <f>_xlfn.IFNA(51-MATCH(Songs!$A124,Data!N$2:N$51,0),NA())</f>
        <v>#N/A</v>
      </c>
      <c r="S124" t="e">
        <f>_xlfn.IFNA(51-MATCH(Songs!$A124,Data!O$2:O$51,0),NA())</f>
        <v>#N/A</v>
      </c>
      <c r="T124" t="e">
        <f>_xlfn.IFNA(51-MATCH(Songs!$A124,Data!P$2:P$51,0),NA())</f>
        <v>#N/A</v>
      </c>
      <c r="U124" t="e">
        <f>_xlfn.IFNA(51-MATCH(Songs!$A124,Data!Q$2:Q$51,0),NA())</f>
        <v>#N/A</v>
      </c>
      <c r="V124" t="e">
        <f>_xlfn.IFNA(51-MATCH(Songs!$A124,Data!R$2:R$51,0),NA())</f>
        <v>#N/A</v>
      </c>
      <c r="W124" t="e">
        <f>_xlfn.IFNA(51-MATCH(Songs!$A124,Data!S$2:S$51,0),NA())</f>
        <v>#N/A</v>
      </c>
      <c r="X124" t="e">
        <f>_xlfn.IFNA(51-MATCH(Songs!$A124,Data!T$2:T$51,0),NA())</f>
        <v>#N/A</v>
      </c>
      <c r="Y124">
        <f>_xlfn.IFNA(51-MATCH(Songs!$A124,Data!U$2:U$51,0),NA())</f>
        <v>48</v>
      </c>
      <c r="Z124">
        <f>_xlfn.IFNA(51-MATCH(Songs!$A124,Data!V$2:V$51,0),NA())</f>
        <v>48</v>
      </c>
      <c r="AA124">
        <f>_xlfn.IFNA(51-MATCH(Songs!$A124,Data!W$2:W$51,0),NA())</f>
        <v>48</v>
      </c>
      <c r="AB124">
        <f>_xlfn.IFNA(51-MATCH(Songs!$A124,Data!X$2:X$51,0),NA())</f>
        <v>48</v>
      </c>
      <c r="AC124">
        <f>_xlfn.IFNA(51-MATCH(Songs!$A124,Data!Y$2:Y$51,0),NA())</f>
        <v>47</v>
      </c>
      <c r="AD124">
        <f>_xlfn.IFNA(51-MATCH(Songs!$A124,Data!Z$2:Z$51,0),NA())</f>
        <v>47</v>
      </c>
      <c r="AE124">
        <f>_xlfn.IFNA(51-MATCH(Songs!$A124,Data!AA$2:AA$51,0),NA())</f>
        <v>47</v>
      </c>
      <c r="AF124">
        <f>_xlfn.IFNA(51-MATCH(Songs!$A124,Data!AB$2:AB$51,0),NA())</f>
        <v>46</v>
      </c>
      <c r="AG124">
        <f>_xlfn.IFNA(51-MATCH(Songs!$A124,Data!AC$2:AC$51,0),NA())</f>
        <v>45</v>
      </c>
      <c r="AH124">
        <f>_xlfn.IFNA(51-MATCH(Songs!$A124,Data!AD$2:AD$51,0),NA())</f>
        <v>45</v>
      </c>
      <c r="AI124">
        <f>_xlfn.IFNA(51-MATCH(Songs!$A124,Data!AE$2:AE$51,0),NA())</f>
        <v>45</v>
      </c>
    </row>
    <row r="125" spans="1:35" ht="15.75" customHeight="1" x14ac:dyDescent="0.25">
      <c r="A125" s="6" t="s">
        <v>270</v>
      </c>
      <c r="B125" s="2" t="s">
        <v>142</v>
      </c>
      <c r="F125" s="6">
        <v>0</v>
      </c>
      <c r="G125" s="2">
        <f ca="1">COUNTIF(INDIRECT(_xlfn.CONCAT("Data!$B$2:", ADDRESS(51,COUNTA(Data!$1:$1)+1,1,1))), Songs!A125) + F125</f>
        <v>3</v>
      </c>
      <c r="H125" s="8"/>
      <c r="I125" s="8"/>
      <c r="J125" s="8" cm="1">
        <f t="array" ref="J125">51 - MAX(IF(NOT(ISNA(K125:BB125)),K125:BB125))</f>
        <v>38</v>
      </c>
      <c r="K125" t="e">
        <f>_xlfn.IFNA(51-MATCH(Songs!$A125,Data!G$2:G$51,0),NA())</f>
        <v>#N/A</v>
      </c>
      <c r="L125" t="e">
        <f>_xlfn.IFNA(51-MATCH(Songs!$A125,Data!H$2:H$51,0),NA())</f>
        <v>#N/A</v>
      </c>
      <c r="M125" t="e">
        <f>_xlfn.IFNA(51-MATCH(Songs!$A125,Data!I$2:I$51,0),NA())</f>
        <v>#N/A</v>
      </c>
      <c r="N125" t="e">
        <f>_xlfn.IFNA(51-MATCH(Songs!$A125,Data!J$2:J$51,0),NA())</f>
        <v>#N/A</v>
      </c>
      <c r="O125" t="e">
        <f>_xlfn.IFNA(51-MATCH(Songs!$A125,Data!K$2:K$51,0),NA())</f>
        <v>#N/A</v>
      </c>
      <c r="P125" t="e">
        <f>_xlfn.IFNA(51-MATCH(Songs!$A125,Data!L$2:L$51,0),NA())</f>
        <v>#N/A</v>
      </c>
      <c r="Q125" t="e">
        <f>_xlfn.IFNA(51-MATCH(Songs!$A125,Data!M$2:M$51,0),NA())</f>
        <v>#N/A</v>
      </c>
      <c r="R125" t="e">
        <f>_xlfn.IFNA(51-MATCH(Songs!$A125,Data!N$2:N$51,0),NA())</f>
        <v>#N/A</v>
      </c>
      <c r="S125" t="e">
        <f>_xlfn.IFNA(51-MATCH(Songs!$A125,Data!O$2:O$51,0),NA())</f>
        <v>#N/A</v>
      </c>
      <c r="T125" t="e">
        <f>_xlfn.IFNA(51-MATCH(Songs!$A125,Data!P$2:P$51,0),NA())</f>
        <v>#N/A</v>
      </c>
      <c r="U125" t="e">
        <f>_xlfn.IFNA(51-MATCH(Songs!$A125,Data!Q$2:Q$51,0),NA())</f>
        <v>#N/A</v>
      </c>
      <c r="V125" t="e">
        <f>_xlfn.IFNA(51-MATCH(Songs!$A125,Data!R$2:R$51,0),NA())</f>
        <v>#N/A</v>
      </c>
      <c r="W125" t="e">
        <f>_xlfn.IFNA(51-MATCH(Songs!$A125,Data!S$2:S$51,0),NA())</f>
        <v>#N/A</v>
      </c>
      <c r="X125" t="e">
        <f>_xlfn.IFNA(51-MATCH(Songs!$A125,Data!T$2:T$51,0),NA())</f>
        <v>#N/A</v>
      </c>
      <c r="Y125">
        <f>_xlfn.IFNA(51-MATCH(Songs!$A125,Data!U$2:U$51,0),NA())</f>
        <v>13</v>
      </c>
      <c r="Z125">
        <f>_xlfn.IFNA(51-MATCH(Songs!$A125,Data!V$2:V$51,0),NA())</f>
        <v>12</v>
      </c>
      <c r="AA125">
        <f>_xlfn.IFNA(51-MATCH(Songs!$A125,Data!W$2:W$51,0),NA())</f>
        <v>4</v>
      </c>
      <c r="AB125" t="e">
        <f>_xlfn.IFNA(51-MATCH(Songs!$A125,Data!X$2:X$51,0),NA())</f>
        <v>#N/A</v>
      </c>
      <c r="AC125" t="e">
        <f>_xlfn.IFNA(51-MATCH(Songs!$A125,Data!Y$2:Y$51,0),NA())</f>
        <v>#N/A</v>
      </c>
      <c r="AD125" t="e">
        <f>_xlfn.IFNA(51-MATCH(Songs!$A125,Data!Z$2:Z$51,0),NA())</f>
        <v>#N/A</v>
      </c>
      <c r="AE125" t="e">
        <f>_xlfn.IFNA(51-MATCH(Songs!$A125,Data!AA$2:AA$51,0),NA())</f>
        <v>#N/A</v>
      </c>
      <c r="AF125" t="e">
        <f>_xlfn.IFNA(51-MATCH(Songs!$A125,Data!AB$2:AB$51,0),NA())</f>
        <v>#N/A</v>
      </c>
      <c r="AG125" t="e">
        <f>_xlfn.IFNA(51-MATCH(Songs!$A125,Data!AC$2:AC$51,0),NA())</f>
        <v>#N/A</v>
      </c>
      <c r="AH125" t="e">
        <f>_xlfn.IFNA(51-MATCH(Songs!$A125,Data!AD$2:AD$51,0),NA())</f>
        <v>#N/A</v>
      </c>
      <c r="AI125" t="e">
        <f>_xlfn.IFNA(51-MATCH(Songs!$A125,Data!AE$2:AE$51,0),NA())</f>
        <v>#N/A</v>
      </c>
    </row>
    <row r="126" spans="1:35" ht="15.75" customHeight="1" x14ac:dyDescent="0.25">
      <c r="A126" s="6" t="s">
        <v>271</v>
      </c>
      <c r="B126" s="2" t="s">
        <v>143</v>
      </c>
      <c r="F126" s="6">
        <v>0</v>
      </c>
      <c r="G126" s="2">
        <f ca="1">COUNTIF(INDIRECT(_xlfn.CONCAT("Data!$B$2:", ADDRESS(51,COUNTA(Data!$1:$1)+1,1,1))), Songs!A126) + F126</f>
        <v>1</v>
      </c>
      <c r="H126" s="8"/>
      <c r="I126" s="8"/>
      <c r="J126" s="8" cm="1">
        <f t="array" ref="J126">51 - MAX(IF(NOT(ISNA(K126:BB126)),K126:BB126))</f>
        <v>44</v>
      </c>
      <c r="K126" t="e">
        <f>_xlfn.IFNA(51-MATCH(Songs!$A126,Data!G$2:G$51,0),NA())</f>
        <v>#N/A</v>
      </c>
      <c r="L126" t="e">
        <f>_xlfn.IFNA(51-MATCH(Songs!$A126,Data!H$2:H$51,0),NA())</f>
        <v>#N/A</v>
      </c>
      <c r="M126" t="e">
        <f>_xlfn.IFNA(51-MATCH(Songs!$A126,Data!I$2:I$51,0),NA())</f>
        <v>#N/A</v>
      </c>
      <c r="N126" t="e">
        <f>_xlfn.IFNA(51-MATCH(Songs!$A126,Data!J$2:J$51,0),NA())</f>
        <v>#N/A</v>
      </c>
      <c r="O126" t="e">
        <f>_xlfn.IFNA(51-MATCH(Songs!$A126,Data!K$2:K$51,0),NA())</f>
        <v>#N/A</v>
      </c>
      <c r="P126" t="e">
        <f>_xlfn.IFNA(51-MATCH(Songs!$A126,Data!L$2:L$51,0),NA())</f>
        <v>#N/A</v>
      </c>
      <c r="Q126" t="e">
        <f>_xlfn.IFNA(51-MATCH(Songs!$A126,Data!M$2:M$51,0),NA())</f>
        <v>#N/A</v>
      </c>
      <c r="R126" t="e">
        <f>_xlfn.IFNA(51-MATCH(Songs!$A126,Data!N$2:N$51,0),NA())</f>
        <v>#N/A</v>
      </c>
      <c r="S126" t="e">
        <f>_xlfn.IFNA(51-MATCH(Songs!$A126,Data!O$2:O$51,0),NA())</f>
        <v>#N/A</v>
      </c>
      <c r="T126" t="e">
        <f>_xlfn.IFNA(51-MATCH(Songs!$A126,Data!P$2:P$51,0),NA())</f>
        <v>#N/A</v>
      </c>
      <c r="U126" t="e">
        <f>_xlfn.IFNA(51-MATCH(Songs!$A126,Data!Q$2:Q$51,0),NA())</f>
        <v>#N/A</v>
      </c>
      <c r="V126" t="e">
        <f>_xlfn.IFNA(51-MATCH(Songs!$A126,Data!R$2:R$51,0),NA())</f>
        <v>#N/A</v>
      </c>
      <c r="W126" t="e">
        <f>_xlfn.IFNA(51-MATCH(Songs!$A126,Data!S$2:S$51,0),NA())</f>
        <v>#N/A</v>
      </c>
      <c r="X126" t="e">
        <f>_xlfn.IFNA(51-MATCH(Songs!$A126,Data!T$2:T$51,0),NA())</f>
        <v>#N/A</v>
      </c>
      <c r="Y126">
        <f>_xlfn.IFNA(51-MATCH(Songs!$A126,Data!U$2:U$51,0),NA())</f>
        <v>7</v>
      </c>
      <c r="Z126" t="e">
        <f>_xlfn.IFNA(51-MATCH(Songs!$A126,Data!V$2:V$51,0),NA())</f>
        <v>#N/A</v>
      </c>
      <c r="AA126" t="e">
        <f>_xlfn.IFNA(51-MATCH(Songs!$A126,Data!W$2:W$51,0),NA())</f>
        <v>#N/A</v>
      </c>
      <c r="AB126" t="e">
        <f>_xlfn.IFNA(51-MATCH(Songs!$A126,Data!X$2:X$51,0),NA())</f>
        <v>#N/A</v>
      </c>
      <c r="AC126" t="e">
        <f>_xlfn.IFNA(51-MATCH(Songs!$A126,Data!Y$2:Y$51,0),NA())</f>
        <v>#N/A</v>
      </c>
      <c r="AD126" t="e">
        <f>_xlfn.IFNA(51-MATCH(Songs!$A126,Data!Z$2:Z$51,0),NA())</f>
        <v>#N/A</v>
      </c>
      <c r="AE126" t="e">
        <f>_xlfn.IFNA(51-MATCH(Songs!$A126,Data!AA$2:AA$51,0),NA())</f>
        <v>#N/A</v>
      </c>
      <c r="AF126" t="e">
        <f>_xlfn.IFNA(51-MATCH(Songs!$A126,Data!AB$2:AB$51,0),NA())</f>
        <v>#N/A</v>
      </c>
      <c r="AG126" t="e">
        <f>_xlfn.IFNA(51-MATCH(Songs!$A126,Data!AC$2:AC$51,0),NA())</f>
        <v>#N/A</v>
      </c>
      <c r="AH126" t="e">
        <f>_xlfn.IFNA(51-MATCH(Songs!$A126,Data!AD$2:AD$51,0),NA())</f>
        <v>#N/A</v>
      </c>
      <c r="AI126" t="e">
        <f>_xlfn.IFNA(51-MATCH(Songs!$A126,Data!AE$2:AE$51,0),NA())</f>
        <v>#N/A</v>
      </c>
    </row>
    <row r="127" spans="1:35" ht="15.75" customHeight="1" x14ac:dyDescent="0.25">
      <c r="A127" s="6" t="s">
        <v>273</v>
      </c>
      <c r="B127" s="2" t="s">
        <v>274</v>
      </c>
      <c r="F127" s="6">
        <v>0</v>
      </c>
      <c r="G127" s="2">
        <f ca="1">COUNTIF(INDIRECT(_xlfn.CONCAT("Data!$B$2:", ADDRESS(51,COUNTA(Data!$1:$1)+1,1,1))), Songs!A127) + F127</f>
        <v>8</v>
      </c>
      <c r="H127" s="8"/>
      <c r="I127" s="8"/>
      <c r="J127" s="8" cm="1">
        <f t="array" ref="J127">51 - MAX(IF(NOT(ISNA(K127:BB127)),K127:BB127))</f>
        <v>29</v>
      </c>
      <c r="K127" t="e">
        <f>_xlfn.IFNA(51-MATCH(Songs!$A127,Data!G$2:G$51,0),NA())</f>
        <v>#N/A</v>
      </c>
      <c r="L127" t="e">
        <f>_xlfn.IFNA(51-MATCH(Songs!$A127,Data!H$2:H$51,0),NA())</f>
        <v>#N/A</v>
      </c>
      <c r="M127" t="e">
        <f>_xlfn.IFNA(51-MATCH(Songs!$A127,Data!I$2:I$51,0),NA())</f>
        <v>#N/A</v>
      </c>
      <c r="N127" t="e">
        <f>_xlfn.IFNA(51-MATCH(Songs!$A127,Data!J$2:J$51,0),NA())</f>
        <v>#N/A</v>
      </c>
      <c r="O127" t="e">
        <f>_xlfn.IFNA(51-MATCH(Songs!$A127,Data!K$2:K$51,0),NA())</f>
        <v>#N/A</v>
      </c>
      <c r="P127" t="e">
        <f>_xlfn.IFNA(51-MATCH(Songs!$A127,Data!L$2:L$51,0),NA())</f>
        <v>#N/A</v>
      </c>
      <c r="Q127" t="e">
        <f>_xlfn.IFNA(51-MATCH(Songs!$A127,Data!M$2:M$51,0),NA())</f>
        <v>#N/A</v>
      </c>
      <c r="R127" t="e">
        <f>_xlfn.IFNA(51-MATCH(Songs!$A127,Data!N$2:N$51,0),NA())</f>
        <v>#N/A</v>
      </c>
      <c r="S127" t="e">
        <f>_xlfn.IFNA(51-MATCH(Songs!$A127,Data!O$2:O$51,0),NA())</f>
        <v>#N/A</v>
      </c>
      <c r="T127" t="e">
        <f>_xlfn.IFNA(51-MATCH(Songs!$A127,Data!P$2:P$51,0),NA())</f>
        <v>#N/A</v>
      </c>
      <c r="U127" t="e">
        <f>_xlfn.IFNA(51-MATCH(Songs!$A127,Data!Q$2:Q$51,0),NA())</f>
        <v>#N/A</v>
      </c>
      <c r="V127" t="e">
        <f>_xlfn.IFNA(51-MATCH(Songs!$A127,Data!R$2:R$51,0),NA())</f>
        <v>#N/A</v>
      </c>
      <c r="W127" t="e">
        <f>_xlfn.IFNA(51-MATCH(Songs!$A127,Data!S$2:S$51,0),NA())</f>
        <v>#N/A</v>
      </c>
      <c r="X127" t="e">
        <f>_xlfn.IFNA(51-MATCH(Songs!$A127,Data!T$2:T$51,0),NA())</f>
        <v>#N/A</v>
      </c>
      <c r="Y127">
        <f>_xlfn.IFNA(51-MATCH(Songs!$A127,Data!U$2:U$51,0),NA())</f>
        <v>2</v>
      </c>
      <c r="Z127">
        <f>_xlfn.IFNA(51-MATCH(Songs!$A127,Data!V$2:V$51,0),NA())</f>
        <v>4</v>
      </c>
      <c r="AA127" t="e">
        <f>_xlfn.IFNA(51-MATCH(Songs!$A127,Data!W$2:W$51,0),NA())</f>
        <v>#N/A</v>
      </c>
      <c r="AB127" t="e">
        <f>_xlfn.IFNA(51-MATCH(Songs!$A127,Data!X$2:X$51,0),NA())</f>
        <v>#N/A</v>
      </c>
      <c r="AC127">
        <f>_xlfn.IFNA(51-MATCH(Songs!$A127,Data!Y$2:Y$51,0),NA())</f>
        <v>9</v>
      </c>
      <c r="AD127">
        <f>_xlfn.IFNA(51-MATCH(Songs!$A127,Data!Z$2:Z$51,0),NA())</f>
        <v>11</v>
      </c>
      <c r="AE127" t="e">
        <f>_xlfn.IFNA(51-MATCH(Songs!$A127,Data!AA$2:AA$51,0),NA())</f>
        <v>#N/A</v>
      </c>
      <c r="AF127">
        <f>_xlfn.IFNA(51-MATCH(Songs!$A127,Data!AB$2:AB$51,0),NA())</f>
        <v>14</v>
      </c>
      <c r="AG127">
        <f>_xlfn.IFNA(51-MATCH(Songs!$A127,Data!AC$2:AC$51,0),NA())</f>
        <v>17</v>
      </c>
      <c r="AH127">
        <f>_xlfn.IFNA(51-MATCH(Songs!$A127,Data!AD$2:AD$51,0),NA())</f>
        <v>21</v>
      </c>
      <c r="AI127">
        <f>_xlfn.IFNA(51-MATCH(Songs!$A127,Data!AE$2:AE$51,0),NA())</f>
        <v>22</v>
      </c>
    </row>
    <row r="128" spans="1:35" ht="15.75" customHeight="1" x14ac:dyDescent="0.25">
      <c r="A128" s="6" t="s">
        <v>272</v>
      </c>
      <c r="B128" s="2" t="s">
        <v>93</v>
      </c>
      <c r="F128" s="6">
        <v>0</v>
      </c>
      <c r="G128" s="2">
        <f ca="1">COUNTIF(INDIRECT(_xlfn.CONCAT("Data!$B$2:", ADDRESS(51,COUNTA(Data!$1:$1)+1,1,1))), Songs!A128) + F128</f>
        <v>7</v>
      </c>
      <c r="H128" s="8"/>
      <c r="I128" s="8"/>
      <c r="J128" s="8" cm="1">
        <f t="array" ref="J128">51 - MAX(IF(NOT(ISNA(K128:BB128)),K128:BB128))</f>
        <v>27</v>
      </c>
      <c r="K128" t="e">
        <f>_xlfn.IFNA(51-MATCH(Songs!$A128,Data!G$2:G$51,0),NA())</f>
        <v>#N/A</v>
      </c>
      <c r="L128" t="e">
        <f>_xlfn.IFNA(51-MATCH(Songs!$A128,Data!H$2:H$51,0),NA())</f>
        <v>#N/A</v>
      </c>
      <c r="M128" t="e">
        <f>_xlfn.IFNA(51-MATCH(Songs!$A128,Data!I$2:I$51,0),NA())</f>
        <v>#N/A</v>
      </c>
      <c r="N128" t="e">
        <f>_xlfn.IFNA(51-MATCH(Songs!$A128,Data!J$2:J$51,0),NA())</f>
        <v>#N/A</v>
      </c>
      <c r="O128" t="e">
        <f>_xlfn.IFNA(51-MATCH(Songs!$A128,Data!K$2:K$51,0),NA())</f>
        <v>#N/A</v>
      </c>
      <c r="P128" t="e">
        <f>_xlfn.IFNA(51-MATCH(Songs!$A128,Data!L$2:L$51,0),NA())</f>
        <v>#N/A</v>
      </c>
      <c r="Q128" t="e">
        <f>_xlfn.IFNA(51-MATCH(Songs!$A128,Data!M$2:M$51,0),NA())</f>
        <v>#N/A</v>
      </c>
      <c r="R128" t="e">
        <f>_xlfn.IFNA(51-MATCH(Songs!$A128,Data!N$2:N$51,0),NA())</f>
        <v>#N/A</v>
      </c>
      <c r="S128" t="e">
        <f>_xlfn.IFNA(51-MATCH(Songs!$A128,Data!O$2:O$51,0),NA())</f>
        <v>#N/A</v>
      </c>
      <c r="T128" t="e">
        <f>_xlfn.IFNA(51-MATCH(Songs!$A128,Data!P$2:P$51,0),NA())</f>
        <v>#N/A</v>
      </c>
      <c r="U128" t="e">
        <f>_xlfn.IFNA(51-MATCH(Songs!$A128,Data!Q$2:Q$51,0),NA())</f>
        <v>#N/A</v>
      </c>
      <c r="V128" t="e">
        <f>_xlfn.IFNA(51-MATCH(Songs!$A128,Data!R$2:R$51,0),NA())</f>
        <v>#N/A</v>
      </c>
      <c r="W128" t="e">
        <f>_xlfn.IFNA(51-MATCH(Songs!$A128,Data!S$2:S$51,0),NA())</f>
        <v>#N/A</v>
      </c>
      <c r="X128" t="e">
        <f>_xlfn.IFNA(51-MATCH(Songs!$A128,Data!T$2:T$51,0),NA())</f>
        <v>#N/A</v>
      </c>
      <c r="Y128">
        <f>_xlfn.IFNA(51-MATCH(Songs!$A128,Data!U$2:U$51,0),NA())</f>
        <v>1</v>
      </c>
      <c r="Z128">
        <f>_xlfn.IFNA(51-MATCH(Songs!$A128,Data!V$2:V$51,0),NA())</f>
        <v>10</v>
      </c>
      <c r="AA128">
        <f>_xlfn.IFNA(51-MATCH(Songs!$A128,Data!W$2:W$51,0),NA())</f>
        <v>10</v>
      </c>
      <c r="AB128" t="e">
        <f>_xlfn.IFNA(51-MATCH(Songs!$A128,Data!X$2:X$51,0),NA())</f>
        <v>#N/A</v>
      </c>
      <c r="AC128">
        <f>_xlfn.IFNA(51-MATCH(Songs!$A128,Data!Y$2:Y$51,0),NA())</f>
        <v>2</v>
      </c>
      <c r="AD128">
        <f>_xlfn.IFNA(51-MATCH(Songs!$A128,Data!Z$2:Z$51,0),NA())</f>
        <v>1</v>
      </c>
      <c r="AE128" t="e">
        <f>_xlfn.IFNA(51-MATCH(Songs!$A128,Data!AA$2:AA$51,0),NA())</f>
        <v>#N/A</v>
      </c>
      <c r="AF128" t="e">
        <f>_xlfn.IFNA(51-MATCH(Songs!$A128,Data!AB$2:AB$51,0),NA())</f>
        <v>#N/A</v>
      </c>
      <c r="AG128" t="e">
        <f>_xlfn.IFNA(51-MATCH(Songs!$A128,Data!AC$2:AC$51,0),NA())</f>
        <v>#N/A</v>
      </c>
      <c r="AH128">
        <f>_xlfn.IFNA(51-MATCH(Songs!$A128,Data!AD$2:AD$51,0),NA())</f>
        <v>24</v>
      </c>
      <c r="AI128">
        <f>_xlfn.IFNA(51-MATCH(Songs!$A128,Data!AE$2:AE$51,0),NA())</f>
        <v>15</v>
      </c>
    </row>
    <row r="129" spans="1:35" ht="15.75" customHeight="1" x14ac:dyDescent="0.25">
      <c r="A129" s="6" t="s">
        <v>275</v>
      </c>
      <c r="B129" s="2" t="s">
        <v>234</v>
      </c>
      <c r="D129" t="s">
        <v>277</v>
      </c>
      <c r="F129" s="6">
        <v>0</v>
      </c>
      <c r="G129" s="2">
        <f ca="1">COUNTIF(INDIRECT(_xlfn.CONCAT("Data!$B$2:", ADDRESS(51,COUNTA(Data!$1:$1)+1,1,1))), Songs!A129) + F129</f>
        <v>4</v>
      </c>
      <c r="H129" s="8"/>
      <c r="I129" s="8"/>
      <c r="J129" s="8" cm="1">
        <f t="array" ref="J129">51 - MAX(IF(NOT(ISNA(K129:BB129)),K129:BB129))</f>
        <v>40</v>
      </c>
      <c r="K129" t="e">
        <f>_xlfn.IFNA(51-MATCH(Songs!$A129,Data!G$2:G$51,0),NA())</f>
        <v>#N/A</v>
      </c>
      <c r="L129" t="e">
        <f>_xlfn.IFNA(51-MATCH(Songs!$A129,Data!H$2:H$51,0),NA())</f>
        <v>#N/A</v>
      </c>
      <c r="M129" t="e">
        <f>_xlfn.IFNA(51-MATCH(Songs!$A129,Data!I$2:I$51,0),NA())</f>
        <v>#N/A</v>
      </c>
      <c r="N129" t="e">
        <f>_xlfn.IFNA(51-MATCH(Songs!$A129,Data!J$2:J$51,0),NA())</f>
        <v>#N/A</v>
      </c>
      <c r="O129" t="e">
        <f>_xlfn.IFNA(51-MATCH(Songs!$A129,Data!K$2:K$51,0),NA())</f>
        <v>#N/A</v>
      </c>
      <c r="P129" t="e">
        <f>_xlfn.IFNA(51-MATCH(Songs!$A129,Data!L$2:L$51,0),NA())</f>
        <v>#N/A</v>
      </c>
      <c r="Q129" t="e">
        <f>_xlfn.IFNA(51-MATCH(Songs!$A129,Data!M$2:M$51,0),NA())</f>
        <v>#N/A</v>
      </c>
      <c r="R129" t="e">
        <f>_xlfn.IFNA(51-MATCH(Songs!$A129,Data!N$2:N$51,0),NA())</f>
        <v>#N/A</v>
      </c>
      <c r="S129" t="e">
        <f>_xlfn.IFNA(51-MATCH(Songs!$A129,Data!O$2:O$51,0),NA())</f>
        <v>#N/A</v>
      </c>
      <c r="T129" t="e">
        <f>_xlfn.IFNA(51-MATCH(Songs!$A129,Data!P$2:P$51,0),NA())</f>
        <v>#N/A</v>
      </c>
      <c r="U129" t="e">
        <f>_xlfn.IFNA(51-MATCH(Songs!$A129,Data!Q$2:Q$51,0),NA())</f>
        <v>#N/A</v>
      </c>
      <c r="V129" t="e">
        <f>_xlfn.IFNA(51-MATCH(Songs!$A129,Data!R$2:R$51,0),NA())</f>
        <v>#N/A</v>
      </c>
      <c r="W129" t="e">
        <f>_xlfn.IFNA(51-MATCH(Songs!$A129,Data!S$2:S$51,0),NA())</f>
        <v>#N/A</v>
      </c>
      <c r="X129" t="e">
        <f>_xlfn.IFNA(51-MATCH(Songs!$A129,Data!T$2:T$51,0),NA())</f>
        <v>#N/A</v>
      </c>
      <c r="Y129" t="e">
        <f>_xlfn.IFNA(51-MATCH(Songs!$A129,Data!U$2:U$51,0),NA())</f>
        <v>#N/A</v>
      </c>
      <c r="Z129">
        <f>_xlfn.IFNA(51-MATCH(Songs!$A129,Data!V$2:V$51,0),NA())</f>
        <v>11</v>
      </c>
      <c r="AA129">
        <f>_xlfn.IFNA(51-MATCH(Songs!$A129,Data!W$2:W$51,0),NA())</f>
        <v>3</v>
      </c>
      <c r="AB129">
        <f>_xlfn.IFNA(51-MATCH(Songs!$A129,Data!X$2:X$51,0),NA())</f>
        <v>2</v>
      </c>
      <c r="AC129">
        <f>_xlfn.IFNA(51-MATCH(Songs!$A129,Data!Y$2:Y$51,0),NA())</f>
        <v>6</v>
      </c>
      <c r="AD129" t="e">
        <f>_xlfn.IFNA(51-MATCH(Songs!$A129,Data!Z$2:Z$51,0),NA())</f>
        <v>#N/A</v>
      </c>
      <c r="AE129" t="e">
        <f>_xlfn.IFNA(51-MATCH(Songs!$A129,Data!AA$2:AA$51,0),NA())</f>
        <v>#N/A</v>
      </c>
      <c r="AF129" t="e">
        <f>_xlfn.IFNA(51-MATCH(Songs!$A129,Data!AB$2:AB$51,0),NA())</f>
        <v>#N/A</v>
      </c>
      <c r="AG129" t="e">
        <f>_xlfn.IFNA(51-MATCH(Songs!$A129,Data!AC$2:AC$51,0),NA())</f>
        <v>#N/A</v>
      </c>
      <c r="AH129" t="e">
        <f>_xlfn.IFNA(51-MATCH(Songs!$A129,Data!AD$2:AD$51,0),NA())</f>
        <v>#N/A</v>
      </c>
      <c r="AI129" t="e">
        <f>_xlfn.IFNA(51-MATCH(Songs!$A129,Data!AE$2:AE$51,0),NA())</f>
        <v>#N/A</v>
      </c>
    </row>
    <row r="130" spans="1:35" ht="15.75" customHeight="1" x14ac:dyDescent="0.25">
      <c r="A130" s="6" t="s">
        <v>276</v>
      </c>
      <c r="B130" s="2" t="s">
        <v>278</v>
      </c>
      <c r="F130" s="6">
        <v>0</v>
      </c>
      <c r="G130" s="2">
        <f ca="1">COUNTIF(INDIRECT(_xlfn.CONCAT("Data!$B$2:", ADDRESS(51,COUNTA(Data!$1:$1)+1,1,1))), Songs!A130) + F130</f>
        <v>6</v>
      </c>
      <c r="H130" s="8"/>
      <c r="I130" s="8"/>
      <c r="J130" s="8" cm="1">
        <f t="array" ref="J130">51 - MAX(IF(NOT(ISNA(K130:BB130)),K130:BB130))</f>
        <v>44</v>
      </c>
      <c r="K130" t="e">
        <f>_xlfn.IFNA(51-MATCH(Songs!$A130,Data!G$2:G$51,0),NA())</f>
        <v>#N/A</v>
      </c>
      <c r="L130" t="e">
        <f>_xlfn.IFNA(51-MATCH(Songs!$A130,Data!H$2:H$51,0),NA())</f>
        <v>#N/A</v>
      </c>
      <c r="M130" t="e">
        <f>_xlfn.IFNA(51-MATCH(Songs!$A130,Data!I$2:I$51,0),NA())</f>
        <v>#N/A</v>
      </c>
      <c r="N130" t="e">
        <f>_xlfn.IFNA(51-MATCH(Songs!$A130,Data!J$2:J$51,0),NA())</f>
        <v>#N/A</v>
      </c>
      <c r="O130" t="e">
        <f>_xlfn.IFNA(51-MATCH(Songs!$A130,Data!K$2:K$51,0),NA())</f>
        <v>#N/A</v>
      </c>
      <c r="P130" t="e">
        <f>_xlfn.IFNA(51-MATCH(Songs!$A130,Data!L$2:L$51,0),NA())</f>
        <v>#N/A</v>
      </c>
      <c r="Q130" t="e">
        <f>_xlfn.IFNA(51-MATCH(Songs!$A130,Data!M$2:M$51,0),NA())</f>
        <v>#N/A</v>
      </c>
      <c r="R130" t="e">
        <f>_xlfn.IFNA(51-MATCH(Songs!$A130,Data!N$2:N$51,0),NA())</f>
        <v>#N/A</v>
      </c>
      <c r="S130" t="e">
        <f>_xlfn.IFNA(51-MATCH(Songs!$A130,Data!O$2:O$51,0),NA())</f>
        <v>#N/A</v>
      </c>
      <c r="T130" t="e">
        <f>_xlfn.IFNA(51-MATCH(Songs!$A130,Data!P$2:P$51,0),NA())</f>
        <v>#N/A</v>
      </c>
      <c r="U130" t="e">
        <f>_xlfn.IFNA(51-MATCH(Songs!$A130,Data!Q$2:Q$51,0),NA())</f>
        <v>#N/A</v>
      </c>
      <c r="V130" t="e">
        <f>_xlfn.IFNA(51-MATCH(Songs!$A130,Data!R$2:R$51,0),NA())</f>
        <v>#N/A</v>
      </c>
      <c r="W130" t="e">
        <f>_xlfn.IFNA(51-MATCH(Songs!$A130,Data!S$2:S$51,0),NA())</f>
        <v>#N/A</v>
      </c>
      <c r="X130" t="e">
        <f>_xlfn.IFNA(51-MATCH(Songs!$A130,Data!T$2:T$51,0),NA())</f>
        <v>#N/A</v>
      </c>
      <c r="Y130" t="e">
        <f>_xlfn.IFNA(51-MATCH(Songs!$A130,Data!U$2:U$51,0),NA())</f>
        <v>#N/A</v>
      </c>
      <c r="Z130">
        <f>_xlfn.IFNA(51-MATCH(Songs!$A130,Data!V$2:V$51,0),NA())</f>
        <v>6</v>
      </c>
      <c r="AA130">
        <f>_xlfn.IFNA(51-MATCH(Songs!$A130,Data!W$2:W$51,0),NA())</f>
        <v>2</v>
      </c>
      <c r="AB130" t="e">
        <f>_xlfn.IFNA(51-MATCH(Songs!$A130,Data!X$2:X$51,0),NA())</f>
        <v>#N/A</v>
      </c>
      <c r="AC130" t="e">
        <f>_xlfn.IFNA(51-MATCH(Songs!$A130,Data!Y$2:Y$51,0),NA())</f>
        <v>#N/A</v>
      </c>
      <c r="AD130">
        <f>_xlfn.IFNA(51-MATCH(Songs!$A130,Data!Z$2:Z$51,0),NA())</f>
        <v>2</v>
      </c>
      <c r="AE130" t="e">
        <f>_xlfn.IFNA(51-MATCH(Songs!$A130,Data!AA$2:AA$51,0),NA())</f>
        <v>#N/A</v>
      </c>
      <c r="AF130" t="e">
        <f>_xlfn.IFNA(51-MATCH(Songs!$A130,Data!AB$2:AB$51,0),NA())</f>
        <v>#N/A</v>
      </c>
      <c r="AG130">
        <f>_xlfn.IFNA(51-MATCH(Songs!$A130,Data!AC$2:AC$51,0),NA())</f>
        <v>7</v>
      </c>
      <c r="AH130">
        <f>_xlfn.IFNA(51-MATCH(Songs!$A130,Data!AD$2:AD$51,0),NA())</f>
        <v>4</v>
      </c>
      <c r="AI130">
        <f>_xlfn.IFNA(51-MATCH(Songs!$A130,Data!AE$2:AE$51,0),NA())</f>
        <v>6</v>
      </c>
    </row>
    <row r="131" spans="1:35" ht="15.75" customHeight="1" x14ac:dyDescent="0.25">
      <c r="A131" s="6" t="s">
        <v>281</v>
      </c>
      <c r="B131" s="2" t="s">
        <v>156</v>
      </c>
      <c r="C131" t="s">
        <v>286</v>
      </c>
      <c r="F131" s="6">
        <v>0</v>
      </c>
      <c r="G131" s="2">
        <f ca="1">COUNTIF(INDIRECT(_xlfn.CONCAT("Data!$B$2:", ADDRESS(51,COUNTA(Data!$1:$1)+1,1,1))), Songs!A131) + F131</f>
        <v>9</v>
      </c>
      <c r="H131" s="8"/>
      <c r="I131" s="8"/>
      <c r="J131" s="8" cm="1">
        <f t="array" ref="J131">51 - MAX(IF(NOT(ISNA(K131:BB131)),K131:BB131))</f>
        <v>8</v>
      </c>
      <c r="K131" t="e">
        <f>_xlfn.IFNA(51-MATCH(Songs!$A131,Data!G$2:G$51,0),NA())</f>
        <v>#N/A</v>
      </c>
      <c r="L131" t="e">
        <f>_xlfn.IFNA(51-MATCH(Songs!$A131,Data!H$2:H$51,0),NA())</f>
        <v>#N/A</v>
      </c>
      <c r="M131" t="e">
        <f>_xlfn.IFNA(51-MATCH(Songs!$A131,Data!I$2:I$51,0),NA())</f>
        <v>#N/A</v>
      </c>
      <c r="N131" t="e">
        <f>_xlfn.IFNA(51-MATCH(Songs!$A131,Data!J$2:J$51,0),NA())</f>
        <v>#N/A</v>
      </c>
      <c r="O131" t="e">
        <f>_xlfn.IFNA(51-MATCH(Songs!$A131,Data!K$2:K$51,0),NA())</f>
        <v>#N/A</v>
      </c>
      <c r="P131" t="e">
        <f>_xlfn.IFNA(51-MATCH(Songs!$A131,Data!L$2:L$51,0),NA())</f>
        <v>#N/A</v>
      </c>
      <c r="Q131" t="e">
        <f>_xlfn.IFNA(51-MATCH(Songs!$A131,Data!M$2:M$51,0),NA())</f>
        <v>#N/A</v>
      </c>
      <c r="R131" t="e">
        <f>_xlfn.IFNA(51-MATCH(Songs!$A131,Data!N$2:N$51,0),NA())</f>
        <v>#N/A</v>
      </c>
      <c r="S131" t="e">
        <f>_xlfn.IFNA(51-MATCH(Songs!$A131,Data!O$2:O$51,0),NA())</f>
        <v>#N/A</v>
      </c>
      <c r="T131" t="e">
        <f>_xlfn.IFNA(51-MATCH(Songs!$A131,Data!P$2:P$51,0),NA())</f>
        <v>#N/A</v>
      </c>
      <c r="U131" t="e">
        <f>_xlfn.IFNA(51-MATCH(Songs!$A131,Data!Q$2:Q$51,0),NA())</f>
        <v>#N/A</v>
      </c>
      <c r="V131" t="e">
        <f>_xlfn.IFNA(51-MATCH(Songs!$A131,Data!R$2:R$51,0),NA())</f>
        <v>#N/A</v>
      </c>
      <c r="W131" t="e">
        <f>_xlfn.IFNA(51-MATCH(Songs!$A131,Data!S$2:S$51,0),NA())</f>
        <v>#N/A</v>
      </c>
      <c r="X131" t="e">
        <f>_xlfn.IFNA(51-MATCH(Songs!$A131,Data!T$2:T$51,0),NA())</f>
        <v>#N/A</v>
      </c>
      <c r="Y131" t="e">
        <f>_xlfn.IFNA(51-MATCH(Songs!$A131,Data!U$2:U$51,0),NA())</f>
        <v>#N/A</v>
      </c>
      <c r="Z131" t="e">
        <f>_xlfn.IFNA(51-MATCH(Songs!$A131,Data!V$2:V$51,0),NA())</f>
        <v>#N/A</v>
      </c>
      <c r="AA131">
        <f>_xlfn.IFNA(51-MATCH(Songs!$A131,Data!W$2:W$51,0),NA())</f>
        <v>43</v>
      </c>
      <c r="AB131">
        <f>_xlfn.IFNA(51-MATCH(Songs!$A131,Data!X$2:X$51,0),NA())</f>
        <v>42</v>
      </c>
      <c r="AC131">
        <f>_xlfn.IFNA(51-MATCH(Songs!$A131,Data!Y$2:Y$51,0),NA())</f>
        <v>41</v>
      </c>
      <c r="AD131">
        <f>_xlfn.IFNA(51-MATCH(Songs!$A131,Data!Z$2:Z$51,0),NA())</f>
        <v>41</v>
      </c>
      <c r="AE131">
        <f>_xlfn.IFNA(51-MATCH(Songs!$A131,Data!AA$2:AA$51,0),NA())</f>
        <v>36</v>
      </c>
      <c r="AF131">
        <f>_xlfn.IFNA(51-MATCH(Songs!$A131,Data!AB$2:AB$51,0),NA())</f>
        <v>42</v>
      </c>
      <c r="AG131">
        <f>_xlfn.IFNA(51-MATCH(Songs!$A131,Data!AC$2:AC$51,0),NA())</f>
        <v>42</v>
      </c>
      <c r="AH131">
        <f>_xlfn.IFNA(51-MATCH(Songs!$A131,Data!AD$2:AD$51,0),NA())</f>
        <v>40</v>
      </c>
      <c r="AI131">
        <f>_xlfn.IFNA(51-MATCH(Songs!$A131,Data!AE$2:AE$51,0),NA())</f>
        <v>41</v>
      </c>
    </row>
    <row r="132" spans="1:35" ht="15.75" customHeight="1" x14ac:dyDescent="0.25">
      <c r="A132" s="6" t="s">
        <v>282</v>
      </c>
      <c r="B132" s="2" t="s">
        <v>77</v>
      </c>
      <c r="F132" s="6">
        <v>0</v>
      </c>
      <c r="G132" s="2">
        <f ca="1">COUNTIF(INDIRECT(_xlfn.CONCAT("Data!$B$2:", ADDRESS(51,COUNTA(Data!$1:$1)+1,1,1))), Songs!A132) + F132</f>
        <v>4</v>
      </c>
      <c r="H132" s="8"/>
      <c r="I132" s="8"/>
      <c r="J132" s="8" cm="1">
        <f t="array" ref="J132">51 - MAX(IF(NOT(ISNA(K132:BB132)),K132:BB132))</f>
        <v>13</v>
      </c>
      <c r="K132" t="e">
        <f>_xlfn.IFNA(51-MATCH(Songs!$A132,Data!G$2:G$51,0),NA())</f>
        <v>#N/A</v>
      </c>
      <c r="L132" t="e">
        <f>_xlfn.IFNA(51-MATCH(Songs!$A132,Data!H$2:H$51,0),NA())</f>
        <v>#N/A</v>
      </c>
      <c r="M132" t="e">
        <f>_xlfn.IFNA(51-MATCH(Songs!$A132,Data!I$2:I$51,0),NA())</f>
        <v>#N/A</v>
      </c>
      <c r="N132" t="e">
        <f>_xlfn.IFNA(51-MATCH(Songs!$A132,Data!J$2:J$51,0),NA())</f>
        <v>#N/A</v>
      </c>
      <c r="O132" t="e">
        <f>_xlfn.IFNA(51-MATCH(Songs!$A132,Data!K$2:K$51,0),NA())</f>
        <v>#N/A</v>
      </c>
      <c r="P132" t="e">
        <f>_xlfn.IFNA(51-MATCH(Songs!$A132,Data!L$2:L$51,0),NA())</f>
        <v>#N/A</v>
      </c>
      <c r="Q132" t="e">
        <f>_xlfn.IFNA(51-MATCH(Songs!$A132,Data!M$2:M$51,0),NA())</f>
        <v>#N/A</v>
      </c>
      <c r="R132" t="e">
        <f>_xlfn.IFNA(51-MATCH(Songs!$A132,Data!N$2:N$51,0),NA())</f>
        <v>#N/A</v>
      </c>
      <c r="S132" t="e">
        <f>_xlfn.IFNA(51-MATCH(Songs!$A132,Data!O$2:O$51,0),NA())</f>
        <v>#N/A</v>
      </c>
      <c r="T132" t="e">
        <f>_xlfn.IFNA(51-MATCH(Songs!$A132,Data!P$2:P$51,0),NA())</f>
        <v>#N/A</v>
      </c>
      <c r="U132" t="e">
        <f>_xlfn.IFNA(51-MATCH(Songs!$A132,Data!Q$2:Q$51,0),NA())</f>
        <v>#N/A</v>
      </c>
      <c r="V132" t="e">
        <f>_xlfn.IFNA(51-MATCH(Songs!$A132,Data!R$2:R$51,0),NA())</f>
        <v>#N/A</v>
      </c>
      <c r="W132" t="e">
        <f>_xlfn.IFNA(51-MATCH(Songs!$A132,Data!S$2:S$51,0),NA())</f>
        <v>#N/A</v>
      </c>
      <c r="X132" t="e">
        <f>_xlfn.IFNA(51-MATCH(Songs!$A132,Data!T$2:T$51,0),NA())</f>
        <v>#N/A</v>
      </c>
      <c r="Y132" t="e">
        <f>_xlfn.IFNA(51-MATCH(Songs!$A132,Data!U$2:U$51,0),NA())</f>
        <v>#N/A</v>
      </c>
      <c r="Z132" t="e">
        <f>_xlfn.IFNA(51-MATCH(Songs!$A132,Data!V$2:V$51,0),NA())</f>
        <v>#N/A</v>
      </c>
      <c r="AA132">
        <f>_xlfn.IFNA(51-MATCH(Songs!$A132,Data!W$2:W$51,0),NA())</f>
        <v>35</v>
      </c>
      <c r="AB132">
        <f>_xlfn.IFNA(51-MATCH(Songs!$A132,Data!X$2:X$51,0),NA())</f>
        <v>38</v>
      </c>
      <c r="AC132">
        <f>_xlfn.IFNA(51-MATCH(Songs!$A132,Data!Y$2:Y$51,0),NA())</f>
        <v>22</v>
      </c>
      <c r="AD132">
        <f>_xlfn.IFNA(51-MATCH(Songs!$A132,Data!Z$2:Z$51,0),NA())</f>
        <v>17</v>
      </c>
      <c r="AE132" t="e">
        <f>_xlfn.IFNA(51-MATCH(Songs!$A132,Data!AA$2:AA$51,0),NA())</f>
        <v>#N/A</v>
      </c>
      <c r="AF132" t="e">
        <f>_xlfn.IFNA(51-MATCH(Songs!$A132,Data!AB$2:AB$51,0),NA())</f>
        <v>#N/A</v>
      </c>
      <c r="AG132" t="e">
        <f>_xlfn.IFNA(51-MATCH(Songs!$A132,Data!AC$2:AC$51,0),NA())</f>
        <v>#N/A</v>
      </c>
      <c r="AH132" t="e">
        <f>_xlfn.IFNA(51-MATCH(Songs!$A132,Data!AD$2:AD$51,0),NA())</f>
        <v>#N/A</v>
      </c>
      <c r="AI132" t="e">
        <f>_xlfn.IFNA(51-MATCH(Songs!$A132,Data!AE$2:AE$51,0),NA())</f>
        <v>#N/A</v>
      </c>
    </row>
    <row r="133" spans="1:35" ht="15.75" customHeight="1" x14ac:dyDescent="0.25">
      <c r="A133" s="6" t="s">
        <v>283</v>
      </c>
      <c r="B133" s="2" t="s">
        <v>74</v>
      </c>
      <c r="C133" t="s">
        <v>287</v>
      </c>
      <c r="F133" s="6">
        <v>0</v>
      </c>
      <c r="G133" s="2">
        <f ca="1">COUNTIF(INDIRECT(_xlfn.CONCAT("Data!$B$2:", ADDRESS(51,COUNTA(Data!$1:$1)+1,1,1))), Songs!A133) + F133</f>
        <v>7</v>
      </c>
      <c r="H133" s="8"/>
      <c r="I133" s="8"/>
      <c r="J133" s="8" cm="1">
        <f t="array" ref="J133">51 - MAX(IF(NOT(ISNA(K133:BB133)),K133:BB133))</f>
        <v>19</v>
      </c>
      <c r="K133" t="e">
        <f>_xlfn.IFNA(51-MATCH(Songs!$A133,Data!G$2:G$51,0),NA())</f>
        <v>#N/A</v>
      </c>
      <c r="L133" t="e">
        <f>_xlfn.IFNA(51-MATCH(Songs!$A133,Data!H$2:H$51,0),NA())</f>
        <v>#N/A</v>
      </c>
      <c r="M133" t="e">
        <f>_xlfn.IFNA(51-MATCH(Songs!$A133,Data!I$2:I$51,0),NA())</f>
        <v>#N/A</v>
      </c>
      <c r="N133" t="e">
        <f>_xlfn.IFNA(51-MATCH(Songs!$A133,Data!J$2:J$51,0),NA())</f>
        <v>#N/A</v>
      </c>
      <c r="O133" t="e">
        <f>_xlfn.IFNA(51-MATCH(Songs!$A133,Data!K$2:K$51,0),NA())</f>
        <v>#N/A</v>
      </c>
      <c r="P133" t="e">
        <f>_xlfn.IFNA(51-MATCH(Songs!$A133,Data!L$2:L$51,0),NA())</f>
        <v>#N/A</v>
      </c>
      <c r="Q133" t="e">
        <f>_xlfn.IFNA(51-MATCH(Songs!$A133,Data!M$2:M$51,0),NA())</f>
        <v>#N/A</v>
      </c>
      <c r="R133" t="e">
        <f>_xlfn.IFNA(51-MATCH(Songs!$A133,Data!N$2:N$51,0),NA())</f>
        <v>#N/A</v>
      </c>
      <c r="S133" t="e">
        <f>_xlfn.IFNA(51-MATCH(Songs!$A133,Data!O$2:O$51,0),NA())</f>
        <v>#N/A</v>
      </c>
      <c r="T133" t="e">
        <f>_xlfn.IFNA(51-MATCH(Songs!$A133,Data!P$2:P$51,0),NA())</f>
        <v>#N/A</v>
      </c>
      <c r="U133" t="e">
        <f>_xlfn.IFNA(51-MATCH(Songs!$A133,Data!Q$2:Q$51,0),NA())</f>
        <v>#N/A</v>
      </c>
      <c r="V133" t="e">
        <f>_xlfn.IFNA(51-MATCH(Songs!$A133,Data!R$2:R$51,0),NA())</f>
        <v>#N/A</v>
      </c>
      <c r="W133" t="e">
        <f>_xlfn.IFNA(51-MATCH(Songs!$A133,Data!S$2:S$51,0),NA())</f>
        <v>#N/A</v>
      </c>
      <c r="X133" t="e">
        <f>_xlfn.IFNA(51-MATCH(Songs!$A133,Data!T$2:T$51,0),NA())</f>
        <v>#N/A</v>
      </c>
      <c r="Y133" t="e">
        <f>_xlfn.IFNA(51-MATCH(Songs!$A133,Data!U$2:U$51,0),NA())</f>
        <v>#N/A</v>
      </c>
      <c r="Z133" t="e">
        <f>_xlfn.IFNA(51-MATCH(Songs!$A133,Data!V$2:V$51,0),NA())</f>
        <v>#N/A</v>
      </c>
      <c r="AA133">
        <f>_xlfn.IFNA(51-MATCH(Songs!$A133,Data!W$2:W$51,0),NA())</f>
        <v>32</v>
      </c>
      <c r="AB133">
        <f>_xlfn.IFNA(51-MATCH(Songs!$A133,Data!X$2:X$51,0),NA())</f>
        <v>14</v>
      </c>
      <c r="AC133">
        <f>_xlfn.IFNA(51-MATCH(Songs!$A133,Data!Y$2:Y$51,0),NA())</f>
        <v>5</v>
      </c>
      <c r="AD133">
        <f>_xlfn.IFNA(51-MATCH(Songs!$A133,Data!Z$2:Z$51,0),NA())</f>
        <v>22</v>
      </c>
      <c r="AE133">
        <f>_xlfn.IFNA(51-MATCH(Songs!$A133,Data!AA$2:AA$51,0),NA())</f>
        <v>26</v>
      </c>
      <c r="AF133">
        <f>_xlfn.IFNA(51-MATCH(Songs!$A133,Data!AB$2:AB$51,0),NA())</f>
        <v>10</v>
      </c>
      <c r="AG133">
        <f>_xlfn.IFNA(51-MATCH(Songs!$A133,Data!AC$2:AC$51,0),NA())</f>
        <v>1</v>
      </c>
      <c r="AH133" t="e">
        <f>_xlfn.IFNA(51-MATCH(Songs!$A133,Data!AD$2:AD$51,0),NA())</f>
        <v>#N/A</v>
      </c>
      <c r="AI133" t="e">
        <f>_xlfn.IFNA(51-MATCH(Songs!$A133,Data!AE$2:AE$51,0),NA())</f>
        <v>#N/A</v>
      </c>
    </row>
    <row r="134" spans="1:35" ht="15.75" customHeight="1" x14ac:dyDescent="0.25">
      <c r="A134" s="6" t="s">
        <v>284</v>
      </c>
      <c r="B134" s="2" t="s">
        <v>80</v>
      </c>
      <c r="F134" s="6">
        <v>0</v>
      </c>
      <c r="G134" s="2">
        <f ca="1">COUNTIF(INDIRECT(_xlfn.CONCAT("Data!$B$2:", ADDRESS(51,COUNTA(Data!$1:$1)+1,1,1))), Songs!A134) + F134</f>
        <v>9</v>
      </c>
      <c r="H134" s="8"/>
      <c r="I134" s="8"/>
      <c r="J134" s="8" cm="1">
        <f t="array" ref="J134">51 - MAX(IF(NOT(ISNA(K134:BB134)),K134:BB134))</f>
        <v>10</v>
      </c>
      <c r="K134" t="e">
        <f>_xlfn.IFNA(51-MATCH(Songs!$A134,Data!G$2:G$51,0),NA())</f>
        <v>#N/A</v>
      </c>
      <c r="L134" t="e">
        <f>_xlfn.IFNA(51-MATCH(Songs!$A134,Data!H$2:H$51,0),NA())</f>
        <v>#N/A</v>
      </c>
      <c r="M134" t="e">
        <f>_xlfn.IFNA(51-MATCH(Songs!$A134,Data!I$2:I$51,0),NA())</f>
        <v>#N/A</v>
      </c>
      <c r="N134" t="e">
        <f>_xlfn.IFNA(51-MATCH(Songs!$A134,Data!J$2:J$51,0),NA())</f>
        <v>#N/A</v>
      </c>
      <c r="O134" t="e">
        <f>_xlfn.IFNA(51-MATCH(Songs!$A134,Data!K$2:K$51,0),NA())</f>
        <v>#N/A</v>
      </c>
      <c r="P134" t="e">
        <f>_xlfn.IFNA(51-MATCH(Songs!$A134,Data!L$2:L$51,0),NA())</f>
        <v>#N/A</v>
      </c>
      <c r="Q134" t="e">
        <f>_xlfn.IFNA(51-MATCH(Songs!$A134,Data!M$2:M$51,0),NA())</f>
        <v>#N/A</v>
      </c>
      <c r="R134" t="e">
        <f>_xlfn.IFNA(51-MATCH(Songs!$A134,Data!N$2:N$51,0),NA())</f>
        <v>#N/A</v>
      </c>
      <c r="S134" t="e">
        <f>_xlfn.IFNA(51-MATCH(Songs!$A134,Data!O$2:O$51,0),NA())</f>
        <v>#N/A</v>
      </c>
      <c r="T134" t="e">
        <f>_xlfn.IFNA(51-MATCH(Songs!$A134,Data!P$2:P$51,0),NA())</f>
        <v>#N/A</v>
      </c>
      <c r="U134" t="e">
        <f>_xlfn.IFNA(51-MATCH(Songs!$A134,Data!Q$2:Q$51,0),NA())</f>
        <v>#N/A</v>
      </c>
      <c r="V134" t="e">
        <f>_xlfn.IFNA(51-MATCH(Songs!$A134,Data!R$2:R$51,0),NA())</f>
        <v>#N/A</v>
      </c>
      <c r="W134" t="e">
        <f>_xlfn.IFNA(51-MATCH(Songs!$A134,Data!S$2:S$51,0),NA())</f>
        <v>#N/A</v>
      </c>
      <c r="X134" t="e">
        <f>_xlfn.IFNA(51-MATCH(Songs!$A134,Data!T$2:T$51,0),NA())</f>
        <v>#N/A</v>
      </c>
      <c r="Y134" t="e">
        <f>_xlfn.IFNA(51-MATCH(Songs!$A134,Data!U$2:U$51,0),NA())</f>
        <v>#N/A</v>
      </c>
      <c r="Z134" t="e">
        <f>_xlfn.IFNA(51-MATCH(Songs!$A134,Data!V$2:V$51,0),NA())</f>
        <v>#N/A</v>
      </c>
      <c r="AA134">
        <f>_xlfn.IFNA(51-MATCH(Songs!$A134,Data!W$2:W$51,0),NA())</f>
        <v>19</v>
      </c>
      <c r="AB134">
        <f>_xlfn.IFNA(51-MATCH(Songs!$A134,Data!X$2:X$51,0),NA())</f>
        <v>41</v>
      </c>
      <c r="AC134">
        <f>_xlfn.IFNA(51-MATCH(Songs!$A134,Data!Y$2:Y$51,0),NA())</f>
        <v>40</v>
      </c>
      <c r="AD134">
        <f>_xlfn.IFNA(51-MATCH(Songs!$A134,Data!Z$2:Z$51,0),NA())</f>
        <v>40</v>
      </c>
      <c r="AE134">
        <f>_xlfn.IFNA(51-MATCH(Songs!$A134,Data!AA$2:AA$51,0),NA())</f>
        <v>37</v>
      </c>
      <c r="AF134">
        <f>_xlfn.IFNA(51-MATCH(Songs!$A134,Data!AB$2:AB$51,0),NA())</f>
        <v>37</v>
      </c>
      <c r="AG134">
        <f>_xlfn.IFNA(51-MATCH(Songs!$A134,Data!AC$2:AC$51,0),NA())</f>
        <v>40</v>
      </c>
      <c r="AH134">
        <f>_xlfn.IFNA(51-MATCH(Songs!$A134,Data!AD$2:AD$51,0),NA())</f>
        <v>37</v>
      </c>
      <c r="AI134">
        <f>_xlfn.IFNA(51-MATCH(Songs!$A134,Data!AE$2:AE$51,0),NA())</f>
        <v>38</v>
      </c>
    </row>
    <row r="135" spans="1:35" ht="15.75" customHeight="1" x14ac:dyDescent="0.25">
      <c r="A135" s="6" t="s">
        <v>285</v>
      </c>
      <c r="B135" s="2" t="s">
        <v>81</v>
      </c>
      <c r="F135" s="6">
        <v>0</v>
      </c>
      <c r="G135" s="2">
        <f ca="1">COUNTIF(INDIRECT(_xlfn.CONCAT("Data!$B$2:", ADDRESS(51,COUNTA(Data!$1:$1)+1,1,1))), Songs!A135) + F135</f>
        <v>8</v>
      </c>
      <c r="H135" s="8"/>
      <c r="I135" s="8"/>
      <c r="J135" s="8" cm="1">
        <f t="array" ref="J135">51 - MAX(IF(NOT(ISNA(K135:BB135)),K135:BB135))</f>
        <v>30</v>
      </c>
      <c r="K135" t="e">
        <f>_xlfn.IFNA(51-MATCH(Songs!$A135,Data!G$2:G$51,0),NA())</f>
        <v>#N/A</v>
      </c>
      <c r="L135" t="e">
        <f>_xlfn.IFNA(51-MATCH(Songs!$A135,Data!H$2:H$51,0),NA())</f>
        <v>#N/A</v>
      </c>
      <c r="M135" t="e">
        <f>_xlfn.IFNA(51-MATCH(Songs!$A135,Data!I$2:I$51,0),NA())</f>
        <v>#N/A</v>
      </c>
      <c r="N135" t="e">
        <f>_xlfn.IFNA(51-MATCH(Songs!$A135,Data!J$2:J$51,0),NA())</f>
        <v>#N/A</v>
      </c>
      <c r="O135" t="e">
        <f>_xlfn.IFNA(51-MATCH(Songs!$A135,Data!K$2:K$51,0),NA())</f>
        <v>#N/A</v>
      </c>
      <c r="P135" t="e">
        <f>_xlfn.IFNA(51-MATCH(Songs!$A135,Data!L$2:L$51,0),NA())</f>
        <v>#N/A</v>
      </c>
      <c r="Q135" t="e">
        <f>_xlfn.IFNA(51-MATCH(Songs!$A135,Data!M$2:M$51,0),NA())</f>
        <v>#N/A</v>
      </c>
      <c r="R135" t="e">
        <f>_xlfn.IFNA(51-MATCH(Songs!$A135,Data!N$2:N$51,0),NA())</f>
        <v>#N/A</v>
      </c>
      <c r="S135" t="e">
        <f>_xlfn.IFNA(51-MATCH(Songs!$A135,Data!O$2:O$51,0),NA())</f>
        <v>#N/A</v>
      </c>
      <c r="T135" t="e">
        <f>_xlfn.IFNA(51-MATCH(Songs!$A135,Data!P$2:P$51,0),NA())</f>
        <v>#N/A</v>
      </c>
      <c r="U135" t="e">
        <f>_xlfn.IFNA(51-MATCH(Songs!$A135,Data!Q$2:Q$51,0),NA())</f>
        <v>#N/A</v>
      </c>
      <c r="V135" t="e">
        <f>_xlfn.IFNA(51-MATCH(Songs!$A135,Data!R$2:R$51,0),NA())</f>
        <v>#N/A</v>
      </c>
      <c r="W135" t="e">
        <f>_xlfn.IFNA(51-MATCH(Songs!$A135,Data!S$2:S$51,0),NA())</f>
        <v>#N/A</v>
      </c>
      <c r="X135" t="e">
        <f>_xlfn.IFNA(51-MATCH(Songs!$A135,Data!T$2:T$51,0),NA())</f>
        <v>#N/A</v>
      </c>
      <c r="Y135" t="e">
        <f>_xlfn.IFNA(51-MATCH(Songs!$A135,Data!U$2:U$51,0),NA())</f>
        <v>#N/A</v>
      </c>
      <c r="Z135" t="e">
        <f>_xlfn.IFNA(51-MATCH(Songs!$A135,Data!V$2:V$51,0),NA())</f>
        <v>#N/A</v>
      </c>
      <c r="AA135">
        <f>_xlfn.IFNA(51-MATCH(Songs!$A135,Data!W$2:W$51,0),NA())</f>
        <v>5</v>
      </c>
      <c r="AB135">
        <f>_xlfn.IFNA(51-MATCH(Songs!$A135,Data!X$2:X$51,0),NA())</f>
        <v>6</v>
      </c>
      <c r="AC135">
        <f>_xlfn.IFNA(51-MATCH(Songs!$A135,Data!Y$2:Y$51,0),NA())</f>
        <v>20</v>
      </c>
      <c r="AD135">
        <f>_xlfn.IFNA(51-MATCH(Songs!$A135,Data!Z$2:Z$51,0),NA())</f>
        <v>21</v>
      </c>
      <c r="AE135" t="e">
        <f>_xlfn.IFNA(51-MATCH(Songs!$A135,Data!AA$2:AA$51,0),NA())</f>
        <v>#N/A</v>
      </c>
      <c r="AF135">
        <f>_xlfn.IFNA(51-MATCH(Songs!$A135,Data!AB$2:AB$51,0),NA())</f>
        <v>1</v>
      </c>
      <c r="AG135">
        <f>_xlfn.IFNA(51-MATCH(Songs!$A135,Data!AC$2:AC$51,0),NA())</f>
        <v>2</v>
      </c>
      <c r="AH135">
        <f>_xlfn.IFNA(51-MATCH(Songs!$A135,Data!AD$2:AD$51,0),NA())</f>
        <v>3</v>
      </c>
      <c r="AI135">
        <f>_xlfn.IFNA(51-MATCH(Songs!$A135,Data!AE$2:AE$51,0),NA())</f>
        <v>14</v>
      </c>
    </row>
    <row r="136" spans="1:35" ht="15.75" customHeight="1" x14ac:dyDescent="0.25">
      <c r="A136" s="6" t="s">
        <v>289</v>
      </c>
      <c r="B136" s="2" t="s">
        <v>296</v>
      </c>
      <c r="D136" t="s">
        <v>76</v>
      </c>
      <c r="F136" s="6">
        <v>0</v>
      </c>
      <c r="G136" s="2">
        <f ca="1">COUNTIF(INDIRECT(_xlfn.CONCAT("Data!$B$2:", ADDRESS(51,COUNTA(Data!$1:$1)+1,1,1))), Songs!A136) + F136</f>
        <v>8</v>
      </c>
      <c r="H136" s="8"/>
      <c r="I136" s="8"/>
      <c r="J136" s="8" cm="1">
        <f t="array" ref="J136">51 - MAX(IF(NOT(ISNA(K136:BB136)),K136:BB136))</f>
        <v>6</v>
      </c>
      <c r="K136" t="e">
        <f>_xlfn.IFNA(51-MATCH(Songs!$A136,Data!G$2:G$51,0),NA())</f>
        <v>#N/A</v>
      </c>
      <c r="L136" t="e">
        <f>_xlfn.IFNA(51-MATCH(Songs!$A136,Data!H$2:H$51,0),NA())</f>
        <v>#N/A</v>
      </c>
      <c r="M136" t="e">
        <f>_xlfn.IFNA(51-MATCH(Songs!$A136,Data!I$2:I$51,0),NA())</f>
        <v>#N/A</v>
      </c>
      <c r="N136" t="e">
        <f>_xlfn.IFNA(51-MATCH(Songs!$A136,Data!J$2:J$51,0),NA())</f>
        <v>#N/A</v>
      </c>
      <c r="O136" t="e">
        <f>_xlfn.IFNA(51-MATCH(Songs!$A136,Data!K$2:K$51,0),NA())</f>
        <v>#N/A</v>
      </c>
      <c r="P136" t="e">
        <f>_xlfn.IFNA(51-MATCH(Songs!$A136,Data!L$2:L$51,0),NA())</f>
        <v>#N/A</v>
      </c>
      <c r="Q136" t="e">
        <f>_xlfn.IFNA(51-MATCH(Songs!$A136,Data!M$2:M$51,0),NA())</f>
        <v>#N/A</v>
      </c>
      <c r="R136" t="e">
        <f>_xlfn.IFNA(51-MATCH(Songs!$A136,Data!N$2:N$51,0),NA())</f>
        <v>#N/A</v>
      </c>
      <c r="S136" t="e">
        <f>_xlfn.IFNA(51-MATCH(Songs!$A136,Data!O$2:O$51,0),NA())</f>
        <v>#N/A</v>
      </c>
      <c r="T136" t="e">
        <f>_xlfn.IFNA(51-MATCH(Songs!$A136,Data!P$2:P$51,0),NA())</f>
        <v>#N/A</v>
      </c>
      <c r="U136" t="e">
        <f>_xlfn.IFNA(51-MATCH(Songs!$A136,Data!Q$2:Q$51,0),NA())</f>
        <v>#N/A</v>
      </c>
      <c r="V136" t="e">
        <f>_xlfn.IFNA(51-MATCH(Songs!$A136,Data!R$2:R$51,0),NA())</f>
        <v>#N/A</v>
      </c>
      <c r="W136" t="e">
        <f>_xlfn.IFNA(51-MATCH(Songs!$A136,Data!S$2:S$51,0),NA())</f>
        <v>#N/A</v>
      </c>
      <c r="X136" t="e">
        <f>_xlfn.IFNA(51-MATCH(Songs!$A136,Data!T$2:T$51,0),NA())</f>
        <v>#N/A</v>
      </c>
      <c r="Y136" t="e">
        <f>_xlfn.IFNA(51-MATCH(Songs!$A136,Data!U$2:U$51,0),NA())</f>
        <v>#N/A</v>
      </c>
      <c r="Z136" t="e">
        <f>_xlfn.IFNA(51-MATCH(Songs!$A136,Data!V$2:V$51,0),NA())</f>
        <v>#N/A</v>
      </c>
      <c r="AA136" t="e">
        <f>_xlfn.IFNA(51-MATCH(Songs!$A136,Data!W$2:W$51,0),NA())</f>
        <v>#N/A</v>
      </c>
      <c r="AB136">
        <f>_xlfn.IFNA(51-MATCH(Songs!$A136,Data!X$2:X$51,0),NA())</f>
        <v>45</v>
      </c>
      <c r="AC136">
        <f>_xlfn.IFNA(51-MATCH(Songs!$A136,Data!Y$2:Y$51,0),NA())</f>
        <v>43</v>
      </c>
      <c r="AD136">
        <f>_xlfn.IFNA(51-MATCH(Songs!$A136,Data!Z$2:Z$51,0),NA())</f>
        <v>42</v>
      </c>
      <c r="AE136">
        <f>_xlfn.IFNA(51-MATCH(Songs!$A136,Data!AA$2:AA$51,0),NA())</f>
        <v>39</v>
      </c>
      <c r="AF136">
        <f>_xlfn.IFNA(51-MATCH(Songs!$A136,Data!AB$2:AB$51,0),NA())</f>
        <v>38</v>
      </c>
      <c r="AG136">
        <f>_xlfn.IFNA(51-MATCH(Songs!$A136,Data!AC$2:AC$51,0),NA())</f>
        <v>38</v>
      </c>
      <c r="AH136">
        <f>_xlfn.IFNA(51-MATCH(Songs!$A136,Data!AD$2:AD$51,0),NA())</f>
        <v>34</v>
      </c>
      <c r="AI136">
        <f>_xlfn.IFNA(51-MATCH(Songs!$A136,Data!AE$2:AE$51,0),NA())</f>
        <v>34</v>
      </c>
    </row>
    <row r="137" spans="1:35" ht="15.75" customHeight="1" x14ac:dyDescent="0.25">
      <c r="A137" s="6" t="s">
        <v>290</v>
      </c>
      <c r="B137" s="2" t="s">
        <v>77</v>
      </c>
      <c r="F137" s="6">
        <v>0</v>
      </c>
      <c r="G137" s="2">
        <f ca="1">COUNTIF(INDIRECT(_xlfn.CONCAT("Data!$B$2:", ADDRESS(51,COUNTA(Data!$1:$1)+1,1,1))), Songs!A137) + F137</f>
        <v>8</v>
      </c>
      <c r="H137" s="8"/>
      <c r="I137" s="8"/>
      <c r="J137" s="8" cm="1">
        <f t="array" ref="J137">51 - MAX(IF(NOT(ISNA(K137:BB137)),K137:BB137))</f>
        <v>12</v>
      </c>
      <c r="K137" t="e">
        <f>_xlfn.IFNA(51-MATCH(Songs!$A137,Data!G$2:G$51,0),NA())</f>
        <v>#N/A</v>
      </c>
      <c r="L137" t="e">
        <f>_xlfn.IFNA(51-MATCH(Songs!$A137,Data!H$2:H$51,0),NA())</f>
        <v>#N/A</v>
      </c>
      <c r="M137" t="e">
        <f>_xlfn.IFNA(51-MATCH(Songs!$A137,Data!I$2:I$51,0),NA())</f>
        <v>#N/A</v>
      </c>
      <c r="N137" t="e">
        <f>_xlfn.IFNA(51-MATCH(Songs!$A137,Data!J$2:J$51,0),NA())</f>
        <v>#N/A</v>
      </c>
      <c r="O137" t="e">
        <f>_xlfn.IFNA(51-MATCH(Songs!$A137,Data!K$2:K$51,0),NA())</f>
        <v>#N/A</v>
      </c>
      <c r="P137" t="e">
        <f>_xlfn.IFNA(51-MATCH(Songs!$A137,Data!L$2:L$51,0),NA())</f>
        <v>#N/A</v>
      </c>
      <c r="Q137" t="e">
        <f>_xlfn.IFNA(51-MATCH(Songs!$A137,Data!M$2:M$51,0),NA())</f>
        <v>#N/A</v>
      </c>
      <c r="R137" t="e">
        <f>_xlfn.IFNA(51-MATCH(Songs!$A137,Data!N$2:N$51,0),NA())</f>
        <v>#N/A</v>
      </c>
      <c r="S137" t="e">
        <f>_xlfn.IFNA(51-MATCH(Songs!$A137,Data!O$2:O$51,0),NA())</f>
        <v>#N/A</v>
      </c>
      <c r="T137" t="e">
        <f>_xlfn.IFNA(51-MATCH(Songs!$A137,Data!P$2:P$51,0),NA())</f>
        <v>#N/A</v>
      </c>
      <c r="U137" t="e">
        <f>_xlfn.IFNA(51-MATCH(Songs!$A137,Data!Q$2:Q$51,0),NA())</f>
        <v>#N/A</v>
      </c>
      <c r="V137" t="e">
        <f>_xlfn.IFNA(51-MATCH(Songs!$A137,Data!R$2:R$51,0),NA())</f>
        <v>#N/A</v>
      </c>
      <c r="W137" t="e">
        <f>_xlfn.IFNA(51-MATCH(Songs!$A137,Data!S$2:S$51,0),NA())</f>
        <v>#N/A</v>
      </c>
      <c r="X137" t="e">
        <f>_xlfn.IFNA(51-MATCH(Songs!$A137,Data!T$2:T$51,0),NA())</f>
        <v>#N/A</v>
      </c>
      <c r="Y137" t="e">
        <f>_xlfn.IFNA(51-MATCH(Songs!$A137,Data!U$2:U$51,0),NA())</f>
        <v>#N/A</v>
      </c>
      <c r="Z137" t="e">
        <f>_xlfn.IFNA(51-MATCH(Songs!$A137,Data!V$2:V$51,0),NA())</f>
        <v>#N/A</v>
      </c>
      <c r="AA137" t="e">
        <f>_xlfn.IFNA(51-MATCH(Songs!$A137,Data!W$2:W$51,0),NA())</f>
        <v>#N/A</v>
      </c>
      <c r="AB137">
        <f>_xlfn.IFNA(51-MATCH(Songs!$A137,Data!X$2:X$51,0),NA())</f>
        <v>39</v>
      </c>
      <c r="AC137">
        <f>_xlfn.IFNA(51-MATCH(Songs!$A137,Data!Y$2:Y$51,0),NA())</f>
        <v>32</v>
      </c>
      <c r="AD137">
        <f>_xlfn.IFNA(51-MATCH(Songs!$A137,Data!Z$2:Z$51,0),NA())</f>
        <v>26</v>
      </c>
      <c r="AE137">
        <f>_xlfn.IFNA(51-MATCH(Songs!$A137,Data!AA$2:AA$51,0),NA())</f>
        <v>9</v>
      </c>
      <c r="AF137">
        <f>_xlfn.IFNA(51-MATCH(Songs!$A137,Data!AB$2:AB$51,0),NA())</f>
        <v>8</v>
      </c>
      <c r="AG137">
        <f>_xlfn.IFNA(51-MATCH(Songs!$A137,Data!AC$2:AC$51,0),NA())</f>
        <v>8</v>
      </c>
      <c r="AH137">
        <f>_xlfn.IFNA(51-MATCH(Songs!$A137,Data!AD$2:AD$51,0),NA())</f>
        <v>6</v>
      </c>
      <c r="AI137">
        <f>_xlfn.IFNA(51-MATCH(Songs!$A137,Data!AE$2:AE$51,0),NA())</f>
        <v>8</v>
      </c>
    </row>
    <row r="138" spans="1:35" ht="15.75" customHeight="1" x14ac:dyDescent="0.25">
      <c r="A138" s="6" t="s">
        <v>291</v>
      </c>
      <c r="B138" s="2" t="s">
        <v>77</v>
      </c>
      <c r="F138" s="6">
        <v>0</v>
      </c>
      <c r="G138" s="2">
        <f ca="1">COUNTIF(INDIRECT(_xlfn.CONCAT("Data!$B$2:", ADDRESS(51,COUNTA(Data!$1:$1)+1,1,1))), Songs!A138) + F138</f>
        <v>2</v>
      </c>
      <c r="H138" s="8"/>
      <c r="I138" s="8"/>
      <c r="J138" s="8" cm="1">
        <f t="array" ref="J138">51 - MAX(IF(NOT(ISNA(K138:BB138)),K138:BB138))</f>
        <v>28</v>
      </c>
      <c r="K138" t="e">
        <f>_xlfn.IFNA(51-MATCH(Songs!$A138,Data!G$2:G$51,0),NA())</f>
        <v>#N/A</v>
      </c>
      <c r="L138" t="e">
        <f>_xlfn.IFNA(51-MATCH(Songs!$A138,Data!H$2:H$51,0),NA())</f>
        <v>#N/A</v>
      </c>
      <c r="M138" t="e">
        <f>_xlfn.IFNA(51-MATCH(Songs!$A138,Data!I$2:I$51,0),NA())</f>
        <v>#N/A</v>
      </c>
      <c r="N138" t="e">
        <f>_xlfn.IFNA(51-MATCH(Songs!$A138,Data!J$2:J$51,0),NA())</f>
        <v>#N/A</v>
      </c>
      <c r="O138" t="e">
        <f>_xlfn.IFNA(51-MATCH(Songs!$A138,Data!K$2:K$51,0),NA())</f>
        <v>#N/A</v>
      </c>
      <c r="P138" t="e">
        <f>_xlfn.IFNA(51-MATCH(Songs!$A138,Data!L$2:L$51,0),NA())</f>
        <v>#N/A</v>
      </c>
      <c r="Q138" t="e">
        <f>_xlfn.IFNA(51-MATCH(Songs!$A138,Data!M$2:M$51,0),NA())</f>
        <v>#N/A</v>
      </c>
      <c r="R138" t="e">
        <f>_xlfn.IFNA(51-MATCH(Songs!$A138,Data!N$2:N$51,0),NA())</f>
        <v>#N/A</v>
      </c>
      <c r="S138" t="e">
        <f>_xlfn.IFNA(51-MATCH(Songs!$A138,Data!O$2:O$51,0),NA())</f>
        <v>#N/A</v>
      </c>
      <c r="T138" t="e">
        <f>_xlfn.IFNA(51-MATCH(Songs!$A138,Data!P$2:P$51,0),NA())</f>
        <v>#N/A</v>
      </c>
      <c r="U138" t="e">
        <f>_xlfn.IFNA(51-MATCH(Songs!$A138,Data!Q$2:Q$51,0),NA())</f>
        <v>#N/A</v>
      </c>
      <c r="V138" t="e">
        <f>_xlfn.IFNA(51-MATCH(Songs!$A138,Data!R$2:R$51,0),NA())</f>
        <v>#N/A</v>
      </c>
      <c r="W138" t="e">
        <f>_xlfn.IFNA(51-MATCH(Songs!$A138,Data!S$2:S$51,0),NA())</f>
        <v>#N/A</v>
      </c>
      <c r="X138" t="e">
        <f>_xlfn.IFNA(51-MATCH(Songs!$A138,Data!T$2:T$51,0),NA())</f>
        <v>#N/A</v>
      </c>
      <c r="Y138" t="e">
        <f>_xlfn.IFNA(51-MATCH(Songs!$A138,Data!U$2:U$51,0),NA())</f>
        <v>#N/A</v>
      </c>
      <c r="Z138" t="e">
        <f>_xlfn.IFNA(51-MATCH(Songs!$A138,Data!V$2:V$51,0),NA())</f>
        <v>#N/A</v>
      </c>
      <c r="AA138" t="e">
        <f>_xlfn.IFNA(51-MATCH(Songs!$A138,Data!W$2:W$51,0),NA())</f>
        <v>#N/A</v>
      </c>
      <c r="AB138">
        <f>_xlfn.IFNA(51-MATCH(Songs!$A138,Data!X$2:X$51,0),NA())</f>
        <v>23</v>
      </c>
      <c r="AC138">
        <f>_xlfn.IFNA(51-MATCH(Songs!$A138,Data!Y$2:Y$51,0),NA())</f>
        <v>3</v>
      </c>
      <c r="AD138" t="e">
        <f>_xlfn.IFNA(51-MATCH(Songs!$A138,Data!Z$2:Z$51,0),NA())</f>
        <v>#N/A</v>
      </c>
      <c r="AE138" t="e">
        <f>_xlfn.IFNA(51-MATCH(Songs!$A138,Data!AA$2:AA$51,0),NA())</f>
        <v>#N/A</v>
      </c>
      <c r="AF138" t="e">
        <f>_xlfn.IFNA(51-MATCH(Songs!$A138,Data!AB$2:AB$51,0),NA())</f>
        <v>#N/A</v>
      </c>
      <c r="AG138" t="e">
        <f>_xlfn.IFNA(51-MATCH(Songs!$A138,Data!AC$2:AC$51,0),NA())</f>
        <v>#N/A</v>
      </c>
      <c r="AH138" t="e">
        <f>_xlfn.IFNA(51-MATCH(Songs!$A138,Data!AD$2:AD$51,0),NA())</f>
        <v>#N/A</v>
      </c>
      <c r="AI138" t="e">
        <f>_xlfn.IFNA(51-MATCH(Songs!$A138,Data!AE$2:AE$51,0),NA())</f>
        <v>#N/A</v>
      </c>
    </row>
    <row r="139" spans="1:35" ht="15.75" customHeight="1" x14ac:dyDescent="0.25">
      <c r="A139" s="6" t="s">
        <v>292</v>
      </c>
      <c r="B139" s="2" t="s">
        <v>77</v>
      </c>
      <c r="F139" s="6">
        <v>0</v>
      </c>
      <c r="G139" s="2">
        <f ca="1">COUNTIF(INDIRECT(_xlfn.CONCAT("Data!$B$2:", ADDRESS(51,COUNTA(Data!$1:$1)+1,1,1))), Songs!A139) + F139</f>
        <v>2</v>
      </c>
      <c r="H139" s="8"/>
      <c r="I139" s="8"/>
      <c r="J139" s="8" cm="1">
        <f t="array" ref="J139">51 - MAX(IF(NOT(ISNA(K139:BB139)),K139:BB139))</f>
        <v>31</v>
      </c>
      <c r="K139" t="e">
        <f>_xlfn.IFNA(51-MATCH(Songs!$A139,Data!G$2:G$51,0),NA())</f>
        <v>#N/A</v>
      </c>
      <c r="L139" t="e">
        <f>_xlfn.IFNA(51-MATCH(Songs!$A139,Data!H$2:H$51,0),NA())</f>
        <v>#N/A</v>
      </c>
      <c r="M139" t="e">
        <f>_xlfn.IFNA(51-MATCH(Songs!$A139,Data!I$2:I$51,0),NA())</f>
        <v>#N/A</v>
      </c>
      <c r="N139" t="e">
        <f>_xlfn.IFNA(51-MATCH(Songs!$A139,Data!J$2:J$51,0),NA())</f>
        <v>#N/A</v>
      </c>
      <c r="O139" t="e">
        <f>_xlfn.IFNA(51-MATCH(Songs!$A139,Data!K$2:K$51,0),NA())</f>
        <v>#N/A</v>
      </c>
      <c r="P139" t="e">
        <f>_xlfn.IFNA(51-MATCH(Songs!$A139,Data!L$2:L$51,0),NA())</f>
        <v>#N/A</v>
      </c>
      <c r="Q139" t="e">
        <f>_xlfn.IFNA(51-MATCH(Songs!$A139,Data!M$2:M$51,0),NA())</f>
        <v>#N/A</v>
      </c>
      <c r="R139" t="e">
        <f>_xlfn.IFNA(51-MATCH(Songs!$A139,Data!N$2:N$51,0),NA())</f>
        <v>#N/A</v>
      </c>
      <c r="S139" t="e">
        <f>_xlfn.IFNA(51-MATCH(Songs!$A139,Data!O$2:O$51,0),NA())</f>
        <v>#N/A</v>
      </c>
      <c r="T139" t="e">
        <f>_xlfn.IFNA(51-MATCH(Songs!$A139,Data!P$2:P$51,0),NA())</f>
        <v>#N/A</v>
      </c>
      <c r="U139" t="e">
        <f>_xlfn.IFNA(51-MATCH(Songs!$A139,Data!Q$2:Q$51,0),NA())</f>
        <v>#N/A</v>
      </c>
      <c r="V139" t="e">
        <f>_xlfn.IFNA(51-MATCH(Songs!$A139,Data!R$2:R$51,0),NA())</f>
        <v>#N/A</v>
      </c>
      <c r="W139" t="e">
        <f>_xlfn.IFNA(51-MATCH(Songs!$A139,Data!S$2:S$51,0),NA())</f>
        <v>#N/A</v>
      </c>
      <c r="X139" t="e">
        <f>_xlfn.IFNA(51-MATCH(Songs!$A139,Data!T$2:T$51,0),NA())</f>
        <v>#N/A</v>
      </c>
      <c r="Y139" t="e">
        <f>_xlfn.IFNA(51-MATCH(Songs!$A139,Data!U$2:U$51,0),NA())</f>
        <v>#N/A</v>
      </c>
      <c r="Z139" t="e">
        <f>_xlfn.IFNA(51-MATCH(Songs!$A139,Data!V$2:V$51,0),NA())</f>
        <v>#N/A</v>
      </c>
      <c r="AA139" t="e">
        <f>_xlfn.IFNA(51-MATCH(Songs!$A139,Data!W$2:W$51,0),NA())</f>
        <v>#N/A</v>
      </c>
      <c r="AB139">
        <f>_xlfn.IFNA(51-MATCH(Songs!$A139,Data!X$2:X$51,0),NA())</f>
        <v>20</v>
      </c>
      <c r="AC139">
        <f>_xlfn.IFNA(51-MATCH(Songs!$A139,Data!Y$2:Y$51,0),NA())</f>
        <v>4</v>
      </c>
      <c r="AD139" t="e">
        <f>_xlfn.IFNA(51-MATCH(Songs!$A139,Data!Z$2:Z$51,0),NA())</f>
        <v>#N/A</v>
      </c>
      <c r="AE139" t="e">
        <f>_xlfn.IFNA(51-MATCH(Songs!$A139,Data!AA$2:AA$51,0),NA())</f>
        <v>#N/A</v>
      </c>
      <c r="AF139" t="e">
        <f>_xlfn.IFNA(51-MATCH(Songs!$A139,Data!AB$2:AB$51,0),NA())</f>
        <v>#N/A</v>
      </c>
      <c r="AG139" t="e">
        <f>_xlfn.IFNA(51-MATCH(Songs!$A139,Data!AC$2:AC$51,0),NA())</f>
        <v>#N/A</v>
      </c>
      <c r="AH139" t="e">
        <f>_xlfn.IFNA(51-MATCH(Songs!$A139,Data!AD$2:AD$51,0),NA())</f>
        <v>#N/A</v>
      </c>
      <c r="AI139" t="e">
        <f>_xlfn.IFNA(51-MATCH(Songs!$A139,Data!AE$2:AE$51,0),NA())</f>
        <v>#N/A</v>
      </c>
    </row>
    <row r="140" spans="1:35" ht="15.75" customHeight="1" x14ac:dyDescent="0.25">
      <c r="A140" s="6" t="s">
        <v>293</v>
      </c>
      <c r="B140" s="2" t="s">
        <v>77</v>
      </c>
      <c r="F140" s="6">
        <v>0</v>
      </c>
      <c r="G140" s="2">
        <f ca="1">COUNTIF(INDIRECT(_xlfn.CONCAT("Data!$B$2:", ADDRESS(51,COUNTA(Data!$1:$1)+1,1,1))), Songs!A140) + F140</f>
        <v>1</v>
      </c>
      <c r="H140" s="8"/>
      <c r="I140" s="8"/>
      <c r="J140" s="8" cm="1">
        <f t="array" ref="J140">51 - MAX(IF(NOT(ISNA(K140:BB140)),K140:BB140))</f>
        <v>33</v>
      </c>
      <c r="K140" t="e">
        <f>_xlfn.IFNA(51-MATCH(Songs!$A140,Data!G$2:G$51,0),NA())</f>
        <v>#N/A</v>
      </c>
      <c r="L140" t="e">
        <f>_xlfn.IFNA(51-MATCH(Songs!$A140,Data!H$2:H$51,0),NA())</f>
        <v>#N/A</v>
      </c>
      <c r="M140" t="e">
        <f>_xlfn.IFNA(51-MATCH(Songs!$A140,Data!I$2:I$51,0),NA())</f>
        <v>#N/A</v>
      </c>
      <c r="N140" t="e">
        <f>_xlfn.IFNA(51-MATCH(Songs!$A140,Data!J$2:J$51,0),NA())</f>
        <v>#N/A</v>
      </c>
      <c r="O140" t="e">
        <f>_xlfn.IFNA(51-MATCH(Songs!$A140,Data!K$2:K$51,0),NA())</f>
        <v>#N/A</v>
      </c>
      <c r="P140" t="e">
        <f>_xlfn.IFNA(51-MATCH(Songs!$A140,Data!L$2:L$51,0),NA())</f>
        <v>#N/A</v>
      </c>
      <c r="Q140" t="e">
        <f>_xlfn.IFNA(51-MATCH(Songs!$A140,Data!M$2:M$51,0),NA())</f>
        <v>#N/A</v>
      </c>
      <c r="R140" t="e">
        <f>_xlfn.IFNA(51-MATCH(Songs!$A140,Data!N$2:N$51,0),NA())</f>
        <v>#N/A</v>
      </c>
      <c r="S140" t="e">
        <f>_xlfn.IFNA(51-MATCH(Songs!$A140,Data!O$2:O$51,0),NA())</f>
        <v>#N/A</v>
      </c>
      <c r="T140" t="e">
        <f>_xlfn.IFNA(51-MATCH(Songs!$A140,Data!P$2:P$51,0),NA())</f>
        <v>#N/A</v>
      </c>
      <c r="U140" t="e">
        <f>_xlfn.IFNA(51-MATCH(Songs!$A140,Data!Q$2:Q$51,0),NA())</f>
        <v>#N/A</v>
      </c>
      <c r="V140" t="e">
        <f>_xlfn.IFNA(51-MATCH(Songs!$A140,Data!R$2:R$51,0),NA())</f>
        <v>#N/A</v>
      </c>
      <c r="W140" t="e">
        <f>_xlfn.IFNA(51-MATCH(Songs!$A140,Data!S$2:S$51,0),NA())</f>
        <v>#N/A</v>
      </c>
      <c r="X140" t="e">
        <f>_xlfn.IFNA(51-MATCH(Songs!$A140,Data!T$2:T$51,0),NA())</f>
        <v>#N/A</v>
      </c>
      <c r="Y140" t="e">
        <f>_xlfn.IFNA(51-MATCH(Songs!$A140,Data!U$2:U$51,0),NA())</f>
        <v>#N/A</v>
      </c>
      <c r="Z140" t="e">
        <f>_xlfn.IFNA(51-MATCH(Songs!$A140,Data!V$2:V$51,0),NA())</f>
        <v>#N/A</v>
      </c>
      <c r="AA140" t="e">
        <f>_xlfn.IFNA(51-MATCH(Songs!$A140,Data!W$2:W$51,0),NA())</f>
        <v>#N/A</v>
      </c>
      <c r="AB140">
        <f>_xlfn.IFNA(51-MATCH(Songs!$A140,Data!X$2:X$51,0),NA())</f>
        <v>18</v>
      </c>
      <c r="AC140" t="e">
        <f>_xlfn.IFNA(51-MATCH(Songs!$A140,Data!Y$2:Y$51,0),NA())</f>
        <v>#N/A</v>
      </c>
      <c r="AD140" t="e">
        <f>_xlfn.IFNA(51-MATCH(Songs!$A140,Data!Z$2:Z$51,0),NA())</f>
        <v>#N/A</v>
      </c>
      <c r="AE140" t="e">
        <f>_xlfn.IFNA(51-MATCH(Songs!$A140,Data!AA$2:AA$51,0),NA())</f>
        <v>#N/A</v>
      </c>
      <c r="AF140" t="e">
        <f>_xlfn.IFNA(51-MATCH(Songs!$A140,Data!AB$2:AB$51,0),NA())</f>
        <v>#N/A</v>
      </c>
      <c r="AG140" t="e">
        <f>_xlfn.IFNA(51-MATCH(Songs!$A140,Data!AC$2:AC$51,0),NA())</f>
        <v>#N/A</v>
      </c>
      <c r="AH140" t="e">
        <f>_xlfn.IFNA(51-MATCH(Songs!$A140,Data!AD$2:AD$51,0),NA())</f>
        <v>#N/A</v>
      </c>
      <c r="AI140" t="e">
        <f>_xlfn.IFNA(51-MATCH(Songs!$A140,Data!AE$2:AE$51,0),NA())</f>
        <v>#N/A</v>
      </c>
    </row>
    <row r="141" spans="1:35" ht="15.75" customHeight="1" x14ac:dyDescent="0.25">
      <c r="A141" s="6" t="s">
        <v>294</v>
      </c>
      <c r="B141" s="2" t="s">
        <v>77</v>
      </c>
      <c r="F141" s="6">
        <v>0</v>
      </c>
      <c r="G141" s="2">
        <f ca="1">COUNTIF(INDIRECT(_xlfn.CONCAT("Data!$B$2:", ADDRESS(51,COUNTA(Data!$1:$1)+1,1,1))), Songs!A141) + F141</f>
        <v>1</v>
      </c>
      <c r="H141" s="8"/>
      <c r="I141" s="8"/>
      <c r="J141" s="8" cm="1">
        <f t="array" ref="J141">51 - MAX(IF(NOT(ISNA(K141:BB141)),K141:BB141))</f>
        <v>39</v>
      </c>
      <c r="K141" t="e">
        <f>_xlfn.IFNA(51-MATCH(Songs!$A141,Data!G$2:G$51,0),NA())</f>
        <v>#N/A</v>
      </c>
      <c r="L141" t="e">
        <f>_xlfn.IFNA(51-MATCH(Songs!$A141,Data!H$2:H$51,0),NA())</f>
        <v>#N/A</v>
      </c>
      <c r="M141" t="e">
        <f>_xlfn.IFNA(51-MATCH(Songs!$A141,Data!I$2:I$51,0),NA())</f>
        <v>#N/A</v>
      </c>
      <c r="N141" t="e">
        <f>_xlfn.IFNA(51-MATCH(Songs!$A141,Data!J$2:J$51,0),NA())</f>
        <v>#N/A</v>
      </c>
      <c r="O141" t="e">
        <f>_xlfn.IFNA(51-MATCH(Songs!$A141,Data!K$2:K$51,0),NA())</f>
        <v>#N/A</v>
      </c>
      <c r="P141" t="e">
        <f>_xlfn.IFNA(51-MATCH(Songs!$A141,Data!L$2:L$51,0),NA())</f>
        <v>#N/A</v>
      </c>
      <c r="Q141" t="e">
        <f>_xlfn.IFNA(51-MATCH(Songs!$A141,Data!M$2:M$51,0),NA())</f>
        <v>#N/A</v>
      </c>
      <c r="R141" t="e">
        <f>_xlfn.IFNA(51-MATCH(Songs!$A141,Data!N$2:N$51,0),NA())</f>
        <v>#N/A</v>
      </c>
      <c r="S141" t="e">
        <f>_xlfn.IFNA(51-MATCH(Songs!$A141,Data!O$2:O$51,0),NA())</f>
        <v>#N/A</v>
      </c>
      <c r="T141" t="e">
        <f>_xlfn.IFNA(51-MATCH(Songs!$A141,Data!P$2:P$51,0),NA())</f>
        <v>#N/A</v>
      </c>
      <c r="U141" t="e">
        <f>_xlfn.IFNA(51-MATCH(Songs!$A141,Data!Q$2:Q$51,0),NA())</f>
        <v>#N/A</v>
      </c>
      <c r="V141" t="e">
        <f>_xlfn.IFNA(51-MATCH(Songs!$A141,Data!R$2:R$51,0),NA())</f>
        <v>#N/A</v>
      </c>
      <c r="W141" t="e">
        <f>_xlfn.IFNA(51-MATCH(Songs!$A141,Data!S$2:S$51,0),NA())</f>
        <v>#N/A</v>
      </c>
      <c r="X141" t="e">
        <f>_xlfn.IFNA(51-MATCH(Songs!$A141,Data!T$2:T$51,0),NA())</f>
        <v>#N/A</v>
      </c>
      <c r="Y141" t="e">
        <f>_xlfn.IFNA(51-MATCH(Songs!$A141,Data!U$2:U$51,0),NA())</f>
        <v>#N/A</v>
      </c>
      <c r="Z141" t="e">
        <f>_xlfn.IFNA(51-MATCH(Songs!$A141,Data!V$2:V$51,0),NA())</f>
        <v>#N/A</v>
      </c>
      <c r="AA141" t="e">
        <f>_xlfn.IFNA(51-MATCH(Songs!$A141,Data!W$2:W$51,0),NA())</f>
        <v>#N/A</v>
      </c>
      <c r="AB141">
        <f>_xlfn.IFNA(51-MATCH(Songs!$A141,Data!X$2:X$51,0),NA())</f>
        <v>12</v>
      </c>
      <c r="AC141" t="e">
        <f>_xlfn.IFNA(51-MATCH(Songs!$A141,Data!Y$2:Y$51,0),NA())</f>
        <v>#N/A</v>
      </c>
      <c r="AD141" t="e">
        <f>_xlfn.IFNA(51-MATCH(Songs!$A141,Data!Z$2:Z$51,0),NA())</f>
        <v>#N/A</v>
      </c>
      <c r="AE141" t="e">
        <f>_xlfn.IFNA(51-MATCH(Songs!$A141,Data!AA$2:AA$51,0),NA())</f>
        <v>#N/A</v>
      </c>
      <c r="AF141" t="e">
        <f>_xlfn.IFNA(51-MATCH(Songs!$A141,Data!AB$2:AB$51,0),NA())</f>
        <v>#N/A</v>
      </c>
      <c r="AG141" t="e">
        <f>_xlfn.IFNA(51-MATCH(Songs!$A141,Data!AC$2:AC$51,0),NA())</f>
        <v>#N/A</v>
      </c>
      <c r="AH141" t="e">
        <f>_xlfn.IFNA(51-MATCH(Songs!$A141,Data!AD$2:AD$51,0),NA())</f>
        <v>#N/A</v>
      </c>
      <c r="AI141" t="e">
        <f>_xlfn.IFNA(51-MATCH(Songs!$A141,Data!AE$2:AE$51,0),NA())</f>
        <v>#N/A</v>
      </c>
    </row>
    <row r="142" spans="1:35" ht="15.75" customHeight="1" x14ac:dyDescent="0.25">
      <c r="A142" s="6" t="s">
        <v>295</v>
      </c>
      <c r="B142" s="2" t="s">
        <v>77</v>
      </c>
      <c r="F142" s="6">
        <v>0</v>
      </c>
      <c r="G142" s="2">
        <f ca="1">COUNTIF(INDIRECT(_xlfn.CONCAT("Data!$B$2:", ADDRESS(51,COUNTA(Data!$1:$1)+1,1,1))), Songs!A142) + F142</f>
        <v>1</v>
      </c>
      <c r="H142" s="8"/>
      <c r="I142" s="8"/>
      <c r="J142" s="8" cm="1">
        <f t="array" ref="J142">51 - MAX(IF(NOT(ISNA(K142:BB142)),K142:BB142))</f>
        <v>44</v>
      </c>
      <c r="K142" t="e">
        <f>_xlfn.IFNA(51-MATCH(Songs!$A142,Data!G$2:G$51,0),NA())</f>
        <v>#N/A</v>
      </c>
      <c r="L142" t="e">
        <f>_xlfn.IFNA(51-MATCH(Songs!$A142,Data!H$2:H$51,0),NA())</f>
        <v>#N/A</v>
      </c>
      <c r="M142" t="e">
        <f>_xlfn.IFNA(51-MATCH(Songs!$A142,Data!I$2:I$51,0),NA())</f>
        <v>#N/A</v>
      </c>
      <c r="N142" t="e">
        <f>_xlfn.IFNA(51-MATCH(Songs!$A142,Data!J$2:J$51,0),NA())</f>
        <v>#N/A</v>
      </c>
      <c r="O142" t="e">
        <f>_xlfn.IFNA(51-MATCH(Songs!$A142,Data!K$2:K$51,0),NA())</f>
        <v>#N/A</v>
      </c>
      <c r="P142" t="e">
        <f>_xlfn.IFNA(51-MATCH(Songs!$A142,Data!L$2:L$51,0),NA())</f>
        <v>#N/A</v>
      </c>
      <c r="Q142" t="e">
        <f>_xlfn.IFNA(51-MATCH(Songs!$A142,Data!M$2:M$51,0),NA())</f>
        <v>#N/A</v>
      </c>
      <c r="R142" t="e">
        <f>_xlfn.IFNA(51-MATCH(Songs!$A142,Data!N$2:N$51,0),NA())</f>
        <v>#N/A</v>
      </c>
      <c r="S142" t="e">
        <f>_xlfn.IFNA(51-MATCH(Songs!$A142,Data!O$2:O$51,0),NA())</f>
        <v>#N/A</v>
      </c>
      <c r="T142" t="e">
        <f>_xlfn.IFNA(51-MATCH(Songs!$A142,Data!P$2:P$51,0),NA())</f>
        <v>#N/A</v>
      </c>
      <c r="U142" t="e">
        <f>_xlfn.IFNA(51-MATCH(Songs!$A142,Data!Q$2:Q$51,0),NA())</f>
        <v>#N/A</v>
      </c>
      <c r="V142" t="e">
        <f>_xlfn.IFNA(51-MATCH(Songs!$A142,Data!R$2:R$51,0),NA())</f>
        <v>#N/A</v>
      </c>
      <c r="W142" t="e">
        <f>_xlfn.IFNA(51-MATCH(Songs!$A142,Data!S$2:S$51,0),NA())</f>
        <v>#N/A</v>
      </c>
      <c r="X142" t="e">
        <f>_xlfn.IFNA(51-MATCH(Songs!$A142,Data!T$2:T$51,0),NA())</f>
        <v>#N/A</v>
      </c>
      <c r="Y142" t="e">
        <f>_xlfn.IFNA(51-MATCH(Songs!$A142,Data!U$2:U$51,0),NA())</f>
        <v>#N/A</v>
      </c>
      <c r="Z142" t="e">
        <f>_xlfn.IFNA(51-MATCH(Songs!$A142,Data!V$2:V$51,0),NA())</f>
        <v>#N/A</v>
      </c>
      <c r="AA142" t="e">
        <f>_xlfn.IFNA(51-MATCH(Songs!$A142,Data!W$2:W$51,0),NA())</f>
        <v>#N/A</v>
      </c>
      <c r="AB142">
        <f>_xlfn.IFNA(51-MATCH(Songs!$A142,Data!X$2:X$51,0),NA())</f>
        <v>7</v>
      </c>
      <c r="AC142" t="e">
        <f>_xlfn.IFNA(51-MATCH(Songs!$A142,Data!Y$2:Y$51,0),NA())</f>
        <v>#N/A</v>
      </c>
      <c r="AD142" t="e">
        <f>_xlfn.IFNA(51-MATCH(Songs!$A142,Data!Z$2:Z$51,0),NA())</f>
        <v>#N/A</v>
      </c>
      <c r="AE142" t="e">
        <f>_xlfn.IFNA(51-MATCH(Songs!$A142,Data!AA$2:AA$51,0),NA())</f>
        <v>#N/A</v>
      </c>
      <c r="AF142" t="e">
        <f>_xlfn.IFNA(51-MATCH(Songs!$A142,Data!AB$2:AB$51,0),NA())</f>
        <v>#N/A</v>
      </c>
      <c r="AG142" t="e">
        <f>_xlfn.IFNA(51-MATCH(Songs!$A142,Data!AC$2:AC$51,0),NA())</f>
        <v>#N/A</v>
      </c>
      <c r="AH142" t="e">
        <f>_xlfn.IFNA(51-MATCH(Songs!$A142,Data!AD$2:AD$51,0),NA())</f>
        <v>#N/A</v>
      </c>
      <c r="AI142" t="e">
        <f>_xlfn.IFNA(51-MATCH(Songs!$A142,Data!AE$2:AE$51,0),NA())</f>
        <v>#N/A</v>
      </c>
    </row>
    <row r="143" spans="1:35" ht="15.75" customHeight="1" x14ac:dyDescent="0.25">
      <c r="A143" s="6" t="s">
        <v>297</v>
      </c>
      <c r="B143" s="2" t="s">
        <v>222</v>
      </c>
      <c r="D143" t="s">
        <v>168</v>
      </c>
      <c r="F143" s="6">
        <v>0</v>
      </c>
      <c r="G143" s="2">
        <f ca="1">COUNTIF(INDIRECT(_xlfn.CONCAT("Data!$B$2:", ADDRESS(51,COUNTA(Data!$1:$1)+1,1,1))), Songs!A143) + F143</f>
        <v>7</v>
      </c>
      <c r="H143" s="8"/>
      <c r="I143" s="8"/>
      <c r="J143" s="8" cm="1">
        <f t="array" ref="J143">51 - MAX(IF(NOT(ISNA(K143:BB143)),K143:BB143))</f>
        <v>3</v>
      </c>
      <c r="K143" t="e">
        <f>_xlfn.IFNA(51-MATCH(Songs!$A143,Data!G$2:G$51,0),NA())</f>
        <v>#N/A</v>
      </c>
      <c r="L143" t="e">
        <f>_xlfn.IFNA(51-MATCH(Songs!$A143,Data!H$2:H$51,0),NA())</f>
        <v>#N/A</v>
      </c>
      <c r="M143" t="e">
        <f>_xlfn.IFNA(51-MATCH(Songs!$A143,Data!I$2:I$51,0),NA())</f>
        <v>#N/A</v>
      </c>
      <c r="N143" t="e">
        <f>_xlfn.IFNA(51-MATCH(Songs!$A143,Data!J$2:J$51,0),NA())</f>
        <v>#N/A</v>
      </c>
      <c r="O143" t="e">
        <f>_xlfn.IFNA(51-MATCH(Songs!$A143,Data!K$2:K$51,0),NA())</f>
        <v>#N/A</v>
      </c>
      <c r="P143" t="e">
        <f>_xlfn.IFNA(51-MATCH(Songs!$A143,Data!L$2:L$51,0),NA())</f>
        <v>#N/A</v>
      </c>
      <c r="Q143" t="e">
        <f>_xlfn.IFNA(51-MATCH(Songs!$A143,Data!M$2:M$51,0),NA())</f>
        <v>#N/A</v>
      </c>
      <c r="R143" t="e">
        <f>_xlfn.IFNA(51-MATCH(Songs!$A143,Data!N$2:N$51,0),NA())</f>
        <v>#N/A</v>
      </c>
      <c r="S143" t="e">
        <f>_xlfn.IFNA(51-MATCH(Songs!$A143,Data!O$2:O$51,0),NA())</f>
        <v>#N/A</v>
      </c>
      <c r="T143" t="e">
        <f>_xlfn.IFNA(51-MATCH(Songs!$A143,Data!P$2:P$51,0),NA())</f>
        <v>#N/A</v>
      </c>
      <c r="U143" t="e">
        <f>_xlfn.IFNA(51-MATCH(Songs!$A143,Data!Q$2:Q$51,0),NA())</f>
        <v>#N/A</v>
      </c>
      <c r="V143" t="e">
        <f>_xlfn.IFNA(51-MATCH(Songs!$A143,Data!R$2:R$51,0),NA())</f>
        <v>#N/A</v>
      </c>
      <c r="W143" t="e">
        <f>_xlfn.IFNA(51-MATCH(Songs!$A143,Data!S$2:S$51,0),NA())</f>
        <v>#N/A</v>
      </c>
      <c r="X143" t="e">
        <f>_xlfn.IFNA(51-MATCH(Songs!$A143,Data!T$2:T$51,0),NA())</f>
        <v>#N/A</v>
      </c>
      <c r="Y143" t="e">
        <f>_xlfn.IFNA(51-MATCH(Songs!$A143,Data!U$2:U$51,0),NA())</f>
        <v>#N/A</v>
      </c>
      <c r="Z143" t="e">
        <f>_xlfn.IFNA(51-MATCH(Songs!$A143,Data!V$2:V$51,0),NA())</f>
        <v>#N/A</v>
      </c>
      <c r="AA143" t="e">
        <f>_xlfn.IFNA(51-MATCH(Songs!$A143,Data!W$2:W$51,0),NA())</f>
        <v>#N/A</v>
      </c>
      <c r="AB143" t="e">
        <f>_xlfn.IFNA(51-MATCH(Songs!$A143,Data!X$2:X$51,0),NA())</f>
        <v>#N/A</v>
      </c>
      <c r="AC143">
        <f>_xlfn.IFNA(51-MATCH(Songs!$A143,Data!Y$2:Y$51,0),NA())</f>
        <v>48</v>
      </c>
      <c r="AD143">
        <f>_xlfn.IFNA(51-MATCH(Songs!$A143,Data!Z$2:Z$51,0),NA())</f>
        <v>46</v>
      </c>
      <c r="AE143">
        <f>_xlfn.IFNA(51-MATCH(Songs!$A143,Data!AA$2:AA$51,0),NA())</f>
        <v>40</v>
      </c>
      <c r="AF143">
        <f>_xlfn.IFNA(51-MATCH(Songs!$A143,Data!AB$2:AB$51,0),NA())</f>
        <v>39</v>
      </c>
      <c r="AG143">
        <f>_xlfn.IFNA(51-MATCH(Songs!$A143,Data!AC$2:AC$51,0),NA())</f>
        <v>39</v>
      </c>
      <c r="AH143">
        <f>_xlfn.IFNA(51-MATCH(Songs!$A143,Data!AD$2:AD$51,0),NA())</f>
        <v>39</v>
      </c>
      <c r="AI143">
        <f>_xlfn.IFNA(51-MATCH(Songs!$A143,Data!AE$2:AE$51,0),NA())</f>
        <v>40</v>
      </c>
    </row>
    <row r="144" spans="1:35" ht="15.75" customHeight="1" x14ac:dyDescent="0.25">
      <c r="A144" s="6" t="s">
        <v>298</v>
      </c>
      <c r="B144" s="2" t="s">
        <v>167</v>
      </c>
      <c r="D144" t="s">
        <v>86</v>
      </c>
      <c r="F144" s="6">
        <v>0</v>
      </c>
      <c r="G144" s="2">
        <f ca="1">COUNTIF(INDIRECT(_xlfn.CONCAT("Data!$B$2:", ADDRESS(51,COUNTA(Data!$1:$1)+1,1,1))), Songs!A144) + F144</f>
        <v>7</v>
      </c>
      <c r="H144" s="8"/>
      <c r="I144" s="8"/>
      <c r="J144" s="8" cm="1">
        <f t="array" ref="J144">51 - MAX(IF(NOT(ISNA(K144:BB144)),K144:BB144))</f>
        <v>13</v>
      </c>
      <c r="K144" t="e">
        <f>_xlfn.IFNA(51-MATCH(Songs!$A144,Data!G$2:G$51,0),NA())</f>
        <v>#N/A</v>
      </c>
      <c r="L144" t="e">
        <f>_xlfn.IFNA(51-MATCH(Songs!$A144,Data!H$2:H$51,0),NA())</f>
        <v>#N/A</v>
      </c>
      <c r="M144" t="e">
        <f>_xlfn.IFNA(51-MATCH(Songs!$A144,Data!I$2:I$51,0),NA())</f>
        <v>#N/A</v>
      </c>
      <c r="N144" t="e">
        <f>_xlfn.IFNA(51-MATCH(Songs!$A144,Data!J$2:J$51,0),NA())</f>
        <v>#N/A</v>
      </c>
      <c r="O144" t="e">
        <f>_xlfn.IFNA(51-MATCH(Songs!$A144,Data!K$2:K$51,0),NA())</f>
        <v>#N/A</v>
      </c>
      <c r="P144" t="e">
        <f>_xlfn.IFNA(51-MATCH(Songs!$A144,Data!L$2:L$51,0),NA())</f>
        <v>#N/A</v>
      </c>
      <c r="Q144" t="e">
        <f>_xlfn.IFNA(51-MATCH(Songs!$A144,Data!M$2:M$51,0),NA())</f>
        <v>#N/A</v>
      </c>
      <c r="R144" t="e">
        <f>_xlfn.IFNA(51-MATCH(Songs!$A144,Data!N$2:N$51,0),NA())</f>
        <v>#N/A</v>
      </c>
      <c r="S144" t="e">
        <f>_xlfn.IFNA(51-MATCH(Songs!$A144,Data!O$2:O$51,0),NA())</f>
        <v>#N/A</v>
      </c>
      <c r="T144" t="e">
        <f>_xlfn.IFNA(51-MATCH(Songs!$A144,Data!P$2:P$51,0),NA())</f>
        <v>#N/A</v>
      </c>
      <c r="U144" t="e">
        <f>_xlfn.IFNA(51-MATCH(Songs!$A144,Data!Q$2:Q$51,0),NA())</f>
        <v>#N/A</v>
      </c>
      <c r="V144" t="e">
        <f>_xlfn.IFNA(51-MATCH(Songs!$A144,Data!R$2:R$51,0),NA())</f>
        <v>#N/A</v>
      </c>
      <c r="W144" t="e">
        <f>_xlfn.IFNA(51-MATCH(Songs!$A144,Data!S$2:S$51,0),NA())</f>
        <v>#N/A</v>
      </c>
      <c r="X144" t="e">
        <f>_xlfn.IFNA(51-MATCH(Songs!$A144,Data!T$2:T$51,0),NA())</f>
        <v>#N/A</v>
      </c>
      <c r="Y144" t="e">
        <f>_xlfn.IFNA(51-MATCH(Songs!$A144,Data!U$2:U$51,0),NA())</f>
        <v>#N/A</v>
      </c>
      <c r="Z144" t="e">
        <f>_xlfn.IFNA(51-MATCH(Songs!$A144,Data!V$2:V$51,0),NA())</f>
        <v>#N/A</v>
      </c>
      <c r="AA144" t="e">
        <f>_xlfn.IFNA(51-MATCH(Songs!$A144,Data!W$2:W$51,0),NA())</f>
        <v>#N/A</v>
      </c>
      <c r="AB144" t="e">
        <f>_xlfn.IFNA(51-MATCH(Songs!$A144,Data!X$2:X$51,0),NA())</f>
        <v>#N/A</v>
      </c>
      <c r="AC144">
        <f>_xlfn.IFNA(51-MATCH(Songs!$A144,Data!Y$2:Y$51,0),NA())</f>
        <v>36</v>
      </c>
      <c r="AD144">
        <f>_xlfn.IFNA(51-MATCH(Songs!$A144,Data!Z$2:Z$51,0),NA())</f>
        <v>38</v>
      </c>
      <c r="AE144">
        <f>_xlfn.IFNA(51-MATCH(Songs!$A144,Data!AA$2:AA$51,0),NA())</f>
        <v>35</v>
      </c>
      <c r="AF144">
        <f>_xlfn.IFNA(51-MATCH(Songs!$A144,Data!AB$2:AB$51,0),NA())</f>
        <v>36</v>
      </c>
      <c r="AG144">
        <f>_xlfn.IFNA(51-MATCH(Songs!$A144,Data!AC$2:AC$51,0),NA())</f>
        <v>35</v>
      </c>
      <c r="AH144">
        <f>_xlfn.IFNA(51-MATCH(Songs!$A144,Data!AD$2:AD$51,0),NA())</f>
        <v>33</v>
      </c>
      <c r="AI144">
        <f>_xlfn.IFNA(51-MATCH(Songs!$A144,Data!AE$2:AE$51,0),NA())</f>
        <v>36</v>
      </c>
    </row>
    <row r="145" spans="1:35" ht="15.75" customHeight="1" x14ac:dyDescent="0.25">
      <c r="A145" s="6" t="s">
        <v>299</v>
      </c>
      <c r="B145" s="2" t="s">
        <v>234</v>
      </c>
      <c r="D145" s="8" t="s">
        <v>342</v>
      </c>
      <c r="F145" s="6">
        <v>0</v>
      </c>
      <c r="G145" s="2">
        <f ca="1">COUNTIF(INDIRECT(_xlfn.CONCAT("Data!$B$2:", ADDRESS(51,COUNTA(Data!$1:$1)+1,1,1))), Songs!A145) + F145</f>
        <v>2</v>
      </c>
      <c r="H145" s="8"/>
      <c r="I145" s="8"/>
      <c r="J145" s="8" cm="1">
        <f t="array" ref="J145">51 - MAX(IF(NOT(ISNA(K145:BB145)),K145:BB145))</f>
        <v>47</v>
      </c>
      <c r="K145" t="e">
        <f>_xlfn.IFNA(51-MATCH(Songs!$A145,Data!G$2:G$51,0),NA())</f>
        <v>#N/A</v>
      </c>
      <c r="L145" t="e">
        <f>_xlfn.IFNA(51-MATCH(Songs!$A145,Data!H$2:H$51,0),NA())</f>
        <v>#N/A</v>
      </c>
      <c r="M145" t="e">
        <f>_xlfn.IFNA(51-MATCH(Songs!$A145,Data!I$2:I$51,0),NA())</f>
        <v>#N/A</v>
      </c>
      <c r="N145" t="e">
        <f>_xlfn.IFNA(51-MATCH(Songs!$A145,Data!J$2:J$51,0),NA())</f>
        <v>#N/A</v>
      </c>
      <c r="O145" t="e">
        <f>_xlfn.IFNA(51-MATCH(Songs!$A145,Data!K$2:K$51,0),NA())</f>
        <v>#N/A</v>
      </c>
      <c r="P145" t="e">
        <f>_xlfn.IFNA(51-MATCH(Songs!$A145,Data!L$2:L$51,0),NA())</f>
        <v>#N/A</v>
      </c>
      <c r="Q145" t="e">
        <f>_xlfn.IFNA(51-MATCH(Songs!$A145,Data!M$2:M$51,0),NA())</f>
        <v>#N/A</v>
      </c>
      <c r="R145" t="e">
        <f>_xlfn.IFNA(51-MATCH(Songs!$A145,Data!N$2:N$51,0),NA())</f>
        <v>#N/A</v>
      </c>
      <c r="S145" t="e">
        <f>_xlfn.IFNA(51-MATCH(Songs!$A145,Data!O$2:O$51,0),NA())</f>
        <v>#N/A</v>
      </c>
      <c r="T145" t="e">
        <f>_xlfn.IFNA(51-MATCH(Songs!$A145,Data!P$2:P$51,0),NA())</f>
        <v>#N/A</v>
      </c>
      <c r="U145" t="e">
        <f>_xlfn.IFNA(51-MATCH(Songs!$A145,Data!Q$2:Q$51,0),NA())</f>
        <v>#N/A</v>
      </c>
      <c r="V145" t="e">
        <f>_xlfn.IFNA(51-MATCH(Songs!$A145,Data!R$2:R$51,0),NA())</f>
        <v>#N/A</v>
      </c>
      <c r="W145" t="e">
        <f>_xlfn.IFNA(51-MATCH(Songs!$A145,Data!S$2:S$51,0),NA())</f>
        <v>#N/A</v>
      </c>
      <c r="X145" t="e">
        <f>_xlfn.IFNA(51-MATCH(Songs!$A145,Data!T$2:T$51,0),NA())</f>
        <v>#N/A</v>
      </c>
      <c r="Y145" t="e">
        <f>_xlfn.IFNA(51-MATCH(Songs!$A145,Data!U$2:U$51,0),NA())</f>
        <v>#N/A</v>
      </c>
      <c r="Z145" t="e">
        <f>_xlfn.IFNA(51-MATCH(Songs!$A145,Data!V$2:V$51,0),NA())</f>
        <v>#N/A</v>
      </c>
      <c r="AA145" t="e">
        <f>_xlfn.IFNA(51-MATCH(Songs!$A145,Data!W$2:W$51,0),NA())</f>
        <v>#N/A</v>
      </c>
      <c r="AB145" t="e">
        <f>_xlfn.IFNA(51-MATCH(Songs!$A145,Data!X$2:X$51,0),NA())</f>
        <v>#N/A</v>
      </c>
      <c r="AC145">
        <f>_xlfn.IFNA(51-MATCH(Songs!$A145,Data!Y$2:Y$51,0),NA())</f>
        <v>1</v>
      </c>
      <c r="AD145" t="e">
        <f>_xlfn.IFNA(51-MATCH(Songs!$A145,Data!Z$2:Z$51,0),NA())</f>
        <v>#N/A</v>
      </c>
      <c r="AE145" t="e">
        <f>_xlfn.IFNA(51-MATCH(Songs!$A145,Data!AA$2:AA$51,0),NA())</f>
        <v>#N/A</v>
      </c>
      <c r="AF145" t="e">
        <f>_xlfn.IFNA(51-MATCH(Songs!$A145,Data!AB$2:AB$51,0),NA())</f>
        <v>#N/A</v>
      </c>
      <c r="AG145" t="e">
        <f>_xlfn.IFNA(51-MATCH(Songs!$A145,Data!AC$2:AC$51,0),NA())</f>
        <v>#N/A</v>
      </c>
      <c r="AH145" t="e">
        <f>_xlfn.IFNA(51-MATCH(Songs!$A145,Data!AD$2:AD$51,0),NA())</f>
        <v>#N/A</v>
      </c>
      <c r="AI145">
        <f>_xlfn.IFNA(51-MATCH(Songs!$A145,Data!AE$2:AE$51,0),NA())</f>
        <v>4</v>
      </c>
    </row>
    <row r="146" spans="1:35" ht="15.75" customHeight="1" x14ac:dyDescent="0.25">
      <c r="A146" s="6" t="s">
        <v>300</v>
      </c>
      <c r="B146" s="2" t="s">
        <v>307</v>
      </c>
      <c r="C146" t="s">
        <v>308</v>
      </c>
      <c r="F146" s="6">
        <v>0</v>
      </c>
      <c r="G146" s="2">
        <f ca="1">COUNTIF(INDIRECT(_xlfn.CONCAT("Data!$B$2:", ADDRESS(51,COUNTA(Data!$1:$1)+1,1,1))), Songs!A146) + F146</f>
        <v>6</v>
      </c>
      <c r="H146" s="8"/>
      <c r="I146" s="8"/>
      <c r="J146" s="8" cm="1">
        <f t="array" ref="J146">51 - MAX(IF(NOT(ISNA(K146:BB146)),K146:BB146))</f>
        <v>16</v>
      </c>
      <c r="K146" t="e">
        <f>_xlfn.IFNA(51-MATCH(Songs!$A146,Data!G$2:G$51,0),NA())</f>
        <v>#N/A</v>
      </c>
      <c r="L146" t="e">
        <f>_xlfn.IFNA(51-MATCH(Songs!$A146,Data!H$2:H$51,0),NA())</f>
        <v>#N/A</v>
      </c>
      <c r="M146" t="e">
        <f>_xlfn.IFNA(51-MATCH(Songs!$A146,Data!I$2:I$51,0),NA())</f>
        <v>#N/A</v>
      </c>
      <c r="N146" t="e">
        <f>_xlfn.IFNA(51-MATCH(Songs!$A146,Data!J$2:J$51,0),NA())</f>
        <v>#N/A</v>
      </c>
      <c r="O146" t="e">
        <f>_xlfn.IFNA(51-MATCH(Songs!$A146,Data!K$2:K$51,0),NA())</f>
        <v>#N/A</v>
      </c>
      <c r="P146" t="e">
        <f>_xlfn.IFNA(51-MATCH(Songs!$A146,Data!L$2:L$51,0),NA())</f>
        <v>#N/A</v>
      </c>
      <c r="Q146" t="e">
        <f>_xlfn.IFNA(51-MATCH(Songs!$A146,Data!M$2:M$51,0),NA())</f>
        <v>#N/A</v>
      </c>
      <c r="R146" t="e">
        <f>_xlfn.IFNA(51-MATCH(Songs!$A146,Data!N$2:N$51,0),NA())</f>
        <v>#N/A</v>
      </c>
      <c r="S146" t="e">
        <f>_xlfn.IFNA(51-MATCH(Songs!$A146,Data!O$2:O$51,0),NA())</f>
        <v>#N/A</v>
      </c>
      <c r="T146" t="e">
        <f>_xlfn.IFNA(51-MATCH(Songs!$A146,Data!P$2:P$51,0),NA())</f>
        <v>#N/A</v>
      </c>
      <c r="U146" t="e">
        <f>_xlfn.IFNA(51-MATCH(Songs!$A146,Data!Q$2:Q$51,0),NA())</f>
        <v>#N/A</v>
      </c>
      <c r="V146" t="e">
        <f>_xlfn.IFNA(51-MATCH(Songs!$A146,Data!R$2:R$51,0),NA())</f>
        <v>#N/A</v>
      </c>
      <c r="W146" t="e">
        <f>_xlfn.IFNA(51-MATCH(Songs!$A146,Data!S$2:S$51,0),NA())</f>
        <v>#N/A</v>
      </c>
      <c r="X146" t="e">
        <f>_xlfn.IFNA(51-MATCH(Songs!$A146,Data!T$2:T$51,0),NA())</f>
        <v>#N/A</v>
      </c>
      <c r="Y146" t="e">
        <f>_xlfn.IFNA(51-MATCH(Songs!$A146,Data!U$2:U$51,0),NA())</f>
        <v>#N/A</v>
      </c>
      <c r="Z146" t="e">
        <f>_xlfn.IFNA(51-MATCH(Songs!$A146,Data!V$2:V$51,0),NA())</f>
        <v>#N/A</v>
      </c>
      <c r="AA146" t="e">
        <f>_xlfn.IFNA(51-MATCH(Songs!$A146,Data!W$2:W$51,0),NA())</f>
        <v>#N/A</v>
      </c>
      <c r="AB146" t="e">
        <f>_xlfn.IFNA(51-MATCH(Songs!$A146,Data!X$2:X$51,0),NA())</f>
        <v>#N/A</v>
      </c>
      <c r="AC146" t="e">
        <f>_xlfn.IFNA(51-MATCH(Songs!$A146,Data!Y$2:Y$51,0),NA())</f>
        <v>#N/A</v>
      </c>
      <c r="AD146">
        <f>_xlfn.IFNA(51-MATCH(Songs!$A146,Data!Z$2:Z$51,0),NA())</f>
        <v>35</v>
      </c>
      <c r="AE146">
        <f>_xlfn.IFNA(51-MATCH(Songs!$A146,Data!AA$2:AA$51,0),NA())</f>
        <v>19</v>
      </c>
      <c r="AF146">
        <f>_xlfn.IFNA(51-MATCH(Songs!$A146,Data!AB$2:AB$51,0),NA())</f>
        <v>20</v>
      </c>
      <c r="AG146">
        <f>_xlfn.IFNA(51-MATCH(Songs!$A146,Data!AC$2:AC$51,0),NA())</f>
        <v>27</v>
      </c>
      <c r="AH146">
        <f>_xlfn.IFNA(51-MATCH(Songs!$A146,Data!AD$2:AD$51,0),NA())</f>
        <v>15</v>
      </c>
      <c r="AI146">
        <f>_xlfn.IFNA(51-MATCH(Songs!$A146,Data!AE$2:AE$51,0),NA())</f>
        <v>13</v>
      </c>
    </row>
    <row r="147" spans="1:35" ht="15.75" customHeight="1" x14ac:dyDescent="0.25">
      <c r="A147" s="6" t="s">
        <v>301</v>
      </c>
      <c r="B147" s="2" t="s">
        <v>142</v>
      </c>
      <c r="F147" s="6">
        <v>0</v>
      </c>
      <c r="G147" s="2">
        <f ca="1">COUNTIF(INDIRECT(_xlfn.CONCAT("Data!$B$2:", ADDRESS(51,COUNTA(Data!$1:$1)+1,1,1))), Songs!A147) + F147</f>
        <v>5</v>
      </c>
      <c r="H147" s="8"/>
      <c r="I147" s="8"/>
      <c r="J147" s="8" cm="1">
        <f t="array" ref="J147">51 - MAX(IF(NOT(ISNA(K147:BB147)),K147:BB147))</f>
        <v>27</v>
      </c>
      <c r="K147" t="e">
        <f>_xlfn.IFNA(51-MATCH(Songs!$A147,Data!G$2:G$51,0),NA())</f>
        <v>#N/A</v>
      </c>
      <c r="L147" t="e">
        <f>_xlfn.IFNA(51-MATCH(Songs!$A147,Data!H$2:H$51,0),NA())</f>
        <v>#N/A</v>
      </c>
      <c r="M147" t="e">
        <f>_xlfn.IFNA(51-MATCH(Songs!$A147,Data!I$2:I$51,0),NA())</f>
        <v>#N/A</v>
      </c>
      <c r="N147" t="e">
        <f>_xlfn.IFNA(51-MATCH(Songs!$A147,Data!J$2:J$51,0),NA())</f>
        <v>#N/A</v>
      </c>
      <c r="O147" t="e">
        <f>_xlfn.IFNA(51-MATCH(Songs!$A147,Data!K$2:K$51,0),NA())</f>
        <v>#N/A</v>
      </c>
      <c r="P147" t="e">
        <f>_xlfn.IFNA(51-MATCH(Songs!$A147,Data!L$2:L$51,0),NA())</f>
        <v>#N/A</v>
      </c>
      <c r="Q147" t="e">
        <f>_xlfn.IFNA(51-MATCH(Songs!$A147,Data!M$2:M$51,0),NA())</f>
        <v>#N/A</v>
      </c>
      <c r="R147" t="e">
        <f>_xlfn.IFNA(51-MATCH(Songs!$A147,Data!N$2:N$51,0),NA())</f>
        <v>#N/A</v>
      </c>
      <c r="S147" t="e">
        <f>_xlfn.IFNA(51-MATCH(Songs!$A147,Data!O$2:O$51,0),NA())</f>
        <v>#N/A</v>
      </c>
      <c r="T147" t="e">
        <f>_xlfn.IFNA(51-MATCH(Songs!$A147,Data!P$2:P$51,0),NA())</f>
        <v>#N/A</v>
      </c>
      <c r="U147" t="e">
        <f>_xlfn.IFNA(51-MATCH(Songs!$A147,Data!Q$2:Q$51,0),NA())</f>
        <v>#N/A</v>
      </c>
      <c r="V147" t="e">
        <f>_xlfn.IFNA(51-MATCH(Songs!$A147,Data!R$2:R$51,0),NA())</f>
        <v>#N/A</v>
      </c>
      <c r="W147" t="e">
        <f>_xlfn.IFNA(51-MATCH(Songs!$A147,Data!S$2:S$51,0),NA())</f>
        <v>#N/A</v>
      </c>
      <c r="X147" t="e">
        <f>_xlfn.IFNA(51-MATCH(Songs!$A147,Data!T$2:T$51,0),NA())</f>
        <v>#N/A</v>
      </c>
      <c r="Y147" t="e">
        <f>_xlfn.IFNA(51-MATCH(Songs!$A147,Data!U$2:U$51,0),NA())</f>
        <v>#N/A</v>
      </c>
      <c r="Z147" t="e">
        <f>_xlfn.IFNA(51-MATCH(Songs!$A147,Data!V$2:V$51,0),NA())</f>
        <v>#N/A</v>
      </c>
      <c r="AA147" t="e">
        <f>_xlfn.IFNA(51-MATCH(Songs!$A147,Data!W$2:W$51,0),NA())</f>
        <v>#N/A</v>
      </c>
      <c r="AB147" t="e">
        <f>_xlfn.IFNA(51-MATCH(Songs!$A147,Data!X$2:X$51,0),NA())</f>
        <v>#N/A</v>
      </c>
      <c r="AC147" t="e">
        <f>_xlfn.IFNA(51-MATCH(Songs!$A147,Data!Y$2:Y$51,0),NA())</f>
        <v>#N/A</v>
      </c>
      <c r="AD147">
        <f>_xlfn.IFNA(51-MATCH(Songs!$A147,Data!Z$2:Z$51,0),NA())</f>
        <v>24</v>
      </c>
      <c r="AE147">
        <f>_xlfn.IFNA(51-MATCH(Songs!$A147,Data!AA$2:AA$51,0),NA())</f>
        <v>5</v>
      </c>
      <c r="AF147">
        <f>_xlfn.IFNA(51-MATCH(Songs!$A147,Data!AB$2:AB$51,0),NA())</f>
        <v>15</v>
      </c>
      <c r="AG147">
        <f>_xlfn.IFNA(51-MATCH(Songs!$A147,Data!AC$2:AC$51,0),NA())</f>
        <v>15</v>
      </c>
      <c r="AH147">
        <f>_xlfn.IFNA(51-MATCH(Songs!$A147,Data!AD$2:AD$51,0),NA())</f>
        <v>1</v>
      </c>
      <c r="AI147" t="e">
        <f>_xlfn.IFNA(51-MATCH(Songs!$A147,Data!AE$2:AE$51,0),NA())</f>
        <v>#N/A</v>
      </c>
    </row>
    <row r="148" spans="1:35" ht="15.75" customHeight="1" x14ac:dyDescent="0.25">
      <c r="A148" s="6" t="s">
        <v>302</v>
      </c>
      <c r="B148" s="2" t="s">
        <v>309</v>
      </c>
      <c r="F148" s="6">
        <v>0</v>
      </c>
      <c r="G148" s="2">
        <f ca="1">COUNTIF(INDIRECT(_xlfn.CONCAT("Data!$B$2:", ADDRESS(51,COUNTA(Data!$1:$1)+1,1,1))), Songs!A148) + F148</f>
        <v>1</v>
      </c>
      <c r="H148" s="8"/>
      <c r="I148" s="8"/>
      <c r="J148" s="8" cm="1">
        <f t="array" ref="J148">51 - MAX(IF(NOT(ISNA(K148:BB148)),K148:BB148))</f>
        <v>44</v>
      </c>
      <c r="K148" t="e">
        <f>_xlfn.IFNA(51-MATCH(Songs!$A148,Data!G$2:G$51,0),NA())</f>
        <v>#N/A</v>
      </c>
      <c r="L148" t="e">
        <f>_xlfn.IFNA(51-MATCH(Songs!$A148,Data!H$2:H$51,0),NA())</f>
        <v>#N/A</v>
      </c>
      <c r="M148" t="e">
        <f>_xlfn.IFNA(51-MATCH(Songs!$A148,Data!I$2:I$51,0),NA())</f>
        <v>#N/A</v>
      </c>
      <c r="N148" t="e">
        <f>_xlfn.IFNA(51-MATCH(Songs!$A148,Data!J$2:J$51,0),NA())</f>
        <v>#N/A</v>
      </c>
      <c r="O148" t="e">
        <f>_xlfn.IFNA(51-MATCH(Songs!$A148,Data!K$2:K$51,0),NA())</f>
        <v>#N/A</v>
      </c>
      <c r="P148" t="e">
        <f>_xlfn.IFNA(51-MATCH(Songs!$A148,Data!L$2:L$51,0),NA())</f>
        <v>#N/A</v>
      </c>
      <c r="Q148" t="e">
        <f>_xlfn.IFNA(51-MATCH(Songs!$A148,Data!M$2:M$51,0),NA())</f>
        <v>#N/A</v>
      </c>
      <c r="R148" t="e">
        <f>_xlfn.IFNA(51-MATCH(Songs!$A148,Data!N$2:N$51,0),NA())</f>
        <v>#N/A</v>
      </c>
      <c r="S148" t="e">
        <f>_xlfn.IFNA(51-MATCH(Songs!$A148,Data!O$2:O$51,0),NA())</f>
        <v>#N/A</v>
      </c>
      <c r="T148" t="e">
        <f>_xlfn.IFNA(51-MATCH(Songs!$A148,Data!P$2:P$51,0),NA())</f>
        <v>#N/A</v>
      </c>
      <c r="U148" t="e">
        <f>_xlfn.IFNA(51-MATCH(Songs!$A148,Data!Q$2:Q$51,0),NA())</f>
        <v>#N/A</v>
      </c>
      <c r="V148" t="e">
        <f>_xlfn.IFNA(51-MATCH(Songs!$A148,Data!R$2:R$51,0),NA())</f>
        <v>#N/A</v>
      </c>
      <c r="W148" t="e">
        <f>_xlfn.IFNA(51-MATCH(Songs!$A148,Data!S$2:S$51,0),NA())</f>
        <v>#N/A</v>
      </c>
      <c r="X148" t="e">
        <f>_xlfn.IFNA(51-MATCH(Songs!$A148,Data!T$2:T$51,0),NA())</f>
        <v>#N/A</v>
      </c>
      <c r="Y148" t="e">
        <f>_xlfn.IFNA(51-MATCH(Songs!$A148,Data!U$2:U$51,0),NA())</f>
        <v>#N/A</v>
      </c>
      <c r="Z148" t="e">
        <f>_xlfn.IFNA(51-MATCH(Songs!$A148,Data!V$2:V$51,0),NA())</f>
        <v>#N/A</v>
      </c>
      <c r="AA148" t="e">
        <f>_xlfn.IFNA(51-MATCH(Songs!$A148,Data!W$2:W$51,0),NA())</f>
        <v>#N/A</v>
      </c>
      <c r="AB148" t="e">
        <f>_xlfn.IFNA(51-MATCH(Songs!$A148,Data!X$2:X$51,0),NA())</f>
        <v>#N/A</v>
      </c>
      <c r="AC148" t="e">
        <f>_xlfn.IFNA(51-MATCH(Songs!$A148,Data!Y$2:Y$51,0),NA())</f>
        <v>#N/A</v>
      </c>
      <c r="AD148">
        <f>_xlfn.IFNA(51-MATCH(Songs!$A148,Data!Z$2:Z$51,0),NA())</f>
        <v>7</v>
      </c>
      <c r="AE148" t="e">
        <f>_xlfn.IFNA(51-MATCH(Songs!$A148,Data!AA$2:AA$51,0),NA())</f>
        <v>#N/A</v>
      </c>
      <c r="AF148" t="e">
        <f>_xlfn.IFNA(51-MATCH(Songs!$A148,Data!AB$2:AB$51,0),NA())</f>
        <v>#N/A</v>
      </c>
      <c r="AG148" t="e">
        <f>_xlfn.IFNA(51-MATCH(Songs!$A148,Data!AC$2:AC$51,0),NA())</f>
        <v>#N/A</v>
      </c>
      <c r="AH148" t="e">
        <f>_xlfn.IFNA(51-MATCH(Songs!$A148,Data!AD$2:AD$51,0),NA())</f>
        <v>#N/A</v>
      </c>
      <c r="AI148" t="e">
        <f>_xlfn.IFNA(51-MATCH(Songs!$A148,Data!AE$2:AE$51,0),NA())</f>
        <v>#N/A</v>
      </c>
    </row>
    <row r="149" spans="1:35" ht="15.75" customHeight="1" x14ac:dyDescent="0.25">
      <c r="A149" s="6" t="s">
        <v>303</v>
      </c>
      <c r="B149" s="2" t="s">
        <v>74</v>
      </c>
      <c r="F149" s="6">
        <v>0</v>
      </c>
      <c r="G149" s="2">
        <f ca="1">COUNTIF(INDIRECT(_xlfn.CONCAT("Data!$B$2:", ADDRESS(51,COUNTA(Data!$1:$1)+1,1,1))), Songs!A149) + F149</f>
        <v>6</v>
      </c>
      <c r="H149" s="8"/>
      <c r="I149" s="8"/>
      <c r="J149" s="8" cm="1">
        <f t="array" ref="J149">51 - MAX(IF(NOT(ISNA(K149:BB149)),K149:BB149))</f>
        <v>8</v>
      </c>
      <c r="K149" t="e">
        <f>_xlfn.IFNA(51-MATCH(Songs!$A149,Data!G$2:G$51,0),NA())</f>
        <v>#N/A</v>
      </c>
      <c r="L149" t="e">
        <f>_xlfn.IFNA(51-MATCH(Songs!$A149,Data!H$2:H$51,0),NA())</f>
        <v>#N/A</v>
      </c>
      <c r="M149" t="e">
        <f>_xlfn.IFNA(51-MATCH(Songs!$A149,Data!I$2:I$51,0),NA())</f>
        <v>#N/A</v>
      </c>
      <c r="N149" t="e">
        <f>_xlfn.IFNA(51-MATCH(Songs!$A149,Data!J$2:J$51,0),NA())</f>
        <v>#N/A</v>
      </c>
      <c r="O149" t="e">
        <f>_xlfn.IFNA(51-MATCH(Songs!$A149,Data!K$2:K$51,0),NA())</f>
        <v>#N/A</v>
      </c>
      <c r="P149" t="e">
        <f>_xlfn.IFNA(51-MATCH(Songs!$A149,Data!L$2:L$51,0),NA())</f>
        <v>#N/A</v>
      </c>
      <c r="Q149" t="e">
        <f>_xlfn.IFNA(51-MATCH(Songs!$A149,Data!M$2:M$51,0),NA())</f>
        <v>#N/A</v>
      </c>
      <c r="R149" t="e">
        <f>_xlfn.IFNA(51-MATCH(Songs!$A149,Data!N$2:N$51,0),NA())</f>
        <v>#N/A</v>
      </c>
      <c r="S149" t="e">
        <f>_xlfn.IFNA(51-MATCH(Songs!$A149,Data!O$2:O$51,0),NA())</f>
        <v>#N/A</v>
      </c>
      <c r="T149" t="e">
        <f>_xlfn.IFNA(51-MATCH(Songs!$A149,Data!P$2:P$51,0),NA())</f>
        <v>#N/A</v>
      </c>
      <c r="U149" t="e">
        <f>_xlfn.IFNA(51-MATCH(Songs!$A149,Data!Q$2:Q$51,0),NA())</f>
        <v>#N/A</v>
      </c>
      <c r="V149" t="e">
        <f>_xlfn.IFNA(51-MATCH(Songs!$A149,Data!R$2:R$51,0),NA())</f>
        <v>#N/A</v>
      </c>
      <c r="W149" t="e">
        <f>_xlfn.IFNA(51-MATCH(Songs!$A149,Data!S$2:S$51,0),NA())</f>
        <v>#N/A</v>
      </c>
      <c r="X149" t="e">
        <f>_xlfn.IFNA(51-MATCH(Songs!$A149,Data!T$2:T$51,0),NA())</f>
        <v>#N/A</v>
      </c>
      <c r="Y149" t="e">
        <f>_xlfn.IFNA(51-MATCH(Songs!$A149,Data!U$2:U$51,0),NA())</f>
        <v>#N/A</v>
      </c>
      <c r="Z149" t="e">
        <f>_xlfn.IFNA(51-MATCH(Songs!$A149,Data!V$2:V$51,0),NA())</f>
        <v>#N/A</v>
      </c>
      <c r="AA149" t="e">
        <f>_xlfn.IFNA(51-MATCH(Songs!$A149,Data!W$2:W$51,0),NA())</f>
        <v>#N/A</v>
      </c>
      <c r="AB149" t="e">
        <f>_xlfn.IFNA(51-MATCH(Songs!$A149,Data!X$2:X$51,0),NA())</f>
        <v>#N/A</v>
      </c>
      <c r="AC149" t="e">
        <f>_xlfn.IFNA(51-MATCH(Songs!$A149,Data!Y$2:Y$51,0),NA())</f>
        <v>#N/A</v>
      </c>
      <c r="AD149">
        <f>_xlfn.IFNA(51-MATCH(Songs!$A149,Data!Z$2:Z$51,0),NA())</f>
        <v>6</v>
      </c>
      <c r="AE149">
        <f>_xlfn.IFNA(51-MATCH(Songs!$A149,Data!AA$2:AA$51,0),NA())</f>
        <v>43</v>
      </c>
      <c r="AF149">
        <f>_xlfn.IFNA(51-MATCH(Songs!$A149,Data!AB$2:AB$51,0),NA())</f>
        <v>34</v>
      </c>
      <c r="AG149">
        <f>_xlfn.IFNA(51-MATCH(Songs!$A149,Data!AC$2:AC$51,0),NA())</f>
        <v>34</v>
      </c>
      <c r="AH149">
        <f>_xlfn.IFNA(51-MATCH(Songs!$A149,Data!AD$2:AD$51,0),NA())</f>
        <v>32</v>
      </c>
      <c r="AI149">
        <f>_xlfn.IFNA(51-MATCH(Songs!$A149,Data!AE$2:AE$51,0),NA())</f>
        <v>28</v>
      </c>
    </row>
    <row r="150" spans="1:35" ht="15.75" customHeight="1" x14ac:dyDescent="0.25">
      <c r="A150" s="6" t="s">
        <v>304</v>
      </c>
      <c r="B150" s="2" t="s">
        <v>118</v>
      </c>
      <c r="F150" s="6">
        <v>0</v>
      </c>
      <c r="G150" s="2">
        <f ca="1">COUNTIF(INDIRECT(_xlfn.CONCAT("Data!$B$2:", ADDRESS(51,COUNTA(Data!$1:$1)+1,1,1))), Songs!A150) + F150</f>
        <v>1</v>
      </c>
      <c r="H150" s="8"/>
      <c r="I150" s="8"/>
      <c r="J150" s="8" cm="1">
        <f t="array" ref="J150">51 - MAX(IF(NOT(ISNA(K150:BB150)),K150:BB150))</f>
        <v>46</v>
      </c>
      <c r="K150" t="e">
        <f>_xlfn.IFNA(51-MATCH(Songs!$A150,Data!G$2:G$51,0),NA())</f>
        <v>#N/A</v>
      </c>
      <c r="L150" t="e">
        <f>_xlfn.IFNA(51-MATCH(Songs!$A150,Data!H$2:H$51,0),NA())</f>
        <v>#N/A</v>
      </c>
      <c r="M150" t="e">
        <f>_xlfn.IFNA(51-MATCH(Songs!$A150,Data!I$2:I$51,0),NA())</f>
        <v>#N/A</v>
      </c>
      <c r="N150" t="e">
        <f>_xlfn.IFNA(51-MATCH(Songs!$A150,Data!J$2:J$51,0),NA())</f>
        <v>#N/A</v>
      </c>
      <c r="O150" t="e">
        <f>_xlfn.IFNA(51-MATCH(Songs!$A150,Data!K$2:K$51,0),NA())</f>
        <v>#N/A</v>
      </c>
      <c r="P150" t="e">
        <f>_xlfn.IFNA(51-MATCH(Songs!$A150,Data!L$2:L$51,0),NA())</f>
        <v>#N/A</v>
      </c>
      <c r="Q150" t="e">
        <f>_xlfn.IFNA(51-MATCH(Songs!$A150,Data!M$2:M$51,0),NA())</f>
        <v>#N/A</v>
      </c>
      <c r="R150" t="e">
        <f>_xlfn.IFNA(51-MATCH(Songs!$A150,Data!N$2:N$51,0),NA())</f>
        <v>#N/A</v>
      </c>
      <c r="S150" t="e">
        <f>_xlfn.IFNA(51-MATCH(Songs!$A150,Data!O$2:O$51,0),NA())</f>
        <v>#N/A</v>
      </c>
      <c r="T150" t="e">
        <f>_xlfn.IFNA(51-MATCH(Songs!$A150,Data!P$2:P$51,0),NA())</f>
        <v>#N/A</v>
      </c>
      <c r="U150" t="e">
        <f>_xlfn.IFNA(51-MATCH(Songs!$A150,Data!Q$2:Q$51,0),NA())</f>
        <v>#N/A</v>
      </c>
      <c r="V150" t="e">
        <f>_xlfn.IFNA(51-MATCH(Songs!$A150,Data!R$2:R$51,0),NA())</f>
        <v>#N/A</v>
      </c>
      <c r="W150" t="e">
        <f>_xlfn.IFNA(51-MATCH(Songs!$A150,Data!S$2:S$51,0),NA())</f>
        <v>#N/A</v>
      </c>
      <c r="X150" t="e">
        <f>_xlfn.IFNA(51-MATCH(Songs!$A150,Data!T$2:T$51,0),NA())</f>
        <v>#N/A</v>
      </c>
      <c r="Y150" t="e">
        <f>_xlfn.IFNA(51-MATCH(Songs!$A150,Data!U$2:U$51,0),NA())</f>
        <v>#N/A</v>
      </c>
      <c r="Z150" t="e">
        <f>_xlfn.IFNA(51-MATCH(Songs!$A150,Data!V$2:V$51,0),NA())</f>
        <v>#N/A</v>
      </c>
      <c r="AA150" t="e">
        <f>_xlfn.IFNA(51-MATCH(Songs!$A150,Data!W$2:W$51,0),NA())</f>
        <v>#N/A</v>
      </c>
      <c r="AB150" t="e">
        <f>_xlfn.IFNA(51-MATCH(Songs!$A150,Data!X$2:X$51,0),NA())</f>
        <v>#N/A</v>
      </c>
      <c r="AC150" t="e">
        <f>_xlfn.IFNA(51-MATCH(Songs!$A150,Data!Y$2:Y$51,0),NA())</f>
        <v>#N/A</v>
      </c>
      <c r="AD150">
        <f>_xlfn.IFNA(51-MATCH(Songs!$A150,Data!Z$2:Z$51,0),NA())</f>
        <v>5</v>
      </c>
      <c r="AE150" t="e">
        <f>_xlfn.IFNA(51-MATCH(Songs!$A150,Data!AA$2:AA$51,0),NA())</f>
        <v>#N/A</v>
      </c>
      <c r="AF150" t="e">
        <f>_xlfn.IFNA(51-MATCH(Songs!$A150,Data!AB$2:AB$51,0),NA())</f>
        <v>#N/A</v>
      </c>
      <c r="AG150" t="e">
        <f>_xlfn.IFNA(51-MATCH(Songs!$A150,Data!AC$2:AC$51,0),NA())</f>
        <v>#N/A</v>
      </c>
      <c r="AH150" t="e">
        <f>_xlfn.IFNA(51-MATCH(Songs!$A150,Data!AD$2:AD$51,0),NA())</f>
        <v>#N/A</v>
      </c>
      <c r="AI150" t="e">
        <f>_xlfn.IFNA(51-MATCH(Songs!$A150,Data!AE$2:AE$51,0),NA())</f>
        <v>#N/A</v>
      </c>
    </row>
    <row r="151" spans="1:35" ht="15.75" customHeight="1" x14ac:dyDescent="0.25">
      <c r="A151" s="7" t="s">
        <v>305</v>
      </c>
      <c r="B151" s="2" t="s">
        <v>74</v>
      </c>
      <c r="F151" s="6">
        <v>0</v>
      </c>
      <c r="G151" s="2">
        <f ca="1">COUNTIF(INDIRECT(_xlfn.CONCAT("Data!$B$2:", ADDRESS(51,COUNTA(Data!$1:$1)+1,1,1))), Songs!A151) + F151</f>
        <v>6</v>
      </c>
      <c r="H151" s="8"/>
      <c r="I151" s="8"/>
      <c r="J151" s="8" cm="1">
        <f t="array" ref="J151">51 - MAX(IF(NOT(ISNA(K151:BB151)),K151:BB151))</f>
        <v>5</v>
      </c>
      <c r="K151" t="e">
        <f>_xlfn.IFNA(51-MATCH(Songs!$A151,Data!G$2:G$51,0),NA())</f>
        <v>#N/A</v>
      </c>
      <c r="L151" t="e">
        <f>_xlfn.IFNA(51-MATCH(Songs!$A151,Data!H$2:H$51,0),NA())</f>
        <v>#N/A</v>
      </c>
      <c r="M151" t="e">
        <f>_xlfn.IFNA(51-MATCH(Songs!$A151,Data!I$2:I$51,0),NA())</f>
        <v>#N/A</v>
      </c>
      <c r="N151" t="e">
        <f>_xlfn.IFNA(51-MATCH(Songs!$A151,Data!J$2:J$51,0),NA())</f>
        <v>#N/A</v>
      </c>
      <c r="O151" t="e">
        <f>_xlfn.IFNA(51-MATCH(Songs!$A151,Data!K$2:K$51,0),NA())</f>
        <v>#N/A</v>
      </c>
      <c r="P151" t="e">
        <f>_xlfn.IFNA(51-MATCH(Songs!$A151,Data!L$2:L$51,0),NA())</f>
        <v>#N/A</v>
      </c>
      <c r="Q151" t="e">
        <f>_xlfn.IFNA(51-MATCH(Songs!$A151,Data!M$2:M$51,0),NA())</f>
        <v>#N/A</v>
      </c>
      <c r="R151" t="e">
        <f>_xlfn.IFNA(51-MATCH(Songs!$A151,Data!N$2:N$51,0),NA())</f>
        <v>#N/A</v>
      </c>
      <c r="S151" t="e">
        <f>_xlfn.IFNA(51-MATCH(Songs!$A151,Data!O$2:O$51,0),NA())</f>
        <v>#N/A</v>
      </c>
      <c r="T151" t="e">
        <f>_xlfn.IFNA(51-MATCH(Songs!$A151,Data!P$2:P$51,0),NA())</f>
        <v>#N/A</v>
      </c>
      <c r="U151" t="e">
        <f>_xlfn.IFNA(51-MATCH(Songs!$A151,Data!Q$2:Q$51,0),NA())</f>
        <v>#N/A</v>
      </c>
      <c r="V151" t="e">
        <f>_xlfn.IFNA(51-MATCH(Songs!$A151,Data!R$2:R$51,0),NA())</f>
        <v>#N/A</v>
      </c>
      <c r="W151" t="e">
        <f>_xlfn.IFNA(51-MATCH(Songs!$A151,Data!S$2:S$51,0),NA())</f>
        <v>#N/A</v>
      </c>
      <c r="X151" t="e">
        <f>_xlfn.IFNA(51-MATCH(Songs!$A151,Data!T$2:T$51,0),NA())</f>
        <v>#N/A</v>
      </c>
      <c r="Y151" t="e">
        <f>_xlfn.IFNA(51-MATCH(Songs!$A151,Data!U$2:U$51,0),NA())</f>
        <v>#N/A</v>
      </c>
      <c r="Z151" t="e">
        <f>_xlfn.IFNA(51-MATCH(Songs!$A151,Data!V$2:V$51,0),NA())</f>
        <v>#N/A</v>
      </c>
      <c r="AA151" t="e">
        <f>_xlfn.IFNA(51-MATCH(Songs!$A151,Data!W$2:W$51,0),NA())</f>
        <v>#N/A</v>
      </c>
      <c r="AB151" t="e">
        <f>_xlfn.IFNA(51-MATCH(Songs!$A151,Data!X$2:X$51,0),NA())</f>
        <v>#N/A</v>
      </c>
      <c r="AC151" t="e">
        <f>_xlfn.IFNA(51-MATCH(Songs!$A151,Data!Y$2:Y$51,0),NA())</f>
        <v>#N/A</v>
      </c>
      <c r="AD151">
        <f>_xlfn.IFNA(51-MATCH(Songs!$A151,Data!Z$2:Z$51,0),NA())</f>
        <v>4</v>
      </c>
      <c r="AE151">
        <f>_xlfn.IFNA(51-MATCH(Songs!$A151,Data!AA$2:AA$51,0),NA())</f>
        <v>46</v>
      </c>
      <c r="AF151">
        <f>_xlfn.IFNA(51-MATCH(Songs!$A151,Data!AB$2:AB$51,0),NA())</f>
        <v>45</v>
      </c>
      <c r="AG151">
        <f>_xlfn.IFNA(51-MATCH(Songs!$A151,Data!AC$2:AC$51,0),NA())</f>
        <v>44</v>
      </c>
      <c r="AH151">
        <f>_xlfn.IFNA(51-MATCH(Songs!$A151,Data!AD$2:AD$51,0),NA())</f>
        <v>42</v>
      </c>
      <c r="AI151">
        <f>_xlfn.IFNA(51-MATCH(Songs!$A151,Data!AE$2:AE$51,0),NA())</f>
        <v>42</v>
      </c>
    </row>
    <row r="152" spans="1:35" ht="15.75" customHeight="1" x14ac:dyDescent="0.25">
      <c r="A152" s="6" t="s">
        <v>306</v>
      </c>
      <c r="B152" s="2" t="s">
        <v>100</v>
      </c>
      <c r="F152" s="6">
        <v>0</v>
      </c>
      <c r="G152" s="2">
        <f ca="1">COUNTIF(INDIRECT(_xlfn.CONCAT("Data!$B$2:", ADDRESS(51,COUNTA(Data!$1:$1)+1,1,1))), Songs!A152) + F152</f>
        <v>1</v>
      </c>
      <c r="H152" s="8"/>
      <c r="I152" s="8"/>
      <c r="J152" s="8" cm="1">
        <f t="array" ref="J152">51 - MAX(IF(NOT(ISNA(K152:BB152)),K152:BB152))</f>
        <v>48</v>
      </c>
      <c r="K152" t="e">
        <f>_xlfn.IFNA(51-MATCH(Songs!$A152,Data!G$2:G$51,0),NA())</f>
        <v>#N/A</v>
      </c>
      <c r="L152" t="e">
        <f>_xlfn.IFNA(51-MATCH(Songs!$A152,Data!H$2:H$51,0),NA())</f>
        <v>#N/A</v>
      </c>
      <c r="M152" t="e">
        <f>_xlfn.IFNA(51-MATCH(Songs!$A152,Data!I$2:I$51,0),NA())</f>
        <v>#N/A</v>
      </c>
      <c r="N152" t="e">
        <f>_xlfn.IFNA(51-MATCH(Songs!$A152,Data!J$2:J$51,0),NA())</f>
        <v>#N/A</v>
      </c>
      <c r="O152" t="e">
        <f>_xlfn.IFNA(51-MATCH(Songs!$A152,Data!K$2:K$51,0),NA())</f>
        <v>#N/A</v>
      </c>
      <c r="P152" t="e">
        <f>_xlfn.IFNA(51-MATCH(Songs!$A152,Data!L$2:L$51,0),NA())</f>
        <v>#N/A</v>
      </c>
      <c r="Q152" t="e">
        <f>_xlfn.IFNA(51-MATCH(Songs!$A152,Data!M$2:M$51,0),NA())</f>
        <v>#N/A</v>
      </c>
      <c r="R152" t="e">
        <f>_xlfn.IFNA(51-MATCH(Songs!$A152,Data!N$2:N$51,0),NA())</f>
        <v>#N/A</v>
      </c>
      <c r="S152" t="e">
        <f>_xlfn.IFNA(51-MATCH(Songs!$A152,Data!O$2:O$51,0),NA())</f>
        <v>#N/A</v>
      </c>
      <c r="T152" t="e">
        <f>_xlfn.IFNA(51-MATCH(Songs!$A152,Data!P$2:P$51,0),NA())</f>
        <v>#N/A</v>
      </c>
      <c r="U152" t="e">
        <f>_xlfn.IFNA(51-MATCH(Songs!$A152,Data!Q$2:Q$51,0),NA())</f>
        <v>#N/A</v>
      </c>
      <c r="V152" t="e">
        <f>_xlfn.IFNA(51-MATCH(Songs!$A152,Data!R$2:R$51,0),NA())</f>
        <v>#N/A</v>
      </c>
      <c r="W152" t="e">
        <f>_xlfn.IFNA(51-MATCH(Songs!$A152,Data!S$2:S$51,0),NA())</f>
        <v>#N/A</v>
      </c>
      <c r="X152" t="e">
        <f>_xlfn.IFNA(51-MATCH(Songs!$A152,Data!T$2:T$51,0),NA())</f>
        <v>#N/A</v>
      </c>
      <c r="Y152" t="e">
        <f>_xlfn.IFNA(51-MATCH(Songs!$A152,Data!U$2:U$51,0),NA())</f>
        <v>#N/A</v>
      </c>
      <c r="Z152" t="e">
        <f>_xlfn.IFNA(51-MATCH(Songs!$A152,Data!V$2:V$51,0),NA())</f>
        <v>#N/A</v>
      </c>
      <c r="AA152" t="e">
        <f>_xlfn.IFNA(51-MATCH(Songs!$A152,Data!W$2:W$51,0),NA())</f>
        <v>#N/A</v>
      </c>
      <c r="AB152" t="e">
        <f>_xlfn.IFNA(51-MATCH(Songs!$A152,Data!X$2:X$51,0),NA())</f>
        <v>#N/A</v>
      </c>
      <c r="AC152" t="e">
        <f>_xlfn.IFNA(51-MATCH(Songs!$A152,Data!Y$2:Y$51,0),NA())</f>
        <v>#N/A</v>
      </c>
      <c r="AD152">
        <f>_xlfn.IFNA(51-MATCH(Songs!$A152,Data!Z$2:Z$51,0),NA())</f>
        <v>3</v>
      </c>
      <c r="AE152" t="e">
        <f>_xlfn.IFNA(51-MATCH(Songs!$A152,Data!AA$2:AA$51,0),NA())</f>
        <v>#N/A</v>
      </c>
      <c r="AF152" t="e">
        <f>_xlfn.IFNA(51-MATCH(Songs!$A152,Data!AB$2:AB$51,0),NA())</f>
        <v>#N/A</v>
      </c>
      <c r="AG152" t="e">
        <f>_xlfn.IFNA(51-MATCH(Songs!$A152,Data!AC$2:AC$51,0),NA())</f>
        <v>#N/A</v>
      </c>
      <c r="AH152" t="e">
        <f>_xlfn.IFNA(51-MATCH(Songs!$A152,Data!AD$2:AD$51,0),NA())</f>
        <v>#N/A</v>
      </c>
      <c r="AI152" t="e">
        <f>_xlfn.IFNA(51-MATCH(Songs!$A152,Data!AE$2:AE$51,0),NA())</f>
        <v>#N/A</v>
      </c>
    </row>
    <row r="153" spans="1:35" ht="15.75" customHeight="1" x14ac:dyDescent="0.25">
      <c r="A153" s="6" t="s">
        <v>310</v>
      </c>
      <c r="B153" s="2" t="s">
        <v>76</v>
      </c>
      <c r="F153" s="6">
        <v>0</v>
      </c>
      <c r="G153" s="2">
        <f ca="1">COUNTIF(INDIRECT(_xlfn.CONCAT("Data!$B$2:", ADDRESS(51,COUNTA(Data!$1:$1)+1,1,1))), Songs!A153) + F153</f>
        <v>5</v>
      </c>
      <c r="H153" s="8"/>
      <c r="I153" s="8"/>
      <c r="J153" s="8" cm="1">
        <f t="array" ref="J153">51 - MAX(IF(NOT(ISNA(K153:BB153)),K153:BB153))</f>
        <v>3</v>
      </c>
      <c r="K153" t="e">
        <f>_xlfn.IFNA(51-MATCH(Songs!$A153,Data!G$2:G$51,0),NA())</f>
        <v>#N/A</v>
      </c>
      <c r="L153" t="e">
        <f>_xlfn.IFNA(51-MATCH(Songs!$A153,Data!H$2:H$51,0),NA())</f>
        <v>#N/A</v>
      </c>
      <c r="M153" t="e">
        <f>_xlfn.IFNA(51-MATCH(Songs!$A153,Data!I$2:I$51,0),NA())</f>
        <v>#N/A</v>
      </c>
      <c r="N153" t="e">
        <f>_xlfn.IFNA(51-MATCH(Songs!$A153,Data!J$2:J$51,0),NA())</f>
        <v>#N/A</v>
      </c>
      <c r="O153" t="e">
        <f>_xlfn.IFNA(51-MATCH(Songs!$A153,Data!K$2:K$51,0),NA())</f>
        <v>#N/A</v>
      </c>
      <c r="P153" t="e">
        <f>_xlfn.IFNA(51-MATCH(Songs!$A153,Data!L$2:L$51,0),NA())</f>
        <v>#N/A</v>
      </c>
      <c r="Q153" t="e">
        <f>_xlfn.IFNA(51-MATCH(Songs!$A153,Data!M$2:M$51,0),NA())</f>
        <v>#N/A</v>
      </c>
      <c r="R153" t="e">
        <f>_xlfn.IFNA(51-MATCH(Songs!$A153,Data!N$2:N$51,0),NA())</f>
        <v>#N/A</v>
      </c>
      <c r="S153" t="e">
        <f>_xlfn.IFNA(51-MATCH(Songs!$A153,Data!O$2:O$51,0),NA())</f>
        <v>#N/A</v>
      </c>
      <c r="T153" t="e">
        <f>_xlfn.IFNA(51-MATCH(Songs!$A153,Data!P$2:P$51,0),NA())</f>
        <v>#N/A</v>
      </c>
      <c r="U153" t="e">
        <f>_xlfn.IFNA(51-MATCH(Songs!$A153,Data!Q$2:Q$51,0),NA())</f>
        <v>#N/A</v>
      </c>
      <c r="V153" t="e">
        <f>_xlfn.IFNA(51-MATCH(Songs!$A153,Data!R$2:R$51,0),NA())</f>
        <v>#N/A</v>
      </c>
      <c r="W153" t="e">
        <f>_xlfn.IFNA(51-MATCH(Songs!$A153,Data!S$2:S$51,0),NA())</f>
        <v>#N/A</v>
      </c>
      <c r="X153" t="e">
        <f>_xlfn.IFNA(51-MATCH(Songs!$A153,Data!T$2:T$51,0),NA())</f>
        <v>#N/A</v>
      </c>
      <c r="Y153" t="e">
        <f>_xlfn.IFNA(51-MATCH(Songs!$A153,Data!U$2:U$51,0),NA())</f>
        <v>#N/A</v>
      </c>
      <c r="Z153" t="e">
        <f>_xlfn.IFNA(51-MATCH(Songs!$A153,Data!V$2:V$51,0),NA())</f>
        <v>#N/A</v>
      </c>
      <c r="AA153" t="e">
        <f>_xlfn.IFNA(51-MATCH(Songs!$A153,Data!W$2:W$51,0),NA())</f>
        <v>#N/A</v>
      </c>
      <c r="AB153" t="e">
        <f>_xlfn.IFNA(51-MATCH(Songs!$A153,Data!X$2:X$51,0),NA())</f>
        <v>#N/A</v>
      </c>
      <c r="AC153" t="e">
        <f>_xlfn.IFNA(51-MATCH(Songs!$A153,Data!Y$2:Y$51,0),NA())</f>
        <v>#N/A</v>
      </c>
      <c r="AD153" t="e">
        <f>_xlfn.IFNA(51-MATCH(Songs!$A153,Data!Z$2:Z$51,0),NA())</f>
        <v>#N/A</v>
      </c>
      <c r="AE153">
        <f>_xlfn.IFNA(51-MATCH(Songs!$A153,Data!AA$2:AA$51,0),NA())</f>
        <v>48</v>
      </c>
      <c r="AF153">
        <f>_xlfn.IFNA(51-MATCH(Songs!$A153,Data!AB$2:AB$51,0),NA())</f>
        <v>48</v>
      </c>
      <c r="AG153">
        <f>_xlfn.IFNA(51-MATCH(Songs!$A153,Data!AC$2:AC$51,0),NA())</f>
        <v>48</v>
      </c>
      <c r="AH153">
        <f>_xlfn.IFNA(51-MATCH(Songs!$A153,Data!AD$2:AD$51,0),NA())</f>
        <v>48</v>
      </c>
      <c r="AI153">
        <f>_xlfn.IFNA(51-MATCH(Songs!$A153,Data!AE$2:AE$51,0),NA())</f>
        <v>46</v>
      </c>
    </row>
    <row r="154" spans="1:35" ht="15.75" customHeight="1" x14ac:dyDescent="0.25">
      <c r="A154" s="6" t="s">
        <v>311</v>
      </c>
      <c r="B154" s="2" t="s">
        <v>74</v>
      </c>
      <c r="D154" t="s">
        <v>326</v>
      </c>
      <c r="F154" s="6">
        <v>0</v>
      </c>
      <c r="G154" s="2">
        <f ca="1">COUNTIF(INDIRECT(_xlfn.CONCAT("Data!$B$2:", ADDRESS(51,COUNTA(Data!$1:$1)+1,1,1))), Songs!A154) + F154</f>
        <v>5</v>
      </c>
      <c r="H154" s="8"/>
      <c r="I154" s="8"/>
      <c r="J154" s="8" cm="1">
        <f t="array" ref="J154">51 - MAX(IF(NOT(ISNA(K154:BB154)),K154:BB154))</f>
        <v>17</v>
      </c>
      <c r="K154" t="e">
        <f>_xlfn.IFNA(51-MATCH(Songs!$A154,Data!G$2:G$51,0),NA())</f>
        <v>#N/A</v>
      </c>
      <c r="L154" t="e">
        <f>_xlfn.IFNA(51-MATCH(Songs!$A154,Data!H$2:H$51,0),NA())</f>
        <v>#N/A</v>
      </c>
      <c r="M154" t="e">
        <f>_xlfn.IFNA(51-MATCH(Songs!$A154,Data!I$2:I$51,0),NA())</f>
        <v>#N/A</v>
      </c>
      <c r="N154" t="e">
        <f>_xlfn.IFNA(51-MATCH(Songs!$A154,Data!J$2:J$51,0),NA())</f>
        <v>#N/A</v>
      </c>
      <c r="O154" t="e">
        <f>_xlfn.IFNA(51-MATCH(Songs!$A154,Data!K$2:K$51,0),NA())</f>
        <v>#N/A</v>
      </c>
      <c r="P154" t="e">
        <f>_xlfn.IFNA(51-MATCH(Songs!$A154,Data!L$2:L$51,0),NA())</f>
        <v>#N/A</v>
      </c>
      <c r="Q154" t="e">
        <f>_xlfn.IFNA(51-MATCH(Songs!$A154,Data!M$2:M$51,0),NA())</f>
        <v>#N/A</v>
      </c>
      <c r="R154" t="e">
        <f>_xlfn.IFNA(51-MATCH(Songs!$A154,Data!N$2:N$51,0),NA())</f>
        <v>#N/A</v>
      </c>
      <c r="S154" t="e">
        <f>_xlfn.IFNA(51-MATCH(Songs!$A154,Data!O$2:O$51,0),NA())</f>
        <v>#N/A</v>
      </c>
      <c r="T154" t="e">
        <f>_xlfn.IFNA(51-MATCH(Songs!$A154,Data!P$2:P$51,0),NA())</f>
        <v>#N/A</v>
      </c>
      <c r="U154" t="e">
        <f>_xlfn.IFNA(51-MATCH(Songs!$A154,Data!Q$2:Q$51,0),NA())</f>
        <v>#N/A</v>
      </c>
      <c r="V154" t="e">
        <f>_xlfn.IFNA(51-MATCH(Songs!$A154,Data!R$2:R$51,0),NA())</f>
        <v>#N/A</v>
      </c>
      <c r="W154" t="e">
        <f>_xlfn.IFNA(51-MATCH(Songs!$A154,Data!S$2:S$51,0),NA())</f>
        <v>#N/A</v>
      </c>
      <c r="X154" t="e">
        <f>_xlfn.IFNA(51-MATCH(Songs!$A154,Data!T$2:T$51,0),NA())</f>
        <v>#N/A</v>
      </c>
      <c r="Y154" t="e">
        <f>_xlfn.IFNA(51-MATCH(Songs!$A154,Data!U$2:U$51,0),NA())</f>
        <v>#N/A</v>
      </c>
      <c r="Z154" t="e">
        <f>_xlfn.IFNA(51-MATCH(Songs!$A154,Data!V$2:V$51,0),NA())</f>
        <v>#N/A</v>
      </c>
      <c r="AA154" t="e">
        <f>_xlfn.IFNA(51-MATCH(Songs!$A154,Data!W$2:W$51,0),NA())</f>
        <v>#N/A</v>
      </c>
      <c r="AB154" t="e">
        <f>_xlfn.IFNA(51-MATCH(Songs!$A154,Data!X$2:X$51,0),NA())</f>
        <v>#N/A</v>
      </c>
      <c r="AC154" t="e">
        <f>_xlfn.IFNA(51-MATCH(Songs!$A154,Data!Y$2:Y$51,0),NA())</f>
        <v>#N/A</v>
      </c>
      <c r="AD154" t="e">
        <f>_xlfn.IFNA(51-MATCH(Songs!$A154,Data!Z$2:Z$51,0),NA())</f>
        <v>#N/A</v>
      </c>
      <c r="AE154">
        <f>_xlfn.IFNA(51-MATCH(Songs!$A154,Data!AA$2:AA$51,0),NA())</f>
        <v>34</v>
      </c>
      <c r="AF154">
        <f>_xlfn.IFNA(51-MATCH(Songs!$A154,Data!AB$2:AB$51,0),NA())</f>
        <v>31</v>
      </c>
      <c r="AG154">
        <f>_xlfn.IFNA(51-MATCH(Songs!$A154,Data!AC$2:AC$51,0),NA())</f>
        <v>26</v>
      </c>
      <c r="AH154">
        <f>_xlfn.IFNA(51-MATCH(Songs!$A154,Data!AD$2:AD$51,0),NA())</f>
        <v>25</v>
      </c>
      <c r="AI154">
        <f>_xlfn.IFNA(51-MATCH(Songs!$A154,Data!AE$2:AE$51,0),NA())</f>
        <v>7</v>
      </c>
    </row>
    <row r="155" spans="1:35" ht="15.75" customHeight="1" x14ac:dyDescent="0.25">
      <c r="A155" s="6" t="s">
        <v>312</v>
      </c>
      <c r="B155" s="2" t="s">
        <v>74</v>
      </c>
      <c r="F155" s="6">
        <v>0</v>
      </c>
      <c r="G155" s="2">
        <f ca="1">COUNTIF(INDIRECT(_xlfn.CONCAT("Data!$B$2:", ADDRESS(51,COUNTA(Data!$1:$1)+1,1,1))), Songs!A155) + F155</f>
        <v>5</v>
      </c>
      <c r="H155" s="8"/>
      <c r="I155" s="8"/>
      <c r="J155" s="8" cm="1">
        <f t="array" ref="J155">51 - MAX(IF(NOT(ISNA(K155:BB155)),K155:BB155))</f>
        <v>18</v>
      </c>
      <c r="K155" t="e">
        <f>_xlfn.IFNA(51-MATCH(Songs!$A155,Data!G$2:G$51,0),NA())</f>
        <v>#N/A</v>
      </c>
      <c r="L155" t="e">
        <f>_xlfn.IFNA(51-MATCH(Songs!$A155,Data!H$2:H$51,0),NA())</f>
        <v>#N/A</v>
      </c>
      <c r="M155" t="e">
        <f>_xlfn.IFNA(51-MATCH(Songs!$A155,Data!I$2:I$51,0),NA())</f>
        <v>#N/A</v>
      </c>
      <c r="N155" t="e">
        <f>_xlfn.IFNA(51-MATCH(Songs!$A155,Data!J$2:J$51,0),NA())</f>
        <v>#N/A</v>
      </c>
      <c r="O155" t="e">
        <f>_xlfn.IFNA(51-MATCH(Songs!$A155,Data!K$2:K$51,0),NA())</f>
        <v>#N/A</v>
      </c>
      <c r="P155" t="e">
        <f>_xlfn.IFNA(51-MATCH(Songs!$A155,Data!L$2:L$51,0),NA())</f>
        <v>#N/A</v>
      </c>
      <c r="Q155" t="e">
        <f>_xlfn.IFNA(51-MATCH(Songs!$A155,Data!M$2:M$51,0),NA())</f>
        <v>#N/A</v>
      </c>
      <c r="R155" t="e">
        <f>_xlfn.IFNA(51-MATCH(Songs!$A155,Data!N$2:N$51,0),NA())</f>
        <v>#N/A</v>
      </c>
      <c r="S155" t="e">
        <f>_xlfn.IFNA(51-MATCH(Songs!$A155,Data!O$2:O$51,0),NA())</f>
        <v>#N/A</v>
      </c>
      <c r="T155" t="e">
        <f>_xlfn.IFNA(51-MATCH(Songs!$A155,Data!P$2:P$51,0),NA())</f>
        <v>#N/A</v>
      </c>
      <c r="U155" t="e">
        <f>_xlfn.IFNA(51-MATCH(Songs!$A155,Data!Q$2:Q$51,0),NA())</f>
        <v>#N/A</v>
      </c>
      <c r="V155" t="e">
        <f>_xlfn.IFNA(51-MATCH(Songs!$A155,Data!R$2:R$51,0),NA())</f>
        <v>#N/A</v>
      </c>
      <c r="W155" t="e">
        <f>_xlfn.IFNA(51-MATCH(Songs!$A155,Data!S$2:S$51,0),NA())</f>
        <v>#N/A</v>
      </c>
      <c r="X155" t="e">
        <f>_xlfn.IFNA(51-MATCH(Songs!$A155,Data!T$2:T$51,0),NA())</f>
        <v>#N/A</v>
      </c>
      <c r="Y155" t="e">
        <f>_xlfn.IFNA(51-MATCH(Songs!$A155,Data!U$2:U$51,0),NA())</f>
        <v>#N/A</v>
      </c>
      <c r="Z155" t="e">
        <f>_xlfn.IFNA(51-MATCH(Songs!$A155,Data!V$2:V$51,0),NA())</f>
        <v>#N/A</v>
      </c>
      <c r="AA155" t="e">
        <f>_xlfn.IFNA(51-MATCH(Songs!$A155,Data!W$2:W$51,0),NA())</f>
        <v>#N/A</v>
      </c>
      <c r="AB155" t="e">
        <f>_xlfn.IFNA(51-MATCH(Songs!$A155,Data!X$2:X$51,0),NA())</f>
        <v>#N/A</v>
      </c>
      <c r="AC155" t="e">
        <f>_xlfn.IFNA(51-MATCH(Songs!$A155,Data!Y$2:Y$51,0),NA())</f>
        <v>#N/A</v>
      </c>
      <c r="AD155" t="e">
        <f>_xlfn.IFNA(51-MATCH(Songs!$A155,Data!Z$2:Z$51,0),NA())</f>
        <v>#N/A</v>
      </c>
      <c r="AE155">
        <f>_xlfn.IFNA(51-MATCH(Songs!$A155,Data!AA$2:AA$51,0),NA())</f>
        <v>33</v>
      </c>
      <c r="AF155">
        <f>_xlfn.IFNA(51-MATCH(Songs!$A155,Data!AB$2:AB$51,0),NA())</f>
        <v>27</v>
      </c>
      <c r="AG155">
        <f>_xlfn.IFNA(51-MATCH(Songs!$A155,Data!AC$2:AC$51,0),NA())</f>
        <v>23</v>
      </c>
      <c r="AH155">
        <f>_xlfn.IFNA(51-MATCH(Songs!$A155,Data!AD$2:AD$51,0),NA())</f>
        <v>13</v>
      </c>
      <c r="AI155">
        <f>_xlfn.IFNA(51-MATCH(Songs!$A155,Data!AE$2:AE$51,0),NA())</f>
        <v>5</v>
      </c>
    </row>
    <row r="156" spans="1:35" ht="15.75" customHeight="1" x14ac:dyDescent="0.25">
      <c r="A156" s="6" t="s">
        <v>313</v>
      </c>
      <c r="B156" s="2" t="s">
        <v>74</v>
      </c>
      <c r="F156" s="6">
        <v>0</v>
      </c>
      <c r="G156" s="2">
        <f ca="1">COUNTIF(INDIRECT(_xlfn.CONCAT("Data!$B$2:", ADDRESS(51,COUNTA(Data!$1:$1)+1,1,1))), Songs!A156) + F156</f>
        <v>4</v>
      </c>
      <c r="H156" s="8"/>
      <c r="I156" s="8"/>
      <c r="J156" s="8" cm="1">
        <f t="array" ref="J156">51 - MAX(IF(NOT(ISNA(K156:BB156)),K156:BB156))</f>
        <v>22</v>
      </c>
      <c r="K156" t="e">
        <f>_xlfn.IFNA(51-MATCH(Songs!$A156,Data!G$2:G$51,0),NA())</f>
        <v>#N/A</v>
      </c>
      <c r="L156" t="e">
        <f>_xlfn.IFNA(51-MATCH(Songs!$A156,Data!H$2:H$51,0),NA())</f>
        <v>#N/A</v>
      </c>
      <c r="M156" t="e">
        <f>_xlfn.IFNA(51-MATCH(Songs!$A156,Data!I$2:I$51,0),NA())</f>
        <v>#N/A</v>
      </c>
      <c r="N156" t="e">
        <f>_xlfn.IFNA(51-MATCH(Songs!$A156,Data!J$2:J$51,0),NA())</f>
        <v>#N/A</v>
      </c>
      <c r="O156" t="e">
        <f>_xlfn.IFNA(51-MATCH(Songs!$A156,Data!K$2:K$51,0),NA())</f>
        <v>#N/A</v>
      </c>
      <c r="P156" t="e">
        <f>_xlfn.IFNA(51-MATCH(Songs!$A156,Data!L$2:L$51,0),NA())</f>
        <v>#N/A</v>
      </c>
      <c r="Q156" t="e">
        <f>_xlfn.IFNA(51-MATCH(Songs!$A156,Data!M$2:M$51,0),NA())</f>
        <v>#N/A</v>
      </c>
      <c r="R156" t="e">
        <f>_xlfn.IFNA(51-MATCH(Songs!$A156,Data!N$2:N$51,0),NA())</f>
        <v>#N/A</v>
      </c>
      <c r="S156" t="e">
        <f>_xlfn.IFNA(51-MATCH(Songs!$A156,Data!O$2:O$51,0),NA())</f>
        <v>#N/A</v>
      </c>
      <c r="T156" t="e">
        <f>_xlfn.IFNA(51-MATCH(Songs!$A156,Data!P$2:P$51,0),NA())</f>
        <v>#N/A</v>
      </c>
      <c r="U156" t="e">
        <f>_xlfn.IFNA(51-MATCH(Songs!$A156,Data!Q$2:Q$51,0),NA())</f>
        <v>#N/A</v>
      </c>
      <c r="V156" t="e">
        <f>_xlfn.IFNA(51-MATCH(Songs!$A156,Data!R$2:R$51,0),NA())</f>
        <v>#N/A</v>
      </c>
      <c r="W156" t="e">
        <f>_xlfn.IFNA(51-MATCH(Songs!$A156,Data!S$2:S$51,0),NA())</f>
        <v>#N/A</v>
      </c>
      <c r="X156" t="e">
        <f>_xlfn.IFNA(51-MATCH(Songs!$A156,Data!T$2:T$51,0),NA())</f>
        <v>#N/A</v>
      </c>
      <c r="Y156" t="e">
        <f>_xlfn.IFNA(51-MATCH(Songs!$A156,Data!U$2:U$51,0),NA())</f>
        <v>#N/A</v>
      </c>
      <c r="Z156" t="e">
        <f>_xlfn.IFNA(51-MATCH(Songs!$A156,Data!V$2:V$51,0),NA())</f>
        <v>#N/A</v>
      </c>
      <c r="AA156" t="e">
        <f>_xlfn.IFNA(51-MATCH(Songs!$A156,Data!W$2:W$51,0),NA())</f>
        <v>#N/A</v>
      </c>
      <c r="AB156" t="e">
        <f>_xlfn.IFNA(51-MATCH(Songs!$A156,Data!X$2:X$51,0),NA())</f>
        <v>#N/A</v>
      </c>
      <c r="AC156" t="e">
        <f>_xlfn.IFNA(51-MATCH(Songs!$A156,Data!Y$2:Y$51,0),NA())</f>
        <v>#N/A</v>
      </c>
      <c r="AD156" t="e">
        <f>_xlfn.IFNA(51-MATCH(Songs!$A156,Data!Z$2:Z$51,0),NA())</f>
        <v>#N/A</v>
      </c>
      <c r="AE156">
        <f>_xlfn.IFNA(51-MATCH(Songs!$A156,Data!AA$2:AA$51,0),NA())</f>
        <v>29</v>
      </c>
      <c r="AF156">
        <f>_xlfn.IFNA(51-MATCH(Songs!$A156,Data!AB$2:AB$51,0),NA())</f>
        <v>19</v>
      </c>
      <c r="AG156">
        <f>_xlfn.IFNA(51-MATCH(Songs!$A156,Data!AC$2:AC$51,0),NA())</f>
        <v>12</v>
      </c>
      <c r="AH156">
        <f>_xlfn.IFNA(51-MATCH(Songs!$A156,Data!AD$2:AD$51,0),NA())</f>
        <v>7</v>
      </c>
      <c r="AI156" t="e">
        <f>_xlfn.IFNA(51-MATCH(Songs!$A156,Data!AE$2:AE$51,0),NA())</f>
        <v>#N/A</v>
      </c>
    </row>
    <row r="157" spans="1:35" ht="15.75" customHeight="1" x14ac:dyDescent="0.25">
      <c r="A157" s="6" t="s">
        <v>314</v>
      </c>
      <c r="B157" s="2" t="s">
        <v>74</v>
      </c>
      <c r="F157" s="6">
        <v>0</v>
      </c>
      <c r="G157" s="2">
        <f ca="1">COUNTIF(INDIRECT(_xlfn.CONCAT("Data!$B$2:", ADDRESS(51,COUNTA(Data!$1:$1)+1,1,1))), Songs!A157) + F157</f>
        <v>3</v>
      </c>
      <c r="H157" s="8"/>
      <c r="I157" s="8"/>
      <c r="J157" s="8" cm="1">
        <f t="array" ref="J157">51 - MAX(IF(NOT(ISNA(K157:BB157)),K157:BB157))</f>
        <v>23</v>
      </c>
      <c r="K157" t="e">
        <f>_xlfn.IFNA(51-MATCH(Songs!$A157,Data!G$2:G$51,0),NA())</f>
        <v>#N/A</v>
      </c>
      <c r="L157" t="e">
        <f>_xlfn.IFNA(51-MATCH(Songs!$A157,Data!H$2:H$51,0),NA())</f>
        <v>#N/A</v>
      </c>
      <c r="M157" t="e">
        <f>_xlfn.IFNA(51-MATCH(Songs!$A157,Data!I$2:I$51,0),NA())</f>
        <v>#N/A</v>
      </c>
      <c r="N157" t="e">
        <f>_xlfn.IFNA(51-MATCH(Songs!$A157,Data!J$2:J$51,0),NA())</f>
        <v>#N/A</v>
      </c>
      <c r="O157" t="e">
        <f>_xlfn.IFNA(51-MATCH(Songs!$A157,Data!K$2:K$51,0),NA())</f>
        <v>#N/A</v>
      </c>
      <c r="P157" t="e">
        <f>_xlfn.IFNA(51-MATCH(Songs!$A157,Data!L$2:L$51,0),NA())</f>
        <v>#N/A</v>
      </c>
      <c r="Q157" t="e">
        <f>_xlfn.IFNA(51-MATCH(Songs!$A157,Data!M$2:M$51,0),NA())</f>
        <v>#N/A</v>
      </c>
      <c r="R157" t="e">
        <f>_xlfn.IFNA(51-MATCH(Songs!$A157,Data!N$2:N$51,0),NA())</f>
        <v>#N/A</v>
      </c>
      <c r="S157" t="e">
        <f>_xlfn.IFNA(51-MATCH(Songs!$A157,Data!O$2:O$51,0),NA())</f>
        <v>#N/A</v>
      </c>
      <c r="T157" t="e">
        <f>_xlfn.IFNA(51-MATCH(Songs!$A157,Data!P$2:P$51,0),NA())</f>
        <v>#N/A</v>
      </c>
      <c r="U157" t="e">
        <f>_xlfn.IFNA(51-MATCH(Songs!$A157,Data!Q$2:Q$51,0),NA())</f>
        <v>#N/A</v>
      </c>
      <c r="V157" t="e">
        <f>_xlfn.IFNA(51-MATCH(Songs!$A157,Data!R$2:R$51,0),NA())</f>
        <v>#N/A</v>
      </c>
      <c r="W157" t="e">
        <f>_xlfn.IFNA(51-MATCH(Songs!$A157,Data!S$2:S$51,0),NA())</f>
        <v>#N/A</v>
      </c>
      <c r="X157" t="e">
        <f>_xlfn.IFNA(51-MATCH(Songs!$A157,Data!T$2:T$51,0),NA())</f>
        <v>#N/A</v>
      </c>
      <c r="Y157" t="e">
        <f>_xlfn.IFNA(51-MATCH(Songs!$A157,Data!U$2:U$51,0),NA())</f>
        <v>#N/A</v>
      </c>
      <c r="Z157" t="e">
        <f>_xlfn.IFNA(51-MATCH(Songs!$A157,Data!V$2:V$51,0),NA())</f>
        <v>#N/A</v>
      </c>
      <c r="AA157" t="e">
        <f>_xlfn.IFNA(51-MATCH(Songs!$A157,Data!W$2:W$51,0),NA())</f>
        <v>#N/A</v>
      </c>
      <c r="AB157" t="e">
        <f>_xlfn.IFNA(51-MATCH(Songs!$A157,Data!X$2:X$51,0),NA())</f>
        <v>#N/A</v>
      </c>
      <c r="AC157" t="e">
        <f>_xlfn.IFNA(51-MATCH(Songs!$A157,Data!Y$2:Y$51,0),NA())</f>
        <v>#N/A</v>
      </c>
      <c r="AD157" t="e">
        <f>_xlfn.IFNA(51-MATCH(Songs!$A157,Data!Z$2:Z$51,0),NA())</f>
        <v>#N/A</v>
      </c>
      <c r="AE157">
        <f>_xlfn.IFNA(51-MATCH(Songs!$A157,Data!AA$2:AA$51,0),NA())</f>
        <v>28</v>
      </c>
      <c r="AF157">
        <f>_xlfn.IFNA(51-MATCH(Songs!$A157,Data!AB$2:AB$51,0),NA())</f>
        <v>18</v>
      </c>
      <c r="AG157">
        <f>_xlfn.IFNA(51-MATCH(Songs!$A157,Data!AC$2:AC$51,0),NA())</f>
        <v>5</v>
      </c>
      <c r="AH157" t="e">
        <f>_xlfn.IFNA(51-MATCH(Songs!$A157,Data!AD$2:AD$51,0),NA())</f>
        <v>#N/A</v>
      </c>
      <c r="AI157" t="e">
        <f>_xlfn.IFNA(51-MATCH(Songs!$A157,Data!AE$2:AE$51,0),NA())</f>
        <v>#N/A</v>
      </c>
    </row>
    <row r="158" spans="1:35" ht="15.75" customHeight="1" x14ac:dyDescent="0.25">
      <c r="A158" s="6" t="s">
        <v>315</v>
      </c>
      <c r="B158" s="2" t="s">
        <v>74</v>
      </c>
      <c r="F158" s="6">
        <v>0</v>
      </c>
      <c r="G158" s="2">
        <f ca="1">COUNTIF(INDIRECT(_xlfn.CONCAT("Data!$B$2:", ADDRESS(51,COUNTA(Data!$1:$1)+1,1,1))), Songs!A158) + F158</f>
        <v>5</v>
      </c>
      <c r="H158" s="8"/>
      <c r="I158" s="8"/>
      <c r="J158" s="8" cm="1">
        <f t="array" ref="J158">51 - MAX(IF(NOT(ISNA(K158:BB158)),K158:BB158))</f>
        <v>24</v>
      </c>
      <c r="K158" t="e">
        <f>_xlfn.IFNA(51-MATCH(Songs!$A158,Data!G$2:G$51,0),NA())</f>
        <v>#N/A</v>
      </c>
      <c r="L158" t="e">
        <f>_xlfn.IFNA(51-MATCH(Songs!$A158,Data!H$2:H$51,0),NA())</f>
        <v>#N/A</v>
      </c>
      <c r="M158" t="e">
        <f>_xlfn.IFNA(51-MATCH(Songs!$A158,Data!I$2:I$51,0),NA())</f>
        <v>#N/A</v>
      </c>
      <c r="N158" t="e">
        <f>_xlfn.IFNA(51-MATCH(Songs!$A158,Data!J$2:J$51,0),NA())</f>
        <v>#N/A</v>
      </c>
      <c r="O158" t="e">
        <f>_xlfn.IFNA(51-MATCH(Songs!$A158,Data!K$2:K$51,0),NA())</f>
        <v>#N/A</v>
      </c>
      <c r="P158" t="e">
        <f>_xlfn.IFNA(51-MATCH(Songs!$A158,Data!L$2:L$51,0),NA())</f>
        <v>#N/A</v>
      </c>
      <c r="Q158" t="e">
        <f>_xlfn.IFNA(51-MATCH(Songs!$A158,Data!M$2:M$51,0),NA())</f>
        <v>#N/A</v>
      </c>
      <c r="R158" t="e">
        <f>_xlfn.IFNA(51-MATCH(Songs!$A158,Data!N$2:N$51,0),NA())</f>
        <v>#N/A</v>
      </c>
      <c r="S158" t="e">
        <f>_xlfn.IFNA(51-MATCH(Songs!$A158,Data!O$2:O$51,0),NA())</f>
        <v>#N/A</v>
      </c>
      <c r="T158" t="e">
        <f>_xlfn.IFNA(51-MATCH(Songs!$A158,Data!P$2:P$51,0),NA())</f>
        <v>#N/A</v>
      </c>
      <c r="U158" t="e">
        <f>_xlfn.IFNA(51-MATCH(Songs!$A158,Data!Q$2:Q$51,0),NA())</f>
        <v>#N/A</v>
      </c>
      <c r="V158" t="e">
        <f>_xlfn.IFNA(51-MATCH(Songs!$A158,Data!R$2:R$51,0),NA())</f>
        <v>#N/A</v>
      </c>
      <c r="W158" t="e">
        <f>_xlfn.IFNA(51-MATCH(Songs!$A158,Data!S$2:S$51,0),NA())</f>
        <v>#N/A</v>
      </c>
      <c r="X158" t="e">
        <f>_xlfn.IFNA(51-MATCH(Songs!$A158,Data!T$2:T$51,0),NA())</f>
        <v>#N/A</v>
      </c>
      <c r="Y158" t="e">
        <f>_xlfn.IFNA(51-MATCH(Songs!$A158,Data!U$2:U$51,0),NA())</f>
        <v>#N/A</v>
      </c>
      <c r="Z158" t="e">
        <f>_xlfn.IFNA(51-MATCH(Songs!$A158,Data!V$2:V$51,0),NA())</f>
        <v>#N/A</v>
      </c>
      <c r="AA158" t="e">
        <f>_xlfn.IFNA(51-MATCH(Songs!$A158,Data!W$2:W$51,0),NA())</f>
        <v>#N/A</v>
      </c>
      <c r="AB158" t="e">
        <f>_xlfn.IFNA(51-MATCH(Songs!$A158,Data!X$2:X$51,0),NA())</f>
        <v>#N/A</v>
      </c>
      <c r="AC158" t="e">
        <f>_xlfn.IFNA(51-MATCH(Songs!$A158,Data!Y$2:Y$51,0),NA())</f>
        <v>#N/A</v>
      </c>
      <c r="AD158" t="e">
        <f>_xlfn.IFNA(51-MATCH(Songs!$A158,Data!Z$2:Z$51,0),NA())</f>
        <v>#N/A</v>
      </c>
      <c r="AE158">
        <f>_xlfn.IFNA(51-MATCH(Songs!$A158,Data!AA$2:AA$51,0),NA())</f>
        <v>27</v>
      </c>
      <c r="AF158">
        <f>_xlfn.IFNA(51-MATCH(Songs!$A158,Data!AB$2:AB$51,0),NA())</f>
        <v>26</v>
      </c>
      <c r="AG158">
        <f>_xlfn.IFNA(51-MATCH(Songs!$A158,Data!AC$2:AC$51,0),NA())</f>
        <v>24</v>
      </c>
      <c r="AH158">
        <f>_xlfn.IFNA(51-MATCH(Songs!$A158,Data!AD$2:AD$51,0),NA())</f>
        <v>16</v>
      </c>
      <c r="AI158">
        <f>_xlfn.IFNA(51-MATCH(Songs!$A158,Data!AE$2:AE$51,0),NA())</f>
        <v>9</v>
      </c>
    </row>
    <row r="159" spans="1:35" ht="15.75" customHeight="1" x14ac:dyDescent="0.25">
      <c r="A159" s="6" t="s">
        <v>316</v>
      </c>
      <c r="B159" s="2" t="s">
        <v>74</v>
      </c>
      <c r="D159" t="s">
        <v>327</v>
      </c>
      <c r="F159" s="6">
        <v>0</v>
      </c>
      <c r="G159" s="2">
        <f ca="1">COUNTIF(INDIRECT(_xlfn.CONCAT("Data!$B$2:", ADDRESS(51,COUNTA(Data!$1:$1)+1,1,1))), Songs!A159) + F159</f>
        <v>5</v>
      </c>
      <c r="H159" s="8"/>
      <c r="I159" s="8"/>
      <c r="J159" s="8" cm="1">
        <f t="array" ref="J159">51 - MAX(IF(NOT(ISNA(K159:BB159)),K159:BB159))</f>
        <v>26</v>
      </c>
      <c r="K159" t="e">
        <f>_xlfn.IFNA(51-MATCH(Songs!$A159,Data!G$2:G$51,0),NA())</f>
        <v>#N/A</v>
      </c>
      <c r="L159" t="e">
        <f>_xlfn.IFNA(51-MATCH(Songs!$A159,Data!H$2:H$51,0),NA())</f>
        <v>#N/A</v>
      </c>
      <c r="M159" t="e">
        <f>_xlfn.IFNA(51-MATCH(Songs!$A159,Data!I$2:I$51,0),NA())</f>
        <v>#N/A</v>
      </c>
      <c r="N159" t="e">
        <f>_xlfn.IFNA(51-MATCH(Songs!$A159,Data!J$2:J$51,0),NA())</f>
        <v>#N/A</v>
      </c>
      <c r="O159" t="e">
        <f>_xlfn.IFNA(51-MATCH(Songs!$A159,Data!K$2:K$51,0),NA())</f>
        <v>#N/A</v>
      </c>
      <c r="P159" t="e">
        <f>_xlfn.IFNA(51-MATCH(Songs!$A159,Data!L$2:L$51,0),NA())</f>
        <v>#N/A</v>
      </c>
      <c r="Q159" t="e">
        <f>_xlfn.IFNA(51-MATCH(Songs!$A159,Data!M$2:M$51,0),NA())</f>
        <v>#N/A</v>
      </c>
      <c r="R159" t="e">
        <f>_xlfn.IFNA(51-MATCH(Songs!$A159,Data!N$2:N$51,0),NA())</f>
        <v>#N/A</v>
      </c>
      <c r="S159" t="e">
        <f>_xlfn.IFNA(51-MATCH(Songs!$A159,Data!O$2:O$51,0),NA())</f>
        <v>#N/A</v>
      </c>
      <c r="T159" t="e">
        <f>_xlfn.IFNA(51-MATCH(Songs!$A159,Data!P$2:P$51,0),NA())</f>
        <v>#N/A</v>
      </c>
      <c r="U159" t="e">
        <f>_xlfn.IFNA(51-MATCH(Songs!$A159,Data!Q$2:Q$51,0),NA())</f>
        <v>#N/A</v>
      </c>
      <c r="V159" t="e">
        <f>_xlfn.IFNA(51-MATCH(Songs!$A159,Data!R$2:R$51,0),NA())</f>
        <v>#N/A</v>
      </c>
      <c r="W159" t="e">
        <f>_xlfn.IFNA(51-MATCH(Songs!$A159,Data!S$2:S$51,0),NA())</f>
        <v>#N/A</v>
      </c>
      <c r="X159" t="e">
        <f>_xlfn.IFNA(51-MATCH(Songs!$A159,Data!T$2:T$51,0),NA())</f>
        <v>#N/A</v>
      </c>
      <c r="Y159" t="e">
        <f>_xlfn.IFNA(51-MATCH(Songs!$A159,Data!U$2:U$51,0),NA())</f>
        <v>#N/A</v>
      </c>
      <c r="Z159" t="e">
        <f>_xlfn.IFNA(51-MATCH(Songs!$A159,Data!V$2:V$51,0),NA())</f>
        <v>#N/A</v>
      </c>
      <c r="AA159" t="e">
        <f>_xlfn.IFNA(51-MATCH(Songs!$A159,Data!W$2:W$51,0),NA())</f>
        <v>#N/A</v>
      </c>
      <c r="AB159" t="e">
        <f>_xlfn.IFNA(51-MATCH(Songs!$A159,Data!X$2:X$51,0),NA())</f>
        <v>#N/A</v>
      </c>
      <c r="AC159" t="e">
        <f>_xlfn.IFNA(51-MATCH(Songs!$A159,Data!Y$2:Y$51,0),NA())</f>
        <v>#N/A</v>
      </c>
      <c r="AD159" t="e">
        <f>_xlfn.IFNA(51-MATCH(Songs!$A159,Data!Z$2:Z$51,0),NA())</f>
        <v>#N/A</v>
      </c>
      <c r="AE159">
        <f>_xlfn.IFNA(51-MATCH(Songs!$A159,Data!AA$2:AA$51,0),NA())</f>
        <v>25</v>
      </c>
      <c r="AF159">
        <f>_xlfn.IFNA(51-MATCH(Songs!$A159,Data!AB$2:AB$51,0),NA())</f>
        <v>22</v>
      </c>
      <c r="AG159">
        <f>_xlfn.IFNA(51-MATCH(Songs!$A159,Data!AC$2:AC$51,0),NA())</f>
        <v>22</v>
      </c>
      <c r="AH159">
        <f>_xlfn.IFNA(51-MATCH(Songs!$A159,Data!AD$2:AD$51,0),NA())</f>
        <v>10</v>
      </c>
      <c r="AI159">
        <f>_xlfn.IFNA(51-MATCH(Songs!$A159,Data!AE$2:AE$51,0),NA())</f>
        <v>3</v>
      </c>
    </row>
    <row r="160" spans="1:35" ht="15.75" customHeight="1" x14ac:dyDescent="0.25">
      <c r="A160" s="6" t="s">
        <v>317</v>
      </c>
      <c r="B160" s="2" t="s">
        <v>74</v>
      </c>
      <c r="F160" s="6">
        <v>0</v>
      </c>
      <c r="G160" s="2">
        <f ca="1">COUNTIF(INDIRECT(_xlfn.CONCAT("Data!$B$2:", ADDRESS(51,COUNTA(Data!$1:$1)+1,1,1))), Songs!A160) + F160</f>
        <v>2</v>
      </c>
      <c r="H160" s="8"/>
      <c r="I160" s="8"/>
      <c r="J160" s="8" cm="1">
        <f t="array" ref="J160">51 - MAX(IF(NOT(ISNA(K160:BB160)),K160:BB160))</f>
        <v>27</v>
      </c>
      <c r="K160" t="e">
        <f>_xlfn.IFNA(51-MATCH(Songs!$A160,Data!G$2:G$51,0),NA())</f>
        <v>#N/A</v>
      </c>
      <c r="L160" t="e">
        <f>_xlfn.IFNA(51-MATCH(Songs!$A160,Data!H$2:H$51,0),NA())</f>
        <v>#N/A</v>
      </c>
      <c r="M160" t="e">
        <f>_xlfn.IFNA(51-MATCH(Songs!$A160,Data!I$2:I$51,0),NA())</f>
        <v>#N/A</v>
      </c>
      <c r="N160" t="e">
        <f>_xlfn.IFNA(51-MATCH(Songs!$A160,Data!J$2:J$51,0),NA())</f>
        <v>#N/A</v>
      </c>
      <c r="O160" t="e">
        <f>_xlfn.IFNA(51-MATCH(Songs!$A160,Data!K$2:K$51,0),NA())</f>
        <v>#N/A</v>
      </c>
      <c r="P160" t="e">
        <f>_xlfn.IFNA(51-MATCH(Songs!$A160,Data!L$2:L$51,0),NA())</f>
        <v>#N/A</v>
      </c>
      <c r="Q160" t="e">
        <f>_xlfn.IFNA(51-MATCH(Songs!$A160,Data!M$2:M$51,0),NA())</f>
        <v>#N/A</v>
      </c>
      <c r="R160" t="e">
        <f>_xlfn.IFNA(51-MATCH(Songs!$A160,Data!N$2:N$51,0),NA())</f>
        <v>#N/A</v>
      </c>
      <c r="S160" t="e">
        <f>_xlfn.IFNA(51-MATCH(Songs!$A160,Data!O$2:O$51,0),NA())</f>
        <v>#N/A</v>
      </c>
      <c r="T160" t="e">
        <f>_xlfn.IFNA(51-MATCH(Songs!$A160,Data!P$2:P$51,0),NA())</f>
        <v>#N/A</v>
      </c>
      <c r="U160" t="e">
        <f>_xlfn.IFNA(51-MATCH(Songs!$A160,Data!Q$2:Q$51,0),NA())</f>
        <v>#N/A</v>
      </c>
      <c r="V160" t="e">
        <f>_xlfn.IFNA(51-MATCH(Songs!$A160,Data!R$2:R$51,0),NA())</f>
        <v>#N/A</v>
      </c>
      <c r="W160" t="e">
        <f>_xlfn.IFNA(51-MATCH(Songs!$A160,Data!S$2:S$51,0),NA())</f>
        <v>#N/A</v>
      </c>
      <c r="X160" t="e">
        <f>_xlfn.IFNA(51-MATCH(Songs!$A160,Data!T$2:T$51,0),NA())</f>
        <v>#N/A</v>
      </c>
      <c r="Y160" t="e">
        <f>_xlfn.IFNA(51-MATCH(Songs!$A160,Data!U$2:U$51,0),NA())</f>
        <v>#N/A</v>
      </c>
      <c r="Z160" t="e">
        <f>_xlfn.IFNA(51-MATCH(Songs!$A160,Data!V$2:V$51,0),NA())</f>
        <v>#N/A</v>
      </c>
      <c r="AA160" t="e">
        <f>_xlfn.IFNA(51-MATCH(Songs!$A160,Data!W$2:W$51,0),NA())</f>
        <v>#N/A</v>
      </c>
      <c r="AB160" t="e">
        <f>_xlfn.IFNA(51-MATCH(Songs!$A160,Data!X$2:X$51,0),NA())</f>
        <v>#N/A</v>
      </c>
      <c r="AC160" t="e">
        <f>_xlfn.IFNA(51-MATCH(Songs!$A160,Data!Y$2:Y$51,0),NA())</f>
        <v>#N/A</v>
      </c>
      <c r="AD160" t="e">
        <f>_xlfn.IFNA(51-MATCH(Songs!$A160,Data!Z$2:Z$51,0),NA())</f>
        <v>#N/A</v>
      </c>
      <c r="AE160">
        <f>_xlfn.IFNA(51-MATCH(Songs!$A160,Data!AA$2:AA$51,0),NA())</f>
        <v>24</v>
      </c>
      <c r="AF160">
        <f>_xlfn.IFNA(51-MATCH(Songs!$A160,Data!AB$2:AB$51,0),NA())</f>
        <v>4</v>
      </c>
      <c r="AG160" t="e">
        <f>_xlfn.IFNA(51-MATCH(Songs!$A160,Data!AC$2:AC$51,0),NA())</f>
        <v>#N/A</v>
      </c>
      <c r="AH160" t="e">
        <f>_xlfn.IFNA(51-MATCH(Songs!$A160,Data!AD$2:AD$51,0),NA())</f>
        <v>#N/A</v>
      </c>
      <c r="AI160" t="e">
        <f>_xlfn.IFNA(51-MATCH(Songs!$A160,Data!AE$2:AE$51,0),NA())</f>
        <v>#N/A</v>
      </c>
    </row>
    <row r="161" spans="1:35" ht="15.75" customHeight="1" x14ac:dyDescent="0.25">
      <c r="A161" s="6" t="s">
        <v>318</v>
      </c>
      <c r="B161" s="2" t="s">
        <v>74</v>
      </c>
      <c r="F161" s="6">
        <v>0</v>
      </c>
      <c r="G161" s="2">
        <f ca="1">COUNTIF(INDIRECT(_xlfn.CONCAT("Data!$B$2:", ADDRESS(51,COUNTA(Data!$1:$1)+1,1,1))), Songs!A161) + F161</f>
        <v>2</v>
      </c>
      <c r="H161" s="8"/>
      <c r="I161" s="8"/>
      <c r="J161" s="8" cm="1">
        <f t="array" ref="J161">51 - MAX(IF(NOT(ISNA(K161:BB161)),K161:BB161))</f>
        <v>28</v>
      </c>
      <c r="K161" t="e">
        <f>_xlfn.IFNA(51-MATCH(Songs!$A161,Data!G$2:G$51,0),NA())</f>
        <v>#N/A</v>
      </c>
      <c r="L161" t="e">
        <f>_xlfn.IFNA(51-MATCH(Songs!$A161,Data!H$2:H$51,0),NA())</f>
        <v>#N/A</v>
      </c>
      <c r="M161" t="e">
        <f>_xlfn.IFNA(51-MATCH(Songs!$A161,Data!I$2:I$51,0),NA())</f>
        <v>#N/A</v>
      </c>
      <c r="N161" t="e">
        <f>_xlfn.IFNA(51-MATCH(Songs!$A161,Data!J$2:J$51,0),NA())</f>
        <v>#N/A</v>
      </c>
      <c r="O161" t="e">
        <f>_xlfn.IFNA(51-MATCH(Songs!$A161,Data!K$2:K$51,0),NA())</f>
        <v>#N/A</v>
      </c>
      <c r="P161" t="e">
        <f>_xlfn.IFNA(51-MATCH(Songs!$A161,Data!L$2:L$51,0),NA())</f>
        <v>#N/A</v>
      </c>
      <c r="Q161" t="e">
        <f>_xlfn.IFNA(51-MATCH(Songs!$A161,Data!M$2:M$51,0),NA())</f>
        <v>#N/A</v>
      </c>
      <c r="R161" t="e">
        <f>_xlfn.IFNA(51-MATCH(Songs!$A161,Data!N$2:N$51,0),NA())</f>
        <v>#N/A</v>
      </c>
      <c r="S161" t="e">
        <f>_xlfn.IFNA(51-MATCH(Songs!$A161,Data!O$2:O$51,0),NA())</f>
        <v>#N/A</v>
      </c>
      <c r="T161" t="e">
        <f>_xlfn.IFNA(51-MATCH(Songs!$A161,Data!P$2:P$51,0),NA())</f>
        <v>#N/A</v>
      </c>
      <c r="U161" t="e">
        <f>_xlfn.IFNA(51-MATCH(Songs!$A161,Data!Q$2:Q$51,0),NA())</f>
        <v>#N/A</v>
      </c>
      <c r="V161" t="e">
        <f>_xlfn.IFNA(51-MATCH(Songs!$A161,Data!R$2:R$51,0),NA())</f>
        <v>#N/A</v>
      </c>
      <c r="W161" t="e">
        <f>_xlfn.IFNA(51-MATCH(Songs!$A161,Data!S$2:S$51,0),NA())</f>
        <v>#N/A</v>
      </c>
      <c r="X161" t="e">
        <f>_xlfn.IFNA(51-MATCH(Songs!$A161,Data!T$2:T$51,0),NA())</f>
        <v>#N/A</v>
      </c>
      <c r="Y161" t="e">
        <f>_xlfn.IFNA(51-MATCH(Songs!$A161,Data!U$2:U$51,0),NA())</f>
        <v>#N/A</v>
      </c>
      <c r="Z161" t="e">
        <f>_xlfn.IFNA(51-MATCH(Songs!$A161,Data!V$2:V$51,0),NA())</f>
        <v>#N/A</v>
      </c>
      <c r="AA161" t="e">
        <f>_xlfn.IFNA(51-MATCH(Songs!$A161,Data!W$2:W$51,0),NA())</f>
        <v>#N/A</v>
      </c>
      <c r="AB161" t="e">
        <f>_xlfn.IFNA(51-MATCH(Songs!$A161,Data!X$2:X$51,0),NA())</f>
        <v>#N/A</v>
      </c>
      <c r="AC161" t="e">
        <f>_xlfn.IFNA(51-MATCH(Songs!$A161,Data!Y$2:Y$51,0),NA())</f>
        <v>#N/A</v>
      </c>
      <c r="AD161" t="e">
        <f>_xlfn.IFNA(51-MATCH(Songs!$A161,Data!Z$2:Z$51,0),NA())</f>
        <v>#N/A</v>
      </c>
      <c r="AE161">
        <f>_xlfn.IFNA(51-MATCH(Songs!$A161,Data!AA$2:AA$51,0),NA())</f>
        <v>23</v>
      </c>
      <c r="AF161">
        <f>_xlfn.IFNA(51-MATCH(Songs!$A161,Data!AB$2:AB$51,0),NA())</f>
        <v>7</v>
      </c>
      <c r="AG161" t="e">
        <f>_xlfn.IFNA(51-MATCH(Songs!$A161,Data!AC$2:AC$51,0),NA())</f>
        <v>#N/A</v>
      </c>
      <c r="AH161" t="e">
        <f>_xlfn.IFNA(51-MATCH(Songs!$A161,Data!AD$2:AD$51,0),NA())</f>
        <v>#N/A</v>
      </c>
      <c r="AI161" t="e">
        <f>_xlfn.IFNA(51-MATCH(Songs!$A161,Data!AE$2:AE$51,0),NA())</f>
        <v>#N/A</v>
      </c>
    </row>
    <row r="162" spans="1:35" ht="15.75" customHeight="1" x14ac:dyDescent="0.25">
      <c r="A162" s="6" t="s">
        <v>319</v>
      </c>
      <c r="B162" s="2" t="s">
        <v>74</v>
      </c>
      <c r="D162" t="s">
        <v>328</v>
      </c>
      <c r="F162" s="6">
        <v>0</v>
      </c>
      <c r="G162" s="2">
        <f ca="1">COUNTIF(INDIRECT(_xlfn.CONCAT("Data!$B$2:", ADDRESS(51,COUNTA(Data!$1:$1)+1,1,1))), Songs!A162) + F162</f>
        <v>1</v>
      </c>
      <c r="H162" s="8"/>
      <c r="I162" s="8"/>
      <c r="J162" s="8" cm="1">
        <f t="array" ref="J162">51 - MAX(IF(NOT(ISNA(K162:BB162)),K162:BB162))</f>
        <v>31</v>
      </c>
      <c r="K162" t="e">
        <f>_xlfn.IFNA(51-MATCH(Songs!$A162,Data!G$2:G$51,0),NA())</f>
        <v>#N/A</v>
      </c>
      <c r="L162" t="e">
        <f>_xlfn.IFNA(51-MATCH(Songs!$A162,Data!H$2:H$51,0),NA())</f>
        <v>#N/A</v>
      </c>
      <c r="M162" t="e">
        <f>_xlfn.IFNA(51-MATCH(Songs!$A162,Data!I$2:I$51,0),NA())</f>
        <v>#N/A</v>
      </c>
      <c r="N162" t="e">
        <f>_xlfn.IFNA(51-MATCH(Songs!$A162,Data!J$2:J$51,0),NA())</f>
        <v>#N/A</v>
      </c>
      <c r="O162" t="e">
        <f>_xlfn.IFNA(51-MATCH(Songs!$A162,Data!K$2:K$51,0),NA())</f>
        <v>#N/A</v>
      </c>
      <c r="P162" t="e">
        <f>_xlfn.IFNA(51-MATCH(Songs!$A162,Data!L$2:L$51,0),NA())</f>
        <v>#N/A</v>
      </c>
      <c r="Q162" t="e">
        <f>_xlfn.IFNA(51-MATCH(Songs!$A162,Data!M$2:M$51,0),NA())</f>
        <v>#N/A</v>
      </c>
      <c r="R162" t="e">
        <f>_xlfn.IFNA(51-MATCH(Songs!$A162,Data!N$2:N$51,0),NA())</f>
        <v>#N/A</v>
      </c>
      <c r="S162" t="e">
        <f>_xlfn.IFNA(51-MATCH(Songs!$A162,Data!O$2:O$51,0),NA())</f>
        <v>#N/A</v>
      </c>
      <c r="T162" t="e">
        <f>_xlfn.IFNA(51-MATCH(Songs!$A162,Data!P$2:P$51,0),NA())</f>
        <v>#N/A</v>
      </c>
      <c r="U162" t="e">
        <f>_xlfn.IFNA(51-MATCH(Songs!$A162,Data!Q$2:Q$51,0),NA())</f>
        <v>#N/A</v>
      </c>
      <c r="V162" t="e">
        <f>_xlfn.IFNA(51-MATCH(Songs!$A162,Data!R$2:R$51,0),NA())</f>
        <v>#N/A</v>
      </c>
      <c r="W162" t="e">
        <f>_xlfn.IFNA(51-MATCH(Songs!$A162,Data!S$2:S$51,0),NA())</f>
        <v>#N/A</v>
      </c>
      <c r="X162" t="e">
        <f>_xlfn.IFNA(51-MATCH(Songs!$A162,Data!T$2:T$51,0),NA())</f>
        <v>#N/A</v>
      </c>
      <c r="Y162" t="e">
        <f>_xlfn.IFNA(51-MATCH(Songs!$A162,Data!U$2:U$51,0),NA())</f>
        <v>#N/A</v>
      </c>
      <c r="Z162" t="e">
        <f>_xlfn.IFNA(51-MATCH(Songs!$A162,Data!V$2:V$51,0),NA())</f>
        <v>#N/A</v>
      </c>
      <c r="AA162" t="e">
        <f>_xlfn.IFNA(51-MATCH(Songs!$A162,Data!W$2:W$51,0),NA())</f>
        <v>#N/A</v>
      </c>
      <c r="AB162" t="e">
        <f>_xlfn.IFNA(51-MATCH(Songs!$A162,Data!X$2:X$51,0),NA())</f>
        <v>#N/A</v>
      </c>
      <c r="AC162" t="e">
        <f>_xlfn.IFNA(51-MATCH(Songs!$A162,Data!Y$2:Y$51,0),NA())</f>
        <v>#N/A</v>
      </c>
      <c r="AD162" t="e">
        <f>_xlfn.IFNA(51-MATCH(Songs!$A162,Data!Z$2:Z$51,0),NA())</f>
        <v>#N/A</v>
      </c>
      <c r="AE162">
        <f>_xlfn.IFNA(51-MATCH(Songs!$A162,Data!AA$2:AA$51,0),NA())</f>
        <v>20</v>
      </c>
      <c r="AF162" t="e">
        <f>_xlfn.IFNA(51-MATCH(Songs!$A162,Data!AB$2:AB$51,0),NA())</f>
        <v>#N/A</v>
      </c>
      <c r="AG162" t="e">
        <f>_xlfn.IFNA(51-MATCH(Songs!$A162,Data!AC$2:AC$51,0),NA())</f>
        <v>#N/A</v>
      </c>
      <c r="AH162" t="e">
        <f>_xlfn.IFNA(51-MATCH(Songs!$A162,Data!AD$2:AD$51,0),NA())</f>
        <v>#N/A</v>
      </c>
      <c r="AI162" t="e">
        <f>_xlfn.IFNA(51-MATCH(Songs!$A162,Data!AE$2:AE$51,0),NA())</f>
        <v>#N/A</v>
      </c>
    </row>
    <row r="163" spans="1:35" ht="15.75" customHeight="1" x14ac:dyDescent="0.25">
      <c r="A163" s="6" t="s">
        <v>320</v>
      </c>
      <c r="B163" s="2" t="s">
        <v>74</v>
      </c>
      <c r="F163" s="6">
        <v>0</v>
      </c>
      <c r="G163" s="2">
        <f ca="1">COUNTIF(INDIRECT(_xlfn.CONCAT("Data!$B$2:", ADDRESS(51,COUNTA(Data!$1:$1)+1,1,1))), Songs!A163) + F163</f>
        <v>1</v>
      </c>
      <c r="H163" s="8"/>
      <c r="I163" s="8"/>
      <c r="J163" s="8" cm="1">
        <f t="array" ref="J163">51 - MAX(IF(NOT(ISNA(K163:BB163)),K163:BB163))</f>
        <v>37</v>
      </c>
      <c r="K163" t="e">
        <f>_xlfn.IFNA(51-MATCH(Songs!$A163,Data!G$2:G$51,0),NA())</f>
        <v>#N/A</v>
      </c>
      <c r="L163" t="e">
        <f>_xlfn.IFNA(51-MATCH(Songs!$A163,Data!H$2:H$51,0),NA())</f>
        <v>#N/A</v>
      </c>
      <c r="M163" t="e">
        <f>_xlfn.IFNA(51-MATCH(Songs!$A163,Data!I$2:I$51,0),NA())</f>
        <v>#N/A</v>
      </c>
      <c r="N163" t="e">
        <f>_xlfn.IFNA(51-MATCH(Songs!$A163,Data!J$2:J$51,0),NA())</f>
        <v>#N/A</v>
      </c>
      <c r="O163" t="e">
        <f>_xlfn.IFNA(51-MATCH(Songs!$A163,Data!K$2:K$51,0),NA())</f>
        <v>#N/A</v>
      </c>
      <c r="P163" t="e">
        <f>_xlfn.IFNA(51-MATCH(Songs!$A163,Data!L$2:L$51,0),NA())</f>
        <v>#N/A</v>
      </c>
      <c r="Q163" t="e">
        <f>_xlfn.IFNA(51-MATCH(Songs!$A163,Data!M$2:M$51,0),NA())</f>
        <v>#N/A</v>
      </c>
      <c r="R163" t="e">
        <f>_xlfn.IFNA(51-MATCH(Songs!$A163,Data!N$2:N$51,0),NA())</f>
        <v>#N/A</v>
      </c>
      <c r="S163" t="e">
        <f>_xlfn.IFNA(51-MATCH(Songs!$A163,Data!O$2:O$51,0),NA())</f>
        <v>#N/A</v>
      </c>
      <c r="T163" t="e">
        <f>_xlfn.IFNA(51-MATCH(Songs!$A163,Data!P$2:P$51,0),NA())</f>
        <v>#N/A</v>
      </c>
      <c r="U163" t="e">
        <f>_xlfn.IFNA(51-MATCH(Songs!$A163,Data!Q$2:Q$51,0),NA())</f>
        <v>#N/A</v>
      </c>
      <c r="V163" t="e">
        <f>_xlfn.IFNA(51-MATCH(Songs!$A163,Data!R$2:R$51,0),NA())</f>
        <v>#N/A</v>
      </c>
      <c r="W163" t="e">
        <f>_xlfn.IFNA(51-MATCH(Songs!$A163,Data!S$2:S$51,0),NA())</f>
        <v>#N/A</v>
      </c>
      <c r="X163" t="e">
        <f>_xlfn.IFNA(51-MATCH(Songs!$A163,Data!T$2:T$51,0),NA())</f>
        <v>#N/A</v>
      </c>
      <c r="Y163" t="e">
        <f>_xlfn.IFNA(51-MATCH(Songs!$A163,Data!U$2:U$51,0),NA())</f>
        <v>#N/A</v>
      </c>
      <c r="Z163" t="e">
        <f>_xlfn.IFNA(51-MATCH(Songs!$A163,Data!V$2:V$51,0),NA())</f>
        <v>#N/A</v>
      </c>
      <c r="AA163" t="e">
        <f>_xlfn.IFNA(51-MATCH(Songs!$A163,Data!W$2:W$51,0),NA())</f>
        <v>#N/A</v>
      </c>
      <c r="AB163" t="e">
        <f>_xlfn.IFNA(51-MATCH(Songs!$A163,Data!X$2:X$51,0),NA())</f>
        <v>#N/A</v>
      </c>
      <c r="AC163" t="e">
        <f>_xlfn.IFNA(51-MATCH(Songs!$A163,Data!Y$2:Y$51,0),NA())</f>
        <v>#N/A</v>
      </c>
      <c r="AD163" t="e">
        <f>_xlfn.IFNA(51-MATCH(Songs!$A163,Data!Z$2:Z$51,0),NA())</f>
        <v>#N/A</v>
      </c>
      <c r="AE163">
        <f>_xlfn.IFNA(51-MATCH(Songs!$A163,Data!AA$2:AA$51,0),NA())</f>
        <v>14</v>
      </c>
      <c r="AF163" t="e">
        <f>_xlfn.IFNA(51-MATCH(Songs!$A163,Data!AB$2:AB$51,0),NA())</f>
        <v>#N/A</v>
      </c>
      <c r="AG163" t="e">
        <f>_xlfn.IFNA(51-MATCH(Songs!$A163,Data!AC$2:AC$51,0),NA())</f>
        <v>#N/A</v>
      </c>
      <c r="AH163" t="e">
        <f>_xlfn.IFNA(51-MATCH(Songs!$A163,Data!AD$2:AD$51,0),NA())</f>
        <v>#N/A</v>
      </c>
      <c r="AI163" t="e">
        <f>_xlfn.IFNA(51-MATCH(Songs!$A163,Data!AE$2:AE$51,0),NA())</f>
        <v>#N/A</v>
      </c>
    </row>
    <row r="164" spans="1:35" ht="15.75" customHeight="1" x14ac:dyDescent="0.25">
      <c r="A164" s="6" t="s">
        <v>321</v>
      </c>
      <c r="B164" s="2" t="s">
        <v>74</v>
      </c>
      <c r="F164" s="6">
        <v>0</v>
      </c>
      <c r="G164" s="2">
        <f ca="1">COUNTIF(INDIRECT(_xlfn.CONCAT("Data!$B$2:", ADDRESS(51,COUNTA(Data!$1:$1)+1,1,1))), Songs!A164) + F164</f>
        <v>2</v>
      </c>
      <c r="H164" s="8"/>
      <c r="I164" s="8"/>
      <c r="J164" s="8" cm="1">
        <f t="array" ref="J164">51 - MAX(IF(NOT(ISNA(K164:BB164)),K164:BB164))</f>
        <v>38</v>
      </c>
      <c r="K164" t="e">
        <f>_xlfn.IFNA(51-MATCH(Songs!$A164,Data!G$2:G$51,0),NA())</f>
        <v>#N/A</v>
      </c>
      <c r="L164" t="e">
        <f>_xlfn.IFNA(51-MATCH(Songs!$A164,Data!H$2:H$51,0),NA())</f>
        <v>#N/A</v>
      </c>
      <c r="M164" t="e">
        <f>_xlfn.IFNA(51-MATCH(Songs!$A164,Data!I$2:I$51,0),NA())</f>
        <v>#N/A</v>
      </c>
      <c r="N164" t="e">
        <f>_xlfn.IFNA(51-MATCH(Songs!$A164,Data!J$2:J$51,0),NA())</f>
        <v>#N/A</v>
      </c>
      <c r="O164" t="e">
        <f>_xlfn.IFNA(51-MATCH(Songs!$A164,Data!K$2:K$51,0),NA())</f>
        <v>#N/A</v>
      </c>
      <c r="P164" t="e">
        <f>_xlfn.IFNA(51-MATCH(Songs!$A164,Data!L$2:L$51,0),NA())</f>
        <v>#N/A</v>
      </c>
      <c r="Q164" t="e">
        <f>_xlfn.IFNA(51-MATCH(Songs!$A164,Data!M$2:M$51,0),NA())</f>
        <v>#N/A</v>
      </c>
      <c r="R164" t="e">
        <f>_xlfn.IFNA(51-MATCH(Songs!$A164,Data!N$2:N$51,0),NA())</f>
        <v>#N/A</v>
      </c>
      <c r="S164" t="e">
        <f>_xlfn.IFNA(51-MATCH(Songs!$A164,Data!O$2:O$51,0),NA())</f>
        <v>#N/A</v>
      </c>
      <c r="T164" t="e">
        <f>_xlfn.IFNA(51-MATCH(Songs!$A164,Data!P$2:P$51,0),NA())</f>
        <v>#N/A</v>
      </c>
      <c r="U164" t="e">
        <f>_xlfn.IFNA(51-MATCH(Songs!$A164,Data!Q$2:Q$51,0),NA())</f>
        <v>#N/A</v>
      </c>
      <c r="V164" t="e">
        <f>_xlfn.IFNA(51-MATCH(Songs!$A164,Data!R$2:R$51,0),NA())</f>
        <v>#N/A</v>
      </c>
      <c r="W164" t="e">
        <f>_xlfn.IFNA(51-MATCH(Songs!$A164,Data!S$2:S$51,0),NA())</f>
        <v>#N/A</v>
      </c>
      <c r="X164" t="e">
        <f>_xlfn.IFNA(51-MATCH(Songs!$A164,Data!T$2:T$51,0),NA())</f>
        <v>#N/A</v>
      </c>
      <c r="Y164" t="e">
        <f>_xlfn.IFNA(51-MATCH(Songs!$A164,Data!U$2:U$51,0),NA())</f>
        <v>#N/A</v>
      </c>
      <c r="Z164" t="e">
        <f>_xlfn.IFNA(51-MATCH(Songs!$A164,Data!V$2:V$51,0),NA())</f>
        <v>#N/A</v>
      </c>
      <c r="AA164" t="e">
        <f>_xlfn.IFNA(51-MATCH(Songs!$A164,Data!W$2:W$51,0),NA())</f>
        <v>#N/A</v>
      </c>
      <c r="AB164" t="e">
        <f>_xlfn.IFNA(51-MATCH(Songs!$A164,Data!X$2:X$51,0),NA())</f>
        <v>#N/A</v>
      </c>
      <c r="AC164" t="e">
        <f>_xlfn.IFNA(51-MATCH(Songs!$A164,Data!Y$2:Y$51,0),NA())</f>
        <v>#N/A</v>
      </c>
      <c r="AD164" t="e">
        <f>_xlfn.IFNA(51-MATCH(Songs!$A164,Data!Z$2:Z$51,0),NA())</f>
        <v>#N/A</v>
      </c>
      <c r="AE164">
        <f>_xlfn.IFNA(51-MATCH(Songs!$A164,Data!AA$2:AA$51,0),NA())</f>
        <v>13</v>
      </c>
      <c r="AF164">
        <f>_xlfn.IFNA(51-MATCH(Songs!$A164,Data!AB$2:AB$51,0),NA())</f>
        <v>2</v>
      </c>
      <c r="AG164" t="e">
        <f>_xlfn.IFNA(51-MATCH(Songs!$A164,Data!AC$2:AC$51,0),NA())</f>
        <v>#N/A</v>
      </c>
      <c r="AH164" t="e">
        <f>_xlfn.IFNA(51-MATCH(Songs!$A164,Data!AD$2:AD$51,0),NA())</f>
        <v>#N/A</v>
      </c>
      <c r="AI164" t="e">
        <f>_xlfn.IFNA(51-MATCH(Songs!$A164,Data!AE$2:AE$51,0),NA())</f>
        <v>#N/A</v>
      </c>
    </row>
    <row r="165" spans="1:35" ht="15.75" customHeight="1" x14ac:dyDescent="0.25">
      <c r="A165" s="6" t="s">
        <v>322</v>
      </c>
      <c r="B165" s="2" t="s">
        <v>74</v>
      </c>
      <c r="F165" s="6">
        <v>0</v>
      </c>
      <c r="G165" s="2">
        <f ca="1">COUNTIF(INDIRECT(_xlfn.CONCAT("Data!$B$2:", ADDRESS(51,COUNTA(Data!$1:$1)+1,1,1))), Songs!A165) + F165</f>
        <v>1</v>
      </c>
      <c r="H165" s="8"/>
      <c r="I165" s="8"/>
      <c r="J165" s="8" cm="1">
        <f t="array" ref="J165">51 - MAX(IF(NOT(ISNA(K165:BB165)),K165:BB165))</f>
        <v>39</v>
      </c>
      <c r="K165" t="e">
        <f>_xlfn.IFNA(51-MATCH(Songs!$A165,Data!G$2:G$51,0),NA())</f>
        <v>#N/A</v>
      </c>
      <c r="L165" t="e">
        <f>_xlfn.IFNA(51-MATCH(Songs!$A165,Data!H$2:H$51,0),NA())</f>
        <v>#N/A</v>
      </c>
      <c r="M165" t="e">
        <f>_xlfn.IFNA(51-MATCH(Songs!$A165,Data!I$2:I$51,0),NA())</f>
        <v>#N/A</v>
      </c>
      <c r="N165" t="e">
        <f>_xlfn.IFNA(51-MATCH(Songs!$A165,Data!J$2:J$51,0),NA())</f>
        <v>#N/A</v>
      </c>
      <c r="O165" t="e">
        <f>_xlfn.IFNA(51-MATCH(Songs!$A165,Data!K$2:K$51,0),NA())</f>
        <v>#N/A</v>
      </c>
      <c r="P165" t="e">
        <f>_xlfn.IFNA(51-MATCH(Songs!$A165,Data!L$2:L$51,0),NA())</f>
        <v>#N/A</v>
      </c>
      <c r="Q165" t="e">
        <f>_xlfn.IFNA(51-MATCH(Songs!$A165,Data!M$2:M$51,0),NA())</f>
        <v>#N/A</v>
      </c>
      <c r="R165" t="e">
        <f>_xlfn.IFNA(51-MATCH(Songs!$A165,Data!N$2:N$51,0),NA())</f>
        <v>#N/A</v>
      </c>
      <c r="S165" t="e">
        <f>_xlfn.IFNA(51-MATCH(Songs!$A165,Data!O$2:O$51,0),NA())</f>
        <v>#N/A</v>
      </c>
      <c r="T165" t="e">
        <f>_xlfn.IFNA(51-MATCH(Songs!$A165,Data!P$2:P$51,0),NA())</f>
        <v>#N/A</v>
      </c>
      <c r="U165" t="e">
        <f>_xlfn.IFNA(51-MATCH(Songs!$A165,Data!Q$2:Q$51,0),NA())</f>
        <v>#N/A</v>
      </c>
      <c r="V165" t="e">
        <f>_xlfn.IFNA(51-MATCH(Songs!$A165,Data!R$2:R$51,0),NA())</f>
        <v>#N/A</v>
      </c>
      <c r="W165" t="e">
        <f>_xlfn.IFNA(51-MATCH(Songs!$A165,Data!S$2:S$51,0),NA())</f>
        <v>#N/A</v>
      </c>
      <c r="X165" t="e">
        <f>_xlfn.IFNA(51-MATCH(Songs!$A165,Data!T$2:T$51,0),NA())</f>
        <v>#N/A</v>
      </c>
      <c r="Y165" t="e">
        <f>_xlfn.IFNA(51-MATCH(Songs!$A165,Data!U$2:U$51,0),NA())</f>
        <v>#N/A</v>
      </c>
      <c r="Z165" t="e">
        <f>_xlfn.IFNA(51-MATCH(Songs!$A165,Data!V$2:V$51,0),NA())</f>
        <v>#N/A</v>
      </c>
      <c r="AA165" t="e">
        <f>_xlfn.IFNA(51-MATCH(Songs!$A165,Data!W$2:W$51,0),NA())</f>
        <v>#N/A</v>
      </c>
      <c r="AB165" t="e">
        <f>_xlfn.IFNA(51-MATCH(Songs!$A165,Data!X$2:X$51,0),NA())</f>
        <v>#N/A</v>
      </c>
      <c r="AC165" t="e">
        <f>_xlfn.IFNA(51-MATCH(Songs!$A165,Data!Y$2:Y$51,0),NA())</f>
        <v>#N/A</v>
      </c>
      <c r="AD165" t="e">
        <f>_xlfn.IFNA(51-MATCH(Songs!$A165,Data!Z$2:Z$51,0),NA())</f>
        <v>#N/A</v>
      </c>
      <c r="AE165">
        <f>_xlfn.IFNA(51-MATCH(Songs!$A165,Data!AA$2:AA$51,0),NA())</f>
        <v>12</v>
      </c>
      <c r="AF165" t="e">
        <f>_xlfn.IFNA(51-MATCH(Songs!$A165,Data!AB$2:AB$51,0),NA())</f>
        <v>#N/A</v>
      </c>
      <c r="AG165" t="e">
        <f>_xlfn.IFNA(51-MATCH(Songs!$A165,Data!AC$2:AC$51,0),NA())</f>
        <v>#N/A</v>
      </c>
      <c r="AH165" t="e">
        <f>_xlfn.IFNA(51-MATCH(Songs!$A165,Data!AD$2:AD$51,0),NA())</f>
        <v>#N/A</v>
      </c>
      <c r="AI165" t="e">
        <f>_xlfn.IFNA(51-MATCH(Songs!$A165,Data!AE$2:AE$51,0),NA())</f>
        <v>#N/A</v>
      </c>
    </row>
    <row r="166" spans="1:35" ht="15.75" customHeight="1" x14ac:dyDescent="0.25">
      <c r="A166" s="6" t="s">
        <v>323</v>
      </c>
      <c r="B166" s="2" t="s">
        <v>74</v>
      </c>
      <c r="F166" s="6">
        <v>0</v>
      </c>
      <c r="G166" s="2">
        <f ca="1">COUNTIF(INDIRECT(_xlfn.CONCAT("Data!$B$2:", ADDRESS(51,COUNTA(Data!$1:$1)+1,1,1))), Songs!A166) + F166</f>
        <v>1</v>
      </c>
      <c r="H166" s="8"/>
      <c r="I166" s="8"/>
      <c r="J166" s="8" cm="1">
        <f t="array" ref="J166">51 - MAX(IF(NOT(ISNA(K166:BB166)),K166:BB166))</f>
        <v>41</v>
      </c>
      <c r="K166" t="e">
        <f>_xlfn.IFNA(51-MATCH(Songs!$A166,Data!G$2:G$51,0),NA())</f>
        <v>#N/A</v>
      </c>
      <c r="L166" t="e">
        <f>_xlfn.IFNA(51-MATCH(Songs!$A166,Data!H$2:H$51,0),NA())</f>
        <v>#N/A</v>
      </c>
      <c r="M166" t="e">
        <f>_xlfn.IFNA(51-MATCH(Songs!$A166,Data!I$2:I$51,0),NA())</f>
        <v>#N/A</v>
      </c>
      <c r="N166" t="e">
        <f>_xlfn.IFNA(51-MATCH(Songs!$A166,Data!J$2:J$51,0),NA())</f>
        <v>#N/A</v>
      </c>
      <c r="O166" t="e">
        <f>_xlfn.IFNA(51-MATCH(Songs!$A166,Data!K$2:K$51,0),NA())</f>
        <v>#N/A</v>
      </c>
      <c r="P166" t="e">
        <f>_xlfn.IFNA(51-MATCH(Songs!$A166,Data!L$2:L$51,0),NA())</f>
        <v>#N/A</v>
      </c>
      <c r="Q166" t="e">
        <f>_xlfn.IFNA(51-MATCH(Songs!$A166,Data!M$2:M$51,0),NA())</f>
        <v>#N/A</v>
      </c>
      <c r="R166" t="e">
        <f>_xlfn.IFNA(51-MATCH(Songs!$A166,Data!N$2:N$51,0),NA())</f>
        <v>#N/A</v>
      </c>
      <c r="S166" t="e">
        <f>_xlfn.IFNA(51-MATCH(Songs!$A166,Data!O$2:O$51,0),NA())</f>
        <v>#N/A</v>
      </c>
      <c r="T166" t="e">
        <f>_xlfn.IFNA(51-MATCH(Songs!$A166,Data!P$2:P$51,0),NA())</f>
        <v>#N/A</v>
      </c>
      <c r="U166" t="e">
        <f>_xlfn.IFNA(51-MATCH(Songs!$A166,Data!Q$2:Q$51,0),NA())</f>
        <v>#N/A</v>
      </c>
      <c r="V166" t="e">
        <f>_xlfn.IFNA(51-MATCH(Songs!$A166,Data!R$2:R$51,0),NA())</f>
        <v>#N/A</v>
      </c>
      <c r="W166" t="e">
        <f>_xlfn.IFNA(51-MATCH(Songs!$A166,Data!S$2:S$51,0),NA())</f>
        <v>#N/A</v>
      </c>
      <c r="X166" t="e">
        <f>_xlfn.IFNA(51-MATCH(Songs!$A166,Data!T$2:T$51,0),NA())</f>
        <v>#N/A</v>
      </c>
      <c r="Y166" t="e">
        <f>_xlfn.IFNA(51-MATCH(Songs!$A166,Data!U$2:U$51,0),NA())</f>
        <v>#N/A</v>
      </c>
      <c r="Z166" t="e">
        <f>_xlfn.IFNA(51-MATCH(Songs!$A166,Data!V$2:V$51,0),NA())</f>
        <v>#N/A</v>
      </c>
      <c r="AA166" t="e">
        <f>_xlfn.IFNA(51-MATCH(Songs!$A166,Data!W$2:W$51,0),NA())</f>
        <v>#N/A</v>
      </c>
      <c r="AB166" t="e">
        <f>_xlfn.IFNA(51-MATCH(Songs!$A166,Data!X$2:X$51,0),NA())</f>
        <v>#N/A</v>
      </c>
      <c r="AC166" t="e">
        <f>_xlfn.IFNA(51-MATCH(Songs!$A166,Data!Y$2:Y$51,0),NA())</f>
        <v>#N/A</v>
      </c>
      <c r="AD166" t="e">
        <f>_xlfn.IFNA(51-MATCH(Songs!$A166,Data!Z$2:Z$51,0),NA())</f>
        <v>#N/A</v>
      </c>
      <c r="AE166">
        <f>_xlfn.IFNA(51-MATCH(Songs!$A166,Data!AA$2:AA$51,0),NA())</f>
        <v>10</v>
      </c>
      <c r="AF166" t="e">
        <f>_xlfn.IFNA(51-MATCH(Songs!$A166,Data!AB$2:AB$51,0),NA())</f>
        <v>#N/A</v>
      </c>
      <c r="AG166" t="e">
        <f>_xlfn.IFNA(51-MATCH(Songs!$A166,Data!AC$2:AC$51,0),NA())</f>
        <v>#N/A</v>
      </c>
      <c r="AH166" t="e">
        <f>_xlfn.IFNA(51-MATCH(Songs!$A166,Data!AD$2:AD$51,0),NA())</f>
        <v>#N/A</v>
      </c>
      <c r="AI166" t="e">
        <f>_xlfn.IFNA(51-MATCH(Songs!$A166,Data!AE$2:AE$51,0),NA())</f>
        <v>#N/A</v>
      </c>
    </row>
    <row r="167" spans="1:35" ht="15.75" customHeight="1" x14ac:dyDescent="0.25">
      <c r="A167" s="6" t="s">
        <v>324</v>
      </c>
      <c r="B167" s="2" t="s">
        <v>74</v>
      </c>
      <c r="F167" s="6">
        <v>0</v>
      </c>
      <c r="G167" s="2">
        <f ca="1">COUNTIF(INDIRECT(_xlfn.CONCAT("Data!$B$2:", ADDRESS(51,COUNTA(Data!$1:$1)+1,1,1))), Songs!A167) + F167</f>
        <v>1</v>
      </c>
      <c r="H167" s="8"/>
      <c r="I167" s="8"/>
      <c r="J167" s="8" cm="1">
        <f t="array" ref="J167">51 - MAX(IF(NOT(ISNA(K167:BB167)),K167:BB167))</f>
        <v>43</v>
      </c>
      <c r="K167" t="e">
        <f>_xlfn.IFNA(51-MATCH(Songs!$A167,Data!G$2:G$51,0),NA())</f>
        <v>#N/A</v>
      </c>
      <c r="L167" t="e">
        <f>_xlfn.IFNA(51-MATCH(Songs!$A167,Data!H$2:H$51,0),NA())</f>
        <v>#N/A</v>
      </c>
      <c r="M167" t="e">
        <f>_xlfn.IFNA(51-MATCH(Songs!$A167,Data!I$2:I$51,0),NA())</f>
        <v>#N/A</v>
      </c>
      <c r="N167" t="e">
        <f>_xlfn.IFNA(51-MATCH(Songs!$A167,Data!J$2:J$51,0),NA())</f>
        <v>#N/A</v>
      </c>
      <c r="O167" t="e">
        <f>_xlfn.IFNA(51-MATCH(Songs!$A167,Data!K$2:K$51,0),NA())</f>
        <v>#N/A</v>
      </c>
      <c r="P167" t="e">
        <f>_xlfn.IFNA(51-MATCH(Songs!$A167,Data!L$2:L$51,0),NA())</f>
        <v>#N/A</v>
      </c>
      <c r="Q167" t="e">
        <f>_xlfn.IFNA(51-MATCH(Songs!$A167,Data!M$2:M$51,0),NA())</f>
        <v>#N/A</v>
      </c>
      <c r="R167" t="e">
        <f>_xlfn.IFNA(51-MATCH(Songs!$A167,Data!N$2:N$51,0),NA())</f>
        <v>#N/A</v>
      </c>
      <c r="S167" t="e">
        <f>_xlfn.IFNA(51-MATCH(Songs!$A167,Data!O$2:O$51,0),NA())</f>
        <v>#N/A</v>
      </c>
      <c r="T167" t="e">
        <f>_xlfn.IFNA(51-MATCH(Songs!$A167,Data!P$2:P$51,0),NA())</f>
        <v>#N/A</v>
      </c>
      <c r="U167" t="e">
        <f>_xlfn.IFNA(51-MATCH(Songs!$A167,Data!Q$2:Q$51,0),NA())</f>
        <v>#N/A</v>
      </c>
      <c r="V167" t="e">
        <f>_xlfn.IFNA(51-MATCH(Songs!$A167,Data!R$2:R$51,0),NA())</f>
        <v>#N/A</v>
      </c>
      <c r="W167" t="e">
        <f>_xlfn.IFNA(51-MATCH(Songs!$A167,Data!S$2:S$51,0),NA())</f>
        <v>#N/A</v>
      </c>
      <c r="X167" t="e">
        <f>_xlfn.IFNA(51-MATCH(Songs!$A167,Data!T$2:T$51,0),NA())</f>
        <v>#N/A</v>
      </c>
      <c r="Y167" t="e">
        <f>_xlfn.IFNA(51-MATCH(Songs!$A167,Data!U$2:U$51,0),NA())</f>
        <v>#N/A</v>
      </c>
      <c r="Z167" t="e">
        <f>_xlfn.IFNA(51-MATCH(Songs!$A167,Data!V$2:V$51,0),NA())</f>
        <v>#N/A</v>
      </c>
      <c r="AA167" t="e">
        <f>_xlfn.IFNA(51-MATCH(Songs!$A167,Data!W$2:W$51,0),NA())</f>
        <v>#N/A</v>
      </c>
      <c r="AB167" t="e">
        <f>_xlfn.IFNA(51-MATCH(Songs!$A167,Data!X$2:X$51,0),NA())</f>
        <v>#N/A</v>
      </c>
      <c r="AC167" t="e">
        <f>_xlfn.IFNA(51-MATCH(Songs!$A167,Data!Y$2:Y$51,0),NA())</f>
        <v>#N/A</v>
      </c>
      <c r="AD167" t="e">
        <f>_xlfn.IFNA(51-MATCH(Songs!$A167,Data!Z$2:Z$51,0),NA())</f>
        <v>#N/A</v>
      </c>
      <c r="AE167">
        <f>_xlfn.IFNA(51-MATCH(Songs!$A167,Data!AA$2:AA$51,0),NA())</f>
        <v>8</v>
      </c>
      <c r="AF167" t="e">
        <f>_xlfn.IFNA(51-MATCH(Songs!$A167,Data!AB$2:AB$51,0),NA())</f>
        <v>#N/A</v>
      </c>
      <c r="AG167" t="e">
        <f>_xlfn.IFNA(51-MATCH(Songs!$A167,Data!AC$2:AC$51,0),NA())</f>
        <v>#N/A</v>
      </c>
      <c r="AH167" t="e">
        <f>_xlfn.IFNA(51-MATCH(Songs!$A167,Data!AD$2:AD$51,0),NA())</f>
        <v>#N/A</v>
      </c>
      <c r="AI167" t="e">
        <f>_xlfn.IFNA(51-MATCH(Songs!$A167,Data!AE$2:AE$51,0),NA())</f>
        <v>#N/A</v>
      </c>
    </row>
    <row r="168" spans="1:35" ht="15.75" customHeight="1" x14ac:dyDescent="0.25">
      <c r="A168" s="6" t="s">
        <v>325</v>
      </c>
      <c r="B168" s="2" t="s">
        <v>74</v>
      </c>
      <c r="F168" s="6">
        <v>0</v>
      </c>
      <c r="G168" s="2">
        <f ca="1">COUNTIF(INDIRECT(_xlfn.CONCAT("Data!$B$2:", ADDRESS(51,COUNTA(Data!$1:$1)+1,1,1))), Songs!A168) + F168</f>
        <v>1</v>
      </c>
      <c r="H168" s="8"/>
      <c r="I168" s="8"/>
      <c r="J168" s="8" cm="1">
        <f t="array" ref="J168">51 - MAX(IF(NOT(ISNA(K168:BB168)),K168:BB168))</f>
        <v>45</v>
      </c>
      <c r="K168" t="e">
        <f>_xlfn.IFNA(51-MATCH(Songs!$A168,Data!G$2:G$51,0),NA())</f>
        <v>#N/A</v>
      </c>
      <c r="L168" t="e">
        <f>_xlfn.IFNA(51-MATCH(Songs!$A168,Data!H$2:H$51,0),NA())</f>
        <v>#N/A</v>
      </c>
      <c r="M168" t="e">
        <f>_xlfn.IFNA(51-MATCH(Songs!$A168,Data!I$2:I$51,0),NA())</f>
        <v>#N/A</v>
      </c>
      <c r="N168" t="e">
        <f>_xlfn.IFNA(51-MATCH(Songs!$A168,Data!J$2:J$51,0),NA())</f>
        <v>#N/A</v>
      </c>
      <c r="O168" t="e">
        <f>_xlfn.IFNA(51-MATCH(Songs!$A168,Data!K$2:K$51,0),NA())</f>
        <v>#N/A</v>
      </c>
      <c r="P168" t="e">
        <f>_xlfn.IFNA(51-MATCH(Songs!$A168,Data!L$2:L$51,0),NA())</f>
        <v>#N/A</v>
      </c>
      <c r="Q168" t="e">
        <f>_xlfn.IFNA(51-MATCH(Songs!$A168,Data!M$2:M$51,0),NA())</f>
        <v>#N/A</v>
      </c>
      <c r="R168" t="e">
        <f>_xlfn.IFNA(51-MATCH(Songs!$A168,Data!N$2:N$51,0),NA())</f>
        <v>#N/A</v>
      </c>
      <c r="S168" t="e">
        <f>_xlfn.IFNA(51-MATCH(Songs!$A168,Data!O$2:O$51,0),NA())</f>
        <v>#N/A</v>
      </c>
      <c r="T168" t="e">
        <f>_xlfn.IFNA(51-MATCH(Songs!$A168,Data!P$2:P$51,0),NA())</f>
        <v>#N/A</v>
      </c>
      <c r="U168" t="e">
        <f>_xlfn.IFNA(51-MATCH(Songs!$A168,Data!Q$2:Q$51,0),NA())</f>
        <v>#N/A</v>
      </c>
      <c r="V168" t="e">
        <f>_xlfn.IFNA(51-MATCH(Songs!$A168,Data!R$2:R$51,0),NA())</f>
        <v>#N/A</v>
      </c>
      <c r="W168" t="e">
        <f>_xlfn.IFNA(51-MATCH(Songs!$A168,Data!S$2:S$51,0),NA())</f>
        <v>#N/A</v>
      </c>
      <c r="X168" t="e">
        <f>_xlfn.IFNA(51-MATCH(Songs!$A168,Data!T$2:T$51,0),NA())</f>
        <v>#N/A</v>
      </c>
      <c r="Y168" t="e">
        <f>_xlfn.IFNA(51-MATCH(Songs!$A168,Data!U$2:U$51,0),NA())</f>
        <v>#N/A</v>
      </c>
      <c r="Z168" t="e">
        <f>_xlfn.IFNA(51-MATCH(Songs!$A168,Data!V$2:V$51,0),NA())</f>
        <v>#N/A</v>
      </c>
      <c r="AA168" t="e">
        <f>_xlfn.IFNA(51-MATCH(Songs!$A168,Data!W$2:W$51,0),NA())</f>
        <v>#N/A</v>
      </c>
      <c r="AB168" t="e">
        <f>_xlfn.IFNA(51-MATCH(Songs!$A168,Data!X$2:X$51,0),NA())</f>
        <v>#N/A</v>
      </c>
      <c r="AC168" t="e">
        <f>_xlfn.IFNA(51-MATCH(Songs!$A168,Data!Y$2:Y$51,0),NA())</f>
        <v>#N/A</v>
      </c>
      <c r="AD168" t="e">
        <f>_xlfn.IFNA(51-MATCH(Songs!$A168,Data!Z$2:Z$51,0),NA())</f>
        <v>#N/A</v>
      </c>
      <c r="AE168">
        <f>_xlfn.IFNA(51-MATCH(Songs!$A168,Data!AA$2:AA$51,0),NA())</f>
        <v>6</v>
      </c>
      <c r="AF168" t="e">
        <f>_xlfn.IFNA(51-MATCH(Songs!$A168,Data!AB$2:AB$51,0),NA())</f>
        <v>#N/A</v>
      </c>
      <c r="AG168" t="e">
        <f>_xlfn.IFNA(51-MATCH(Songs!$A168,Data!AC$2:AC$51,0),NA())</f>
        <v>#N/A</v>
      </c>
      <c r="AH168" t="e">
        <f>_xlfn.IFNA(51-MATCH(Songs!$A168,Data!AD$2:AD$51,0),NA())</f>
        <v>#N/A</v>
      </c>
      <c r="AI168" t="e">
        <f>_xlfn.IFNA(51-MATCH(Songs!$A168,Data!AE$2:AE$51,0),NA())</f>
        <v>#N/A</v>
      </c>
    </row>
    <row r="169" spans="1:35" ht="15.75" customHeight="1" x14ac:dyDescent="0.25">
      <c r="A169" s="6" t="s">
        <v>329</v>
      </c>
      <c r="B169" s="2" t="s">
        <v>104</v>
      </c>
      <c r="F169" s="6">
        <v>0</v>
      </c>
      <c r="G169" s="2">
        <f ca="1">COUNTIF(INDIRECT(_xlfn.CONCAT("Data!$B$2:", ADDRESS(51,COUNTA(Data!$1:$1)+1,1,1))), Songs!A169) + F169</f>
        <v>4</v>
      </c>
      <c r="H169" s="8"/>
      <c r="I169" s="8"/>
      <c r="J169" s="8" cm="1">
        <f t="array" ref="J169">51 - MAX(IF(NOT(ISNA(K169:BB169)),K169:BB169))</f>
        <v>25</v>
      </c>
      <c r="K169" t="e">
        <f>_xlfn.IFNA(51-MATCH(Songs!$A169,Data!G$2:G$51,0),NA())</f>
        <v>#N/A</v>
      </c>
      <c r="L169" t="e">
        <f>_xlfn.IFNA(51-MATCH(Songs!$A169,Data!H$2:H$51,0),NA())</f>
        <v>#N/A</v>
      </c>
      <c r="M169" t="e">
        <f>_xlfn.IFNA(51-MATCH(Songs!$A169,Data!I$2:I$51,0),NA())</f>
        <v>#N/A</v>
      </c>
      <c r="N169" t="e">
        <f>_xlfn.IFNA(51-MATCH(Songs!$A169,Data!J$2:J$51,0),NA())</f>
        <v>#N/A</v>
      </c>
      <c r="O169" t="e">
        <f>_xlfn.IFNA(51-MATCH(Songs!$A169,Data!K$2:K$51,0),NA())</f>
        <v>#N/A</v>
      </c>
      <c r="P169" t="e">
        <f>_xlfn.IFNA(51-MATCH(Songs!$A169,Data!L$2:L$51,0),NA())</f>
        <v>#N/A</v>
      </c>
      <c r="Q169" t="e">
        <f>_xlfn.IFNA(51-MATCH(Songs!$A169,Data!M$2:M$51,0),NA())</f>
        <v>#N/A</v>
      </c>
      <c r="R169" t="e">
        <f>_xlfn.IFNA(51-MATCH(Songs!$A169,Data!N$2:N$51,0),NA())</f>
        <v>#N/A</v>
      </c>
      <c r="S169" t="e">
        <f>_xlfn.IFNA(51-MATCH(Songs!$A169,Data!O$2:O$51,0),NA())</f>
        <v>#N/A</v>
      </c>
      <c r="T169" t="e">
        <f>_xlfn.IFNA(51-MATCH(Songs!$A169,Data!P$2:P$51,0),NA())</f>
        <v>#N/A</v>
      </c>
      <c r="U169" t="e">
        <f>_xlfn.IFNA(51-MATCH(Songs!$A169,Data!Q$2:Q$51,0),NA())</f>
        <v>#N/A</v>
      </c>
      <c r="V169" t="e">
        <f>_xlfn.IFNA(51-MATCH(Songs!$A169,Data!R$2:R$51,0),NA())</f>
        <v>#N/A</v>
      </c>
      <c r="W169" t="e">
        <f>_xlfn.IFNA(51-MATCH(Songs!$A169,Data!S$2:S$51,0),NA())</f>
        <v>#N/A</v>
      </c>
      <c r="X169" t="e">
        <f>_xlfn.IFNA(51-MATCH(Songs!$A169,Data!T$2:T$51,0),NA())</f>
        <v>#N/A</v>
      </c>
      <c r="Y169" t="e">
        <f>_xlfn.IFNA(51-MATCH(Songs!$A169,Data!U$2:U$51,0),NA())</f>
        <v>#N/A</v>
      </c>
      <c r="Z169" t="e">
        <f>_xlfn.IFNA(51-MATCH(Songs!$A169,Data!V$2:V$51,0),NA())</f>
        <v>#N/A</v>
      </c>
      <c r="AA169" t="e">
        <f>_xlfn.IFNA(51-MATCH(Songs!$A169,Data!W$2:W$51,0),NA())</f>
        <v>#N/A</v>
      </c>
      <c r="AB169" t="e">
        <f>_xlfn.IFNA(51-MATCH(Songs!$A169,Data!X$2:X$51,0),NA())</f>
        <v>#N/A</v>
      </c>
      <c r="AC169" t="e">
        <f>_xlfn.IFNA(51-MATCH(Songs!$A169,Data!Y$2:Y$51,0),NA())</f>
        <v>#N/A</v>
      </c>
      <c r="AD169" t="e">
        <f>_xlfn.IFNA(51-MATCH(Songs!$A169,Data!Z$2:Z$51,0),NA())</f>
        <v>#N/A</v>
      </c>
      <c r="AE169" t="e">
        <f>_xlfn.IFNA(51-MATCH(Songs!$A169,Data!AA$2:AA$51,0),NA())</f>
        <v>#N/A</v>
      </c>
      <c r="AF169">
        <f>_xlfn.IFNA(51-MATCH(Songs!$A169,Data!AB$2:AB$51,0),NA())</f>
        <v>21</v>
      </c>
      <c r="AG169">
        <f>_xlfn.IFNA(51-MATCH(Songs!$A169,Data!AC$2:AC$51,0),NA())</f>
        <v>18</v>
      </c>
      <c r="AH169">
        <f>_xlfn.IFNA(51-MATCH(Songs!$A169,Data!AD$2:AD$51,0),NA())</f>
        <v>22</v>
      </c>
      <c r="AI169">
        <f>_xlfn.IFNA(51-MATCH(Songs!$A169,Data!AE$2:AE$51,0),NA())</f>
        <v>26</v>
      </c>
    </row>
    <row r="170" spans="1:35" ht="15.75" customHeight="1" x14ac:dyDescent="0.25">
      <c r="A170" s="6" t="s">
        <v>330</v>
      </c>
      <c r="B170" s="2" t="s">
        <v>104</v>
      </c>
      <c r="F170" s="6">
        <v>0</v>
      </c>
      <c r="G170" s="2">
        <f ca="1">COUNTIF(INDIRECT(_xlfn.CONCAT("Data!$B$2:", ADDRESS(51,COUNTA(Data!$1:$1)+1,1,1))), Songs!A170) + F170</f>
        <v>3</v>
      </c>
      <c r="H170" s="8"/>
      <c r="I170" s="8"/>
      <c r="J170" s="8" cm="1">
        <f t="array" ref="J170">51 - MAX(IF(NOT(ISNA(K170:BB170)),K170:BB170))</f>
        <v>48</v>
      </c>
      <c r="K170" t="e">
        <f>_xlfn.IFNA(51-MATCH(Songs!$A170,Data!G$2:G$51,0),NA())</f>
        <v>#N/A</v>
      </c>
      <c r="L170" t="e">
        <f>_xlfn.IFNA(51-MATCH(Songs!$A170,Data!H$2:H$51,0),NA())</f>
        <v>#N/A</v>
      </c>
      <c r="M170" t="e">
        <f>_xlfn.IFNA(51-MATCH(Songs!$A170,Data!I$2:I$51,0),NA())</f>
        <v>#N/A</v>
      </c>
      <c r="N170" t="e">
        <f>_xlfn.IFNA(51-MATCH(Songs!$A170,Data!J$2:J$51,0),NA())</f>
        <v>#N/A</v>
      </c>
      <c r="O170" t="e">
        <f>_xlfn.IFNA(51-MATCH(Songs!$A170,Data!K$2:K$51,0),NA())</f>
        <v>#N/A</v>
      </c>
      <c r="P170" t="e">
        <f>_xlfn.IFNA(51-MATCH(Songs!$A170,Data!L$2:L$51,0),NA())</f>
        <v>#N/A</v>
      </c>
      <c r="Q170" t="e">
        <f>_xlfn.IFNA(51-MATCH(Songs!$A170,Data!M$2:M$51,0),NA())</f>
        <v>#N/A</v>
      </c>
      <c r="R170" t="e">
        <f>_xlfn.IFNA(51-MATCH(Songs!$A170,Data!N$2:N$51,0),NA())</f>
        <v>#N/A</v>
      </c>
      <c r="S170" t="e">
        <f>_xlfn.IFNA(51-MATCH(Songs!$A170,Data!O$2:O$51,0),NA())</f>
        <v>#N/A</v>
      </c>
      <c r="T170" t="e">
        <f>_xlfn.IFNA(51-MATCH(Songs!$A170,Data!P$2:P$51,0),NA())</f>
        <v>#N/A</v>
      </c>
      <c r="U170" t="e">
        <f>_xlfn.IFNA(51-MATCH(Songs!$A170,Data!Q$2:Q$51,0),NA())</f>
        <v>#N/A</v>
      </c>
      <c r="V170" t="e">
        <f>_xlfn.IFNA(51-MATCH(Songs!$A170,Data!R$2:R$51,0),NA())</f>
        <v>#N/A</v>
      </c>
      <c r="W170" t="e">
        <f>_xlfn.IFNA(51-MATCH(Songs!$A170,Data!S$2:S$51,0),NA())</f>
        <v>#N/A</v>
      </c>
      <c r="X170" t="e">
        <f>_xlfn.IFNA(51-MATCH(Songs!$A170,Data!T$2:T$51,0),NA())</f>
        <v>#N/A</v>
      </c>
      <c r="Y170" t="e">
        <f>_xlfn.IFNA(51-MATCH(Songs!$A170,Data!U$2:U$51,0),NA())</f>
        <v>#N/A</v>
      </c>
      <c r="Z170" t="e">
        <f>_xlfn.IFNA(51-MATCH(Songs!$A170,Data!V$2:V$51,0),NA())</f>
        <v>#N/A</v>
      </c>
      <c r="AA170" t="e">
        <f>_xlfn.IFNA(51-MATCH(Songs!$A170,Data!W$2:W$51,0),NA())</f>
        <v>#N/A</v>
      </c>
      <c r="AB170" t="e">
        <f>_xlfn.IFNA(51-MATCH(Songs!$A170,Data!X$2:X$51,0),NA())</f>
        <v>#N/A</v>
      </c>
      <c r="AC170" t="e">
        <f>_xlfn.IFNA(51-MATCH(Songs!$A170,Data!Y$2:Y$51,0),NA())</f>
        <v>#N/A</v>
      </c>
      <c r="AD170" t="e">
        <f>_xlfn.IFNA(51-MATCH(Songs!$A170,Data!Z$2:Z$51,0),NA())</f>
        <v>#N/A</v>
      </c>
      <c r="AE170" t="e">
        <f>_xlfn.IFNA(51-MATCH(Songs!$A170,Data!AA$2:AA$51,0),NA())</f>
        <v>#N/A</v>
      </c>
      <c r="AF170">
        <f>_xlfn.IFNA(51-MATCH(Songs!$A170,Data!AB$2:AB$51,0),NA())</f>
        <v>3</v>
      </c>
      <c r="AG170">
        <f>_xlfn.IFNA(51-MATCH(Songs!$A170,Data!AC$2:AC$51,0),NA())</f>
        <v>3</v>
      </c>
      <c r="AH170">
        <f>_xlfn.IFNA(51-MATCH(Songs!$A170,Data!AD$2:AD$51,0),NA())</f>
        <v>2</v>
      </c>
      <c r="AI170" t="e">
        <f>_xlfn.IFNA(51-MATCH(Songs!$A170,Data!AE$2:AE$51,0),NA())</f>
        <v>#N/A</v>
      </c>
    </row>
    <row r="171" spans="1:35" ht="15.75" customHeight="1" x14ac:dyDescent="0.25">
      <c r="A171" s="6" t="s">
        <v>333</v>
      </c>
      <c r="B171" s="2" t="s">
        <v>80</v>
      </c>
      <c r="F171" s="6">
        <v>0</v>
      </c>
      <c r="G171" s="2">
        <f ca="1">COUNTIF(INDIRECT(_xlfn.CONCAT("Data!$B$2:", ADDRESS(51,COUNTA(Data!$1:$1)+1,1,1))), Songs!A171) + F171</f>
        <v>1</v>
      </c>
      <c r="H171" s="8"/>
      <c r="I171" s="8"/>
      <c r="J171" s="8" cm="1">
        <f t="array" ref="J171">51 - MAX(IF(NOT(ISNA(K171:BB171)),K171:BB171))</f>
        <v>30</v>
      </c>
      <c r="K171" t="e">
        <f>_xlfn.IFNA(51-MATCH(Songs!$A171,Data!G$2:G$51,0),NA())</f>
        <v>#N/A</v>
      </c>
      <c r="L171" t="e">
        <f>_xlfn.IFNA(51-MATCH(Songs!$A171,Data!H$2:H$51,0),NA())</f>
        <v>#N/A</v>
      </c>
      <c r="M171" t="e">
        <f>_xlfn.IFNA(51-MATCH(Songs!$A171,Data!I$2:I$51,0),NA())</f>
        <v>#N/A</v>
      </c>
      <c r="N171" t="e">
        <f>_xlfn.IFNA(51-MATCH(Songs!$A171,Data!J$2:J$51,0),NA())</f>
        <v>#N/A</v>
      </c>
      <c r="O171" t="e">
        <f>_xlfn.IFNA(51-MATCH(Songs!$A171,Data!K$2:K$51,0),NA())</f>
        <v>#N/A</v>
      </c>
      <c r="P171" t="e">
        <f>_xlfn.IFNA(51-MATCH(Songs!$A171,Data!L$2:L$51,0),NA())</f>
        <v>#N/A</v>
      </c>
      <c r="Q171" t="e">
        <f>_xlfn.IFNA(51-MATCH(Songs!$A171,Data!M$2:M$51,0),NA())</f>
        <v>#N/A</v>
      </c>
      <c r="R171" t="e">
        <f>_xlfn.IFNA(51-MATCH(Songs!$A171,Data!N$2:N$51,0),NA())</f>
        <v>#N/A</v>
      </c>
      <c r="S171" t="e">
        <f>_xlfn.IFNA(51-MATCH(Songs!$A171,Data!O$2:O$51,0),NA())</f>
        <v>#N/A</v>
      </c>
      <c r="T171" t="e">
        <f>_xlfn.IFNA(51-MATCH(Songs!$A171,Data!P$2:P$51,0),NA())</f>
        <v>#N/A</v>
      </c>
      <c r="U171" t="e">
        <f>_xlfn.IFNA(51-MATCH(Songs!$A171,Data!Q$2:Q$51,0),NA())</f>
        <v>#N/A</v>
      </c>
      <c r="V171" t="e">
        <f>_xlfn.IFNA(51-MATCH(Songs!$A171,Data!R$2:R$51,0),NA())</f>
        <v>#N/A</v>
      </c>
      <c r="W171" t="e">
        <f>_xlfn.IFNA(51-MATCH(Songs!$A171,Data!S$2:S$51,0),NA())</f>
        <v>#N/A</v>
      </c>
      <c r="X171" t="e">
        <f>_xlfn.IFNA(51-MATCH(Songs!$A171,Data!T$2:T$51,0),NA())</f>
        <v>#N/A</v>
      </c>
      <c r="Y171" t="e">
        <f>_xlfn.IFNA(51-MATCH(Songs!$A171,Data!U$2:U$51,0),NA())</f>
        <v>#N/A</v>
      </c>
      <c r="Z171" t="e">
        <f>_xlfn.IFNA(51-MATCH(Songs!$A171,Data!V$2:V$51,0),NA())</f>
        <v>#N/A</v>
      </c>
      <c r="AA171" t="e">
        <f>_xlfn.IFNA(51-MATCH(Songs!$A171,Data!W$2:W$51,0),NA())</f>
        <v>#N/A</v>
      </c>
      <c r="AB171" t="e">
        <f>_xlfn.IFNA(51-MATCH(Songs!$A171,Data!X$2:X$51,0),NA())</f>
        <v>#N/A</v>
      </c>
      <c r="AC171" t="e">
        <f>_xlfn.IFNA(51-MATCH(Songs!$A171,Data!Y$2:Y$51,0),NA())</f>
        <v>#N/A</v>
      </c>
      <c r="AD171" t="e">
        <f>_xlfn.IFNA(51-MATCH(Songs!$A171,Data!Z$2:Z$51,0),NA())</f>
        <v>#N/A</v>
      </c>
      <c r="AE171" t="e">
        <f>_xlfn.IFNA(51-MATCH(Songs!$A171,Data!AA$2:AA$51,0),NA())</f>
        <v>#N/A</v>
      </c>
      <c r="AF171" t="e">
        <f>_xlfn.IFNA(51-MATCH(Songs!$A171,Data!AB$2:AB$51,0),NA())</f>
        <v>#N/A</v>
      </c>
      <c r="AG171">
        <f>_xlfn.IFNA(51-MATCH(Songs!$A171,Data!AC$2:AC$51,0),NA())</f>
        <v>21</v>
      </c>
      <c r="AH171" t="e">
        <f>_xlfn.IFNA(51-MATCH(Songs!$A171,Data!AD$2:AD$51,0),NA())</f>
        <v>#N/A</v>
      </c>
      <c r="AI171" t="e">
        <f>_xlfn.IFNA(51-MATCH(Songs!$A171,Data!AE$2:AE$51,0),NA())</f>
        <v>#N/A</v>
      </c>
    </row>
    <row r="172" spans="1:35" ht="15.75" customHeight="1" x14ac:dyDescent="0.25">
      <c r="A172" s="6" t="s">
        <v>334</v>
      </c>
      <c r="B172" s="2" t="s">
        <v>98</v>
      </c>
      <c r="F172" s="6">
        <v>0</v>
      </c>
      <c r="G172" s="2">
        <f ca="1">COUNTIF(INDIRECT(_xlfn.CONCAT("Data!$B$2:", ADDRESS(51,COUNTA(Data!$1:$1)+1,1,1))), Songs!A172) + F172</f>
        <v>3</v>
      </c>
      <c r="H172" s="8"/>
      <c r="I172" s="8"/>
      <c r="J172" s="8" cm="1">
        <f t="array" ref="J172">51 - MAX(IF(NOT(ISNA(K172:BB172)),K172:BB172))</f>
        <v>41</v>
      </c>
      <c r="K172" t="e">
        <f>_xlfn.IFNA(51-MATCH(Songs!$A172,Data!G$2:G$51,0),NA())</f>
        <v>#N/A</v>
      </c>
      <c r="L172" t="e">
        <f>_xlfn.IFNA(51-MATCH(Songs!$A172,Data!H$2:H$51,0),NA())</f>
        <v>#N/A</v>
      </c>
      <c r="M172" t="e">
        <f>_xlfn.IFNA(51-MATCH(Songs!$A172,Data!I$2:I$51,0),NA())</f>
        <v>#N/A</v>
      </c>
      <c r="N172" t="e">
        <f>_xlfn.IFNA(51-MATCH(Songs!$A172,Data!J$2:J$51,0),NA())</f>
        <v>#N/A</v>
      </c>
      <c r="O172" t="e">
        <f>_xlfn.IFNA(51-MATCH(Songs!$A172,Data!K$2:K$51,0),NA())</f>
        <v>#N/A</v>
      </c>
      <c r="P172" t="e">
        <f>_xlfn.IFNA(51-MATCH(Songs!$A172,Data!L$2:L$51,0),NA())</f>
        <v>#N/A</v>
      </c>
      <c r="Q172" t="e">
        <f>_xlfn.IFNA(51-MATCH(Songs!$A172,Data!M$2:M$51,0),NA())</f>
        <v>#N/A</v>
      </c>
      <c r="R172" t="e">
        <f>_xlfn.IFNA(51-MATCH(Songs!$A172,Data!N$2:N$51,0),NA())</f>
        <v>#N/A</v>
      </c>
      <c r="S172" t="e">
        <f>_xlfn.IFNA(51-MATCH(Songs!$A172,Data!O$2:O$51,0),NA())</f>
        <v>#N/A</v>
      </c>
      <c r="T172" t="e">
        <f>_xlfn.IFNA(51-MATCH(Songs!$A172,Data!P$2:P$51,0),NA())</f>
        <v>#N/A</v>
      </c>
      <c r="U172" t="e">
        <f>_xlfn.IFNA(51-MATCH(Songs!$A172,Data!Q$2:Q$51,0),NA())</f>
        <v>#N/A</v>
      </c>
      <c r="V172" t="e">
        <f>_xlfn.IFNA(51-MATCH(Songs!$A172,Data!R$2:R$51,0),NA())</f>
        <v>#N/A</v>
      </c>
      <c r="W172" t="e">
        <f>_xlfn.IFNA(51-MATCH(Songs!$A172,Data!S$2:S$51,0),NA())</f>
        <v>#N/A</v>
      </c>
      <c r="X172" t="e">
        <f>_xlfn.IFNA(51-MATCH(Songs!$A172,Data!T$2:T$51,0),NA())</f>
        <v>#N/A</v>
      </c>
      <c r="Y172" t="e">
        <f>_xlfn.IFNA(51-MATCH(Songs!$A172,Data!U$2:U$51,0),NA())</f>
        <v>#N/A</v>
      </c>
      <c r="Z172" t="e">
        <f>_xlfn.IFNA(51-MATCH(Songs!$A172,Data!V$2:V$51,0),NA())</f>
        <v>#N/A</v>
      </c>
      <c r="AA172" t="e">
        <f>_xlfn.IFNA(51-MATCH(Songs!$A172,Data!W$2:W$51,0),NA())</f>
        <v>#N/A</v>
      </c>
      <c r="AB172" t="e">
        <f>_xlfn.IFNA(51-MATCH(Songs!$A172,Data!X$2:X$51,0),NA())</f>
        <v>#N/A</v>
      </c>
      <c r="AC172" t="e">
        <f>_xlfn.IFNA(51-MATCH(Songs!$A172,Data!Y$2:Y$51,0),NA())</f>
        <v>#N/A</v>
      </c>
      <c r="AD172" t="e">
        <f>_xlfn.IFNA(51-MATCH(Songs!$A172,Data!Z$2:Z$51,0),NA())</f>
        <v>#N/A</v>
      </c>
      <c r="AE172" t="e">
        <f>_xlfn.IFNA(51-MATCH(Songs!$A172,Data!AA$2:AA$51,0),NA())</f>
        <v>#N/A</v>
      </c>
      <c r="AF172" t="e">
        <f>_xlfn.IFNA(51-MATCH(Songs!$A172,Data!AB$2:AB$51,0),NA())</f>
        <v>#N/A</v>
      </c>
      <c r="AG172">
        <f>_xlfn.IFNA(51-MATCH(Songs!$A172,Data!AC$2:AC$51,0),NA())</f>
        <v>6</v>
      </c>
      <c r="AH172">
        <f>_xlfn.IFNA(51-MATCH(Songs!$A172,Data!AD$2:AD$51,0),NA())</f>
        <v>8</v>
      </c>
      <c r="AI172">
        <f>_xlfn.IFNA(51-MATCH(Songs!$A172,Data!AE$2:AE$51,0),NA())</f>
        <v>10</v>
      </c>
    </row>
    <row r="173" spans="1:35" ht="15.75" customHeight="1" x14ac:dyDescent="0.25">
      <c r="A173" s="2" t="s">
        <v>335</v>
      </c>
      <c r="B173" s="2" t="s">
        <v>222</v>
      </c>
      <c r="D173" s="8" t="s">
        <v>77</v>
      </c>
      <c r="F173" s="2">
        <v>0</v>
      </c>
      <c r="G173" s="2">
        <f ca="1">COUNTIF(INDIRECT(_xlfn.CONCAT("Data!$B$2:", ADDRESS(51,COUNTA(Data!$1:$1)+1,1,1))), Songs!A173) + F173</f>
        <v>2</v>
      </c>
      <c r="H173" s="8"/>
      <c r="I173" s="8"/>
      <c r="J173" s="8" cm="1">
        <f t="array" ref="J173">51 - MAX(IF(NOT(ISNA(K173:BB173)),K173:BB173))</f>
        <v>7</v>
      </c>
      <c r="K173" t="e">
        <f>_xlfn.IFNA(51-MATCH(Songs!$A173,Data!G$2:G$51,0),NA())</f>
        <v>#N/A</v>
      </c>
      <c r="L173" t="e">
        <f>_xlfn.IFNA(51-MATCH(Songs!$A173,Data!H$2:H$51,0),NA())</f>
        <v>#N/A</v>
      </c>
      <c r="M173" t="e">
        <f>_xlfn.IFNA(51-MATCH(Songs!$A173,Data!I$2:I$51,0),NA())</f>
        <v>#N/A</v>
      </c>
      <c r="N173" t="e">
        <f>_xlfn.IFNA(51-MATCH(Songs!$A173,Data!J$2:J$51,0),NA())</f>
        <v>#N/A</v>
      </c>
      <c r="O173" t="e">
        <f>_xlfn.IFNA(51-MATCH(Songs!$A173,Data!K$2:K$51,0),NA())</f>
        <v>#N/A</v>
      </c>
      <c r="P173" t="e">
        <f>_xlfn.IFNA(51-MATCH(Songs!$A173,Data!L$2:L$51,0),NA())</f>
        <v>#N/A</v>
      </c>
      <c r="Q173" t="e">
        <f>_xlfn.IFNA(51-MATCH(Songs!$A173,Data!M$2:M$51,0),NA())</f>
        <v>#N/A</v>
      </c>
      <c r="R173" t="e">
        <f>_xlfn.IFNA(51-MATCH(Songs!$A173,Data!N$2:N$51,0),NA())</f>
        <v>#N/A</v>
      </c>
      <c r="S173" t="e">
        <f>_xlfn.IFNA(51-MATCH(Songs!$A173,Data!O$2:O$51,0),NA())</f>
        <v>#N/A</v>
      </c>
      <c r="T173" t="e">
        <f>_xlfn.IFNA(51-MATCH(Songs!$A173,Data!P$2:P$51,0),NA())</f>
        <v>#N/A</v>
      </c>
      <c r="U173" t="e">
        <f>_xlfn.IFNA(51-MATCH(Songs!$A173,Data!Q$2:Q$51,0),NA())</f>
        <v>#N/A</v>
      </c>
      <c r="V173" t="e">
        <f>_xlfn.IFNA(51-MATCH(Songs!$A173,Data!R$2:R$51,0),NA())</f>
        <v>#N/A</v>
      </c>
      <c r="W173" t="e">
        <f>_xlfn.IFNA(51-MATCH(Songs!$A173,Data!S$2:S$51,0),NA())</f>
        <v>#N/A</v>
      </c>
      <c r="X173" t="e">
        <f>_xlfn.IFNA(51-MATCH(Songs!$A173,Data!T$2:T$51,0),NA())</f>
        <v>#N/A</v>
      </c>
      <c r="Y173" t="e">
        <f>_xlfn.IFNA(51-MATCH(Songs!$A173,Data!U$2:U$51,0),NA())</f>
        <v>#N/A</v>
      </c>
      <c r="Z173" t="e">
        <f>_xlfn.IFNA(51-MATCH(Songs!$A173,Data!V$2:V$51,0),NA())</f>
        <v>#N/A</v>
      </c>
      <c r="AA173" t="e">
        <f>_xlfn.IFNA(51-MATCH(Songs!$A173,Data!W$2:W$51,0),NA())</f>
        <v>#N/A</v>
      </c>
      <c r="AB173" t="e">
        <f>_xlfn.IFNA(51-MATCH(Songs!$A173,Data!X$2:X$51,0),NA())</f>
        <v>#N/A</v>
      </c>
      <c r="AC173" t="e">
        <f>_xlfn.IFNA(51-MATCH(Songs!$A173,Data!Y$2:Y$51,0),NA())</f>
        <v>#N/A</v>
      </c>
      <c r="AD173" t="e">
        <f>_xlfn.IFNA(51-MATCH(Songs!$A173,Data!Z$2:Z$51,0),NA())</f>
        <v>#N/A</v>
      </c>
      <c r="AE173" t="e">
        <f>_xlfn.IFNA(51-MATCH(Songs!$A173,Data!AA$2:AA$51,0),NA())</f>
        <v>#N/A</v>
      </c>
      <c r="AF173" t="e">
        <f>_xlfn.IFNA(51-MATCH(Songs!$A173,Data!AB$2:AB$51,0),NA())</f>
        <v>#N/A</v>
      </c>
      <c r="AG173" t="e">
        <f>_xlfn.IFNA(51-MATCH(Songs!$A173,Data!AC$2:AC$51,0),NA())</f>
        <v>#N/A</v>
      </c>
      <c r="AH173">
        <f>_xlfn.IFNA(51-MATCH(Songs!$A173,Data!AD$2:AD$51,0),NA())</f>
        <v>44</v>
      </c>
      <c r="AI173">
        <f>_xlfn.IFNA(51-MATCH(Songs!$A173,Data!AE$2:AE$51,0),NA())</f>
        <v>39</v>
      </c>
    </row>
    <row r="174" spans="1:35" ht="15.75" customHeight="1" x14ac:dyDescent="0.25">
      <c r="A174" s="2" t="s">
        <v>336</v>
      </c>
      <c r="B174" s="2" t="s">
        <v>309</v>
      </c>
      <c r="C174" s="8" t="s">
        <v>202</v>
      </c>
      <c r="F174" s="2">
        <v>0</v>
      </c>
      <c r="G174" s="2">
        <f ca="1">COUNTIF(INDIRECT(_xlfn.CONCAT("Data!$B$2:", ADDRESS(51,COUNTA(Data!$1:$1)+1,1,1))), Songs!A174) + F174</f>
        <v>2</v>
      </c>
      <c r="H174" s="8"/>
      <c r="I174" s="8"/>
      <c r="J174" s="8" cm="1">
        <f t="array" ref="J174">51 - MAX(IF(NOT(ISNA(K174:BB174)),K174:BB174))</f>
        <v>13</v>
      </c>
      <c r="K174" t="e">
        <f>_xlfn.IFNA(51-MATCH(Songs!$A174,Data!G$2:G$51,0),NA())</f>
        <v>#N/A</v>
      </c>
      <c r="L174" t="e">
        <f>_xlfn.IFNA(51-MATCH(Songs!$A174,Data!H$2:H$51,0),NA())</f>
        <v>#N/A</v>
      </c>
      <c r="M174" t="e">
        <f>_xlfn.IFNA(51-MATCH(Songs!$A174,Data!I$2:I$51,0),NA())</f>
        <v>#N/A</v>
      </c>
      <c r="N174" t="e">
        <f>_xlfn.IFNA(51-MATCH(Songs!$A174,Data!J$2:J$51,0),NA())</f>
        <v>#N/A</v>
      </c>
      <c r="O174" t="e">
        <f>_xlfn.IFNA(51-MATCH(Songs!$A174,Data!K$2:K$51,0),NA())</f>
        <v>#N/A</v>
      </c>
      <c r="P174" t="e">
        <f>_xlfn.IFNA(51-MATCH(Songs!$A174,Data!L$2:L$51,0),NA())</f>
        <v>#N/A</v>
      </c>
      <c r="Q174" t="e">
        <f>_xlfn.IFNA(51-MATCH(Songs!$A174,Data!M$2:M$51,0),NA())</f>
        <v>#N/A</v>
      </c>
      <c r="R174" t="e">
        <f>_xlfn.IFNA(51-MATCH(Songs!$A174,Data!N$2:N$51,0),NA())</f>
        <v>#N/A</v>
      </c>
      <c r="S174" t="e">
        <f>_xlfn.IFNA(51-MATCH(Songs!$A174,Data!O$2:O$51,0),NA())</f>
        <v>#N/A</v>
      </c>
      <c r="T174" t="e">
        <f>_xlfn.IFNA(51-MATCH(Songs!$A174,Data!P$2:P$51,0),NA())</f>
        <v>#N/A</v>
      </c>
      <c r="U174" t="e">
        <f>_xlfn.IFNA(51-MATCH(Songs!$A174,Data!Q$2:Q$51,0),NA())</f>
        <v>#N/A</v>
      </c>
      <c r="V174" t="e">
        <f>_xlfn.IFNA(51-MATCH(Songs!$A174,Data!R$2:R$51,0),NA())</f>
        <v>#N/A</v>
      </c>
      <c r="W174" t="e">
        <f>_xlfn.IFNA(51-MATCH(Songs!$A174,Data!S$2:S$51,0),NA())</f>
        <v>#N/A</v>
      </c>
      <c r="X174" t="e">
        <f>_xlfn.IFNA(51-MATCH(Songs!$A174,Data!T$2:T$51,0),NA())</f>
        <v>#N/A</v>
      </c>
      <c r="Y174" t="e">
        <f>_xlfn.IFNA(51-MATCH(Songs!$A174,Data!U$2:U$51,0),NA())</f>
        <v>#N/A</v>
      </c>
      <c r="Z174" t="e">
        <f>_xlfn.IFNA(51-MATCH(Songs!$A174,Data!V$2:V$51,0),NA())</f>
        <v>#N/A</v>
      </c>
      <c r="AA174" t="e">
        <f>_xlfn.IFNA(51-MATCH(Songs!$A174,Data!W$2:W$51,0),NA())</f>
        <v>#N/A</v>
      </c>
      <c r="AB174" t="e">
        <f>_xlfn.IFNA(51-MATCH(Songs!$A174,Data!X$2:X$51,0),NA())</f>
        <v>#N/A</v>
      </c>
      <c r="AC174" t="e">
        <f>_xlfn.IFNA(51-MATCH(Songs!$A174,Data!Y$2:Y$51,0),NA())</f>
        <v>#N/A</v>
      </c>
      <c r="AD174" t="e">
        <f>_xlfn.IFNA(51-MATCH(Songs!$A174,Data!Z$2:Z$51,0),NA())</f>
        <v>#N/A</v>
      </c>
      <c r="AE174" t="e">
        <f>_xlfn.IFNA(51-MATCH(Songs!$A174,Data!AA$2:AA$51,0),NA())</f>
        <v>#N/A</v>
      </c>
      <c r="AF174" t="e">
        <f>_xlfn.IFNA(51-MATCH(Songs!$A174,Data!AB$2:AB$51,0),NA())</f>
        <v>#N/A</v>
      </c>
      <c r="AG174" t="e">
        <f>_xlfn.IFNA(51-MATCH(Songs!$A174,Data!AC$2:AC$51,0),NA())</f>
        <v>#N/A</v>
      </c>
      <c r="AH174">
        <f>_xlfn.IFNA(51-MATCH(Songs!$A174,Data!AD$2:AD$51,0),NA())</f>
        <v>38</v>
      </c>
      <c r="AI174">
        <f>_xlfn.IFNA(51-MATCH(Songs!$A174,Data!AE$2:AE$51,0),NA())</f>
        <v>33</v>
      </c>
    </row>
    <row r="175" spans="1:35" ht="15.75" customHeight="1" x14ac:dyDescent="0.25">
      <c r="A175" s="2" t="s">
        <v>337</v>
      </c>
      <c r="B175" s="2" t="s">
        <v>338</v>
      </c>
      <c r="F175" s="2">
        <v>0</v>
      </c>
      <c r="G175" s="2">
        <f ca="1">COUNTIF(INDIRECT(_xlfn.CONCAT("Data!$B$2:", ADDRESS(51,COUNTA(Data!$1:$1)+1,1,1))), Songs!A175) + F175</f>
        <v>2</v>
      </c>
      <c r="H175" s="8"/>
      <c r="I175" s="8"/>
      <c r="J175" s="8" cm="1">
        <f t="array" ref="J175">51 - MAX(IF(NOT(ISNA(K175:BB175)),K175:BB175))</f>
        <v>40</v>
      </c>
      <c r="K175" t="e">
        <f>_xlfn.IFNA(51-MATCH(Songs!$A175,Data!G$2:G$51,0),NA())</f>
        <v>#N/A</v>
      </c>
      <c r="L175" t="e">
        <f>_xlfn.IFNA(51-MATCH(Songs!$A175,Data!H$2:H$51,0),NA())</f>
        <v>#N/A</v>
      </c>
      <c r="M175" t="e">
        <f>_xlfn.IFNA(51-MATCH(Songs!$A175,Data!I$2:I$51,0),NA())</f>
        <v>#N/A</v>
      </c>
      <c r="N175" t="e">
        <f>_xlfn.IFNA(51-MATCH(Songs!$A175,Data!J$2:J$51,0),NA())</f>
        <v>#N/A</v>
      </c>
      <c r="O175" t="e">
        <f>_xlfn.IFNA(51-MATCH(Songs!$A175,Data!K$2:K$51,0),NA())</f>
        <v>#N/A</v>
      </c>
      <c r="P175" t="e">
        <f>_xlfn.IFNA(51-MATCH(Songs!$A175,Data!L$2:L$51,0),NA())</f>
        <v>#N/A</v>
      </c>
      <c r="Q175" t="e">
        <f>_xlfn.IFNA(51-MATCH(Songs!$A175,Data!M$2:M$51,0),NA())</f>
        <v>#N/A</v>
      </c>
      <c r="R175" t="e">
        <f>_xlfn.IFNA(51-MATCH(Songs!$A175,Data!N$2:N$51,0),NA())</f>
        <v>#N/A</v>
      </c>
      <c r="S175" t="e">
        <f>_xlfn.IFNA(51-MATCH(Songs!$A175,Data!O$2:O$51,0),NA())</f>
        <v>#N/A</v>
      </c>
      <c r="T175" t="e">
        <f>_xlfn.IFNA(51-MATCH(Songs!$A175,Data!P$2:P$51,0),NA())</f>
        <v>#N/A</v>
      </c>
      <c r="U175" t="e">
        <f>_xlfn.IFNA(51-MATCH(Songs!$A175,Data!Q$2:Q$51,0),NA())</f>
        <v>#N/A</v>
      </c>
      <c r="V175" t="e">
        <f>_xlfn.IFNA(51-MATCH(Songs!$A175,Data!R$2:R$51,0),NA())</f>
        <v>#N/A</v>
      </c>
      <c r="W175" t="e">
        <f>_xlfn.IFNA(51-MATCH(Songs!$A175,Data!S$2:S$51,0),NA())</f>
        <v>#N/A</v>
      </c>
      <c r="X175" t="e">
        <f>_xlfn.IFNA(51-MATCH(Songs!$A175,Data!T$2:T$51,0),NA())</f>
        <v>#N/A</v>
      </c>
      <c r="Y175" t="e">
        <f>_xlfn.IFNA(51-MATCH(Songs!$A175,Data!U$2:U$51,0),NA())</f>
        <v>#N/A</v>
      </c>
      <c r="Z175" t="e">
        <f>_xlfn.IFNA(51-MATCH(Songs!$A175,Data!V$2:V$51,0),NA())</f>
        <v>#N/A</v>
      </c>
      <c r="AA175" t="e">
        <f>_xlfn.IFNA(51-MATCH(Songs!$A175,Data!W$2:W$51,0),NA())</f>
        <v>#N/A</v>
      </c>
      <c r="AB175" t="e">
        <f>_xlfn.IFNA(51-MATCH(Songs!$A175,Data!X$2:X$51,0),NA())</f>
        <v>#N/A</v>
      </c>
      <c r="AC175" t="e">
        <f>_xlfn.IFNA(51-MATCH(Songs!$A175,Data!Y$2:Y$51,0),NA())</f>
        <v>#N/A</v>
      </c>
      <c r="AD175" t="e">
        <f>_xlfn.IFNA(51-MATCH(Songs!$A175,Data!Z$2:Z$51,0),NA())</f>
        <v>#N/A</v>
      </c>
      <c r="AE175" t="e">
        <f>_xlfn.IFNA(51-MATCH(Songs!$A175,Data!AA$2:AA$51,0),NA())</f>
        <v>#N/A</v>
      </c>
      <c r="AF175" t="e">
        <f>_xlfn.IFNA(51-MATCH(Songs!$A175,Data!AB$2:AB$51,0),NA())</f>
        <v>#N/A</v>
      </c>
      <c r="AG175" t="e">
        <f>_xlfn.IFNA(51-MATCH(Songs!$A175,Data!AC$2:AC$51,0),NA())</f>
        <v>#N/A</v>
      </c>
      <c r="AH175">
        <f>_xlfn.IFNA(51-MATCH(Songs!$A175,Data!AD$2:AD$51,0),NA())</f>
        <v>5</v>
      </c>
      <c r="AI175">
        <f>_xlfn.IFNA(51-MATCH(Songs!$A175,Data!AE$2:AE$51,0),NA())</f>
        <v>11</v>
      </c>
    </row>
    <row r="176" spans="1:35" ht="15.75" customHeight="1" x14ac:dyDescent="0.25">
      <c r="A176" s="2" t="s">
        <v>339</v>
      </c>
      <c r="B176" s="2" t="s">
        <v>80</v>
      </c>
      <c r="F176" s="2">
        <v>0</v>
      </c>
      <c r="G176" s="2">
        <f ca="1">COUNTIF(INDIRECT(_xlfn.CONCAT("Data!$B$2:", ADDRESS(51,COUNTA(Data!$1:$1)+1,1,1))), Songs!A176) + F176</f>
        <v>1</v>
      </c>
      <c r="H176" s="8"/>
      <c r="I176" s="8"/>
      <c r="J176" s="8" cm="1">
        <f t="array" ref="J176">51 - MAX(IF(NOT(ISNA(K176:BB176)),K176:BB176))</f>
        <v>26</v>
      </c>
      <c r="K176" t="e">
        <f>_xlfn.IFNA(51-MATCH(Songs!$A176,Data!G$2:G$51,0),NA())</f>
        <v>#N/A</v>
      </c>
      <c r="L176" t="e">
        <f>_xlfn.IFNA(51-MATCH(Songs!$A176,Data!H$2:H$51,0),NA())</f>
        <v>#N/A</v>
      </c>
      <c r="M176" t="e">
        <f>_xlfn.IFNA(51-MATCH(Songs!$A176,Data!I$2:I$51,0),NA())</f>
        <v>#N/A</v>
      </c>
      <c r="N176" t="e">
        <f>_xlfn.IFNA(51-MATCH(Songs!$A176,Data!J$2:J$51,0),NA())</f>
        <v>#N/A</v>
      </c>
      <c r="O176" t="e">
        <f>_xlfn.IFNA(51-MATCH(Songs!$A176,Data!K$2:K$51,0),NA())</f>
        <v>#N/A</v>
      </c>
      <c r="P176" t="e">
        <f>_xlfn.IFNA(51-MATCH(Songs!$A176,Data!L$2:L$51,0),NA())</f>
        <v>#N/A</v>
      </c>
      <c r="Q176" t="e">
        <f>_xlfn.IFNA(51-MATCH(Songs!$A176,Data!M$2:M$51,0),NA())</f>
        <v>#N/A</v>
      </c>
      <c r="R176" t="e">
        <f>_xlfn.IFNA(51-MATCH(Songs!$A176,Data!N$2:N$51,0),NA())</f>
        <v>#N/A</v>
      </c>
      <c r="S176" t="e">
        <f>_xlfn.IFNA(51-MATCH(Songs!$A176,Data!O$2:O$51,0),NA())</f>
        <v>#N/A</v>
      </c>
      <c r="T176" t="e">
        <f>_xlfn.IFNA(51-MATCH(Songs!$A176,Data!P$2:P$51,0),NA())</f>
        <v>#N/A</v>
      </c>
      <c r="U176" t="e">
        <f>_xlfn.IFNA(51-MATCH(Songs!$A176,Data!Q$2:Q$51,0),NA())</f>
        <v>#N/A</v>
      </c>
      <c r="V176" t="e">
        <f>_xlfn.IFNA(51-MATCH(Songs!$A176,Data!R$2:R$51,0),NA())</f>
        <v>#N/A</v>
      </c>
      <c r="W176" t="e">
        <f>_xlfn.IFNA(51-MATCH(Songs!$A176,Data!S$2:S$51,0),NA())</f>
        <v>#N/A</v>
      </c>
      <c r="X176" t="e">
        <f>_xlfn.IFNA(51-MATCH(Songs!$A176,Data!T$2:T$51,0),NA())</f>
        <v>#N/A</v>
      </c>
      <c r="Y176" t="e">
        <f>_xlfn.IFNA(51-MATCH(Songs!$A176,Data!U$2:U$51,0),NA())</f>
        <v>#N/A</v>
      </c>
      <c r="Z176" t="e">
        <f>_xlfn.IFNA(51-MATCH(Songs!$A176,Data!V$2:V$51,0),NA())</f>
        <v>#N/A</v>
      </c>
      <c r="AA176" t="e">
        <f>_xlfn.IFNA(51-MATCH(Songs!$A176,Data!W$2:W$51,0),NA())</f>
        <v>#N/A</v>
      </c>
      <c r="AB176" t="e">
        <f>_xlfn.IFNA(51-MATCH(Songs!$A176,Data!X$2:X$51,0),NA())</f>
        <v>#N/A</v>
      </c>
      <c r="AC176" t="e">
        <f>_xlfn.IFNA(51-MATCH(Songs!$A176,Data!Y$2:Y$51,0),NA())</f>
        <v>#N/A</v>
      </c>
      <c r="AD176" t="e">
        <f>_xlfn.IFNA(51-MATCH(Songs!$A176,Data!Z$2:Z$51,0),NA())</f>
        <v>#N/A</v>
      </c>
      <c r="AE176" t="e">
        <f>_xlfn.IFNA(51-MATCH(Songs!$A176,Data!AA$2:AA$51,0),NA())</f>
        <v>#N/A</v>
      </c>
      <c r="AF176" t="e">
        <f>_xlfn.IFNA(51-MATCH(Songs!$A176,Data!AB$2:AB$51,0),NA())</f>
        <v>#N/A</v>
      </c>
      <c r="AG176" t="e">
        <f>_xlfn.IFNA(51-MATCH(Songs!$A176,Data!AC$2:AC$51,0),NA())</f>
        <v>#N/A</v>
      </c>
      <c r="AH176" t="e">
        <f>_xlfn.IFNA(51-MATCH(Songs!$A176,Data!AD$2:AD$51,0),NA())</f>
        <v>#N/A</v>
      </c>
      <c r="AI176">
        <f>_xlfn.IFNA(51-MATCH(Songs!$A176,Data!AE$2:AE$51,0),NA())</f>
        <v>25</v>
      </c>
    </row>
    <row r="177" spans="1:35" ht="15.75" customHeight="1" x14ac:dyDescent="0.25">
      <c r="A177" s="2" t="s">
        <v>340</v>
      </c>
      <c r="B177" s="2" t="s">
        <v>341</v>
      </c>
      <c r="F177" s="2">
        <v>0</v>
      </c>
      <c r="G177" s="2">
        <f ca="1">COUNTIF(INDIRECT(_xlfn.CONCAT("Data!$B$2:", ADDRESS(51,COUNTA(Data!$1:$1)+1,1,1))), Songs!A177) + F177</f>
        <v>1</v>
      </c>
      <c r="H177" s="8"/>
      <c r="I177" s="8"/>
      <c r="J177" s="8" cm="1">
        <f t="array" ref="J177">51 - MAX(IF(NOT(ISNA(K177:BB177)),K177:BB177))</f>
        <v>50</v>
      </c>
      <c r="K177" t="e">
        <f>_xlfn.IFNA(51-MATCH(Songs!$A177,Data!G$2:G$51,0),NA())</f>
        <v>#N/A</v>
      </c>
      <c r="L177" t="e">
        <f>_xlfn.IFNA(51-MATCH(Songs!$A177,Data!H$2:H$51,0),NA())</f>
        <v>#N/A</v>
      </c>
      <c r="M177" t="e">
        <f>_xlfn.IFNA(51-MATCH(Songs!$A177,Data!I$2:I$51,0),NA())</f>
        <v>#N/A</v>
      </c>
      <c r="N177" t="e">
        <f>_xlfn.IFNA(51-MATCH(Songs!$A177,Data!J$2:J$51,0),NA())</f>
        <v>#N/A</v>
      </c>
      <c r="O177" t="e">
        <f>_xlfn.IFNA(51-MATCH(Songs!$A177,Data!K$2:K$51,0),NA())</f>
        <v>#N/A</v>
      </c>
      <c r="P177" t="e">
        <f>_xlfn.IFNA(51-MATCH(Songs!$A177,Data!L$2:L$51,0),NA())</f>
        <v>#N/A</v>
      </c>
      <c r="Q177" t="e">
        <f>_xlfn.IFNA(51-MATCH(Songs!$A177,Data!M$2:M$51,0),NA())</f>
        <v>#N/A</v>
      </c>
      <c r="R177" t="e">
        <f>_xlfn.IFNA(51-MATCH(Songs!$A177,Data!N$2:N$51,0),NA())</f>
        <v>#N/A</v>
      </c>
      <c r="S177" t="e">
        <f>_xlfn.IFNA(51-MATCH(Songs!$A177,Data!O$2:O$51,0),NA())</f>
        <v>#N/A</v>
      </c>
      <c r="T177" t="e">
        <f>_xlfn.IFNA(51-MATCH(Songs!$A177,Data!P$2:P$51,0),NA())</f>
        <v>#N/A</v>
      </c>
      <c r="U177" t="e">
        <f>_xlfn.IFNA(51-MATCH(Songs!$A177,Data!Q$2:Q$51,0),NA())</f>
        <v>#N/A</v>
      </c>
      <c r="V177" t="e">
        <f>_xlfn.IFNA(51-MATCH(Songs!$A177,Data!R$2:R$51,0),NA())</f>
        <v>#N/A</v>
      </c>
      <c r="W177" t="e">
        <f>_xlfn.IFNA(51-MATCH(Songs!$A177,Data!S$2:S$51,0),NA())</f>
        <v>#N/A</v>
      </c>
      <c r="X177" t="e">
        <f>_xlfn.IFNA(51-MATCH(Songs!$A177,Data!T$2:T$51,0),NA())</f>
        <v>#N/A</v>
      </c>
      <c r="Y177" t="e">
        <f>_xlfn.IFNA(51-MATCH(Songs!$A177,Data!U$2:U$51,0),NA())</f>
        <v>#N/A</v>
      </c>
      <c r="Z177" t="e">
        <f>_xlfn.IFNA(51-MATCH(Songs!$A177,Data!V$2:V$51,0),NA())</f>
        <v>#N/A</v>
      </c>
      <c r="AA177" t="e">
        <f>_xlfn.IFNA(51-MATCH(Songs!$A177,Data!W$2:W$51,0),NA())</f>
        <v>#N/A</v>
      </c>
      <c r="AB177" t="e">
        <f>_xlfn.IFNA(51-MATCH(Songs!$A177,Data!X$2:X$51,0),NA())</f>
        <v>#N/A</v>
      </c>
      <c r="AC177" t="e">
        <f>_xlfn.IFNA(51-MATCH(Songs!$A177,Data!Y$2:Y$51,0),NA())</f>
        <v>#N/A</v>
      </c>
      <c r="AD177" t="e">
        <f>_xlfn.IFNA(51-MATCH(Songs!$A177,Data!Z$2:Z$51,0),NA())</f>
        <v>#N/A</v>
      </c>
      <c r="AE177" t="e">
        <f>_xlfn.IFNA(51-MATCH(Songs!$A177,Data!AA$2:AA$51,0),NA())</f>
        <v>#N/A</v>
      </c>
      <c r="AF177" t="e">
        <f>_xlfn.IFNA(51-MATCH(Songs!$A177,Data!AB$2:AB$51,0),NA())</f>
        <v>#N/A</v>
      </c>
      <c r="AG177" t="e">
        <f>_xlfn.IFNA(51-MATCH(Songs!$A177,Data!AC$2:AC$51,0),NA())</f>
        <v>#N/A</v>
      </c>
      <c r="AH177" t="e">
        <f>_xlfn.IFNA(51-MATCH(Songs!$A177,Data!AD$2:AD$51,0),NA())</f>
        <v>#N/A</v>
      </c>
      <c r="AI177">
        <f>_xlfn.IFNA(51-MATCH(Songs!$A177,Data!AE$2:AE$51,0),NA())</f>
        <v>1</v>
      </c>
    </row>
  </sheetData>
  <conditionalFormatting sqref="G1:G1048576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17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minAxisType="group" maxAxisType="group" xr2:uid="{BD5471AC-4069-4429-A74D-7C3A31F3AF1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Songs!K2:AI2</xm:f>
              <xm:sqref>H2</xm:sqref>
            </x14:sparkline>
            <x14:sparkline>
              <xm:f>Songs!K3:AI3</xm:f>
              <xm:sqref>H3</xm:sqref>
            </x14:sparkline>
            <x14:sparkline>
              <xm:f>Songs!K4:AI4</xm:f>
              <xm:sqref>H4</xm:sqref>
            </x14:sparkline>
            <x14:sparkline>
              <xm:f>Songs!K5:AI5</xm:f>
              <xm:sqref>H5</xm:sqref>
            </x14:sparkline>
            <x14:sparkline>
              <xm:f>Songs!K6:AI6</xm:f>
              <xm:sqref>H6</xm:sqref>
            </x14:sparkline>
            <x14:sparkline>
              <xm:f>Songs!K7:AI7</xm:f>
              <xm:sqref>H7</xm:sqref>
            </x14:sparkline>
            <x14:sparkline>
              <xm:f>Songs!K8:AI8</xm:f>
              <xm:sqref>H8</xm:sqref>
            </x14:sparkline>
            <x14:sparkline>
              <xm:f>Songs!K9:AI9</xm:f>
              <xm:sqref>H9</xm:sqref>
            </x14:sparkline>
            <x14:sparkline>
              <xm:f>Songs!K10:AI10</xm:f>
              <xm:sqref>H10</xm:sqref>
            </x14:sparkline>
            <x14:sparkline>
              <xm:f>Songs!K11:AI11</xm:f>
              <xm:sqref>H11</xm:sqref>
            </x14:sparkline>
            <x14:sparkline>
              <xm:f>Songs!K12:AI12</xm:f>
              <xm:sqref>H12</xm:sqref>
            </x14:sparkline>
            <x14:sparkline>
              <xm:f>Songs!K13:AI13</xm:f>
              <xm:sqref>H13</xm:sqref>
            </x14:sparkline>
            <x14:sparkline>
              <xm:f>Songs!K14:AI14</xm:f>
              <xm:sqref>H14</xm:sqref>
            </x14:sparkline>
            <x14:sparkline>
              <xm:f>Songs!K15:AI15</xm:f>
              <xm:sqref>H15</xm:sqref>
            </x14:sparkline>
            <x14:sparkline>
              <xm:f>Songs!K16:AI16</xm:f>
              <xm:sqref>H16</xm:sqref>
            </x14:sparkline>
            <x14:sparkline>
              <xm:f>Songs!K17:AI17</xm:f>
              <xm:sqref>H17</xm:sqref>
            </x14:sparkline>
            <x14:sparkline>
              <xm:f>Songs!K18:AI18</xm:f>
              <xm:sqref>H18</xm:sqref>
            </x14:sparkline>
            <x14:sparkline>
              <xm:f>Songs!K19:AI19</xm:f>
              <xm:sqref>H19</xm:sqref>
            </x14:sparkline>
            <x14:sparkline>
              <xm:f>Songs!K20:AI20</xm:f>
              <xm:sqref>H20</xm:sqref>
            </x14:sparkline>
            <x14:sparkline>
              <xm:f>Songs!K21:AI21</xm:f>
              <xm:sqref>H21</xm:sqref>
            </x14:sparkline>
            <x14:sparkline>
              <xm:f>Songs!K22:AI22</xm:f>
              <xm:sqref>H22</xm:sqref>
            </x14:sparkline>
            <x14:sparkline>
              <xm:f>Songs!K23:AI23</xm:f>
              <xm:sqref>H23</xm:sqref>
            </x14:sparkline>
            <x14:sparkline>
              <xm:f>Songs!K24:AI24</xm:f>
              <xm:sqref>H24</xm:sqref>
            </x14:sparkline>
            <x14:sparkline>
              <xm:f>Songs!K25:AI25</xm:f>
              <xm:sqref>H25</xm:sqref>
            </x14:sparkline>
            <x14:sparkline>
              <xm:f>Songs!K26:AI26</xm:f>
              <xm:sqref>H26</xm:sqref>
            </x14:sparkline>
            <x14:sparkline>
              <xm:f>Songs!K27:AI27</xm:f>
              <xm:sqref>H27</xm:sqref>
            </x14:sparkline>
            <x14:sparkline>
              <xm:f>Songs!K28:AI28</xm:f>
              <xm:sqref>H28</xm:sqref>
            </x14:sparkline>
            <x14:sparkline>
              <xm:f>Songs!K29:AI29</xm:f>
              <xm:sqref>H29</xm:sqref>
            </x14:sparkline>
            <x14:sparkline>
              <xm:f>Songs!K30:AI30</xm:f>
              <xm:sqref>H30</xm:sqref>
            </x14:sparkline>
            <x14:sparkline>
              <xm:f>Songs!K31:AI31</xm:f>
              <xm:sqref>H31</xm:sqref>
            </x14:sparkline>
            <x14:sparkline>
              <xm:f>Songs!K32:AI32</xm:f>
              <xm:sqref>H32</xm:sqref>
            </x14:sparkline>
            <x14:sparkline>
              <xm:f>Songs!K33:AI33</xm:f>
              <xm:sqref>H33</xm:sqref>
            </x14:sparkline>
            <x14:sparkline>
              <xm:f>Songs!K34:AI34</xm:f>
              <xm:sqref>H34</xm:sqref>
            </x14:sparkline>
            <x14:sparkline>
              <xm:f>Songs!K35:AI35</xm:f>
              <xm:sqref>H35</xm:sqref>
            </x14:sparkline>
            <x14:sparkline>
              <xm:f>Songs!K36:AI36</xm:f>
              <xm:sqref>H36</xm:sqref>
            </x14:sparkline>
            <x14:sparkline>
              <xm:f>Songs!K37:AI37</xm:f>
              <xm:sqref>H37</xm:sqref>
            </x14:sparkline>
            <x14:sparkline>
              <xm:f>Songs!K38:AI38</xm:f>
              <xm:sqref>H38</xm:sqref>
            </x14:sparkline>
            <x14:sparkline>
              <xm:f>Songs!K39:AI39</xm:f>
              <xm:sqref>H39</xm:sqref>
            </x14:sparkline>
            <x14:sparkline>
              <xm:f>Songs!K40:AI40</xm:f>
              <xm:sqref>H40</xm:sqref>
            </x14:sparkline>
            <x14:sparkline>
              <xm:f>Songs!K41:AI41</xm:f>
              <xm:sqref>H41</xm:sqref>
            </x14:sparkline>
            <x14:sparkline>
              <xm:f>Songs!K42:AI42</xm:f>
              <xm:sqref>H42</xm:sqref>
            </x14:sparkline>
            <x14:sparkline>
              <xm:f>Songs!K43:AI43</xm:f>
              <xm:sqref>H43</xm:sqref>
            </x14:sparkline>
            <x14:sparkline>
              <xm:f>Songs!K44:AI44</xm:f>
              <xm:sqref>H44</xm:sqref>
            </x14:sparkline>
            <x14:sparkline>
              <xm:f>Songs!K45:AI45</xm:f>
              <xm:sqref>H45</xm:sqref>
            </x14:sparkline>
            <x14:sparkline>
              <xm:f>Songs!K46:AI46</xm:f>
              <xm:sqref>H46</xm:sqref>
            </x14:sparkline>
            <x14:sparkline>
              <xm:f>Songs!K47:AI47</xm:f>
              <xm:sqref>H47</xm:sqref>
            </x14:sparkline>
            <x14:sparkline>
              <xm:f>Songs!K48:AI48</xm:f>
              <xm:sqref>H48</xm:sqref>
            </x14:sparkline>
            <x14:sparkline>
              <xm:f>Songs!K49:AI49</xm:f>
              <xm:sqref>H49</xm:sqref>
            </x14:sparkline>
            <x14:sparkline>
              <xm:f>Songs!K50:AI50</xm:f>
              <xm:sqref>H50</xm:sqref>
            </x14:sparkline>
            <x14:sparkline>
              <xm:f>Songs!K51:AI51</xm:f>
              <xm:sqref>H51</xm:sqref>
            </x14:sparkline>
            <x14:sparkline>
              <xm:f>Songs!K52:AI52</xm:f>
              <xm:sqref>H52</xm:sqref>
            </x14:sparkline>
            <x14:sparkline>
              <xm:f>Songs!K53:AI53</xm:f>
              <xm:sqref>H53</xm:sqref>
            </x14:sparkline>
            <x14:sparkline>
              <xm:f>Songs!K54:AI54</xm:f>
              <xm:sqref>H54</xm:sqref>
            </x14:sparkline>
            <x14:sparkline>
              <xm:f>Songs!K55:AI55</xm:f>
              <xm:sqref>H55</xm:sqref>
            </x14:sparkline>
            <x14:sparkline>
              <xm:f>Songs!K56:AI56</xm:f>
              <xm:sqref>H56</xm:sqref>
            </x14:sparkline>
            <x14:sparkline>
              <xm:f>Songs!K57:AI57</xm:f>
              <xm:sqref>H57</xm:sqref>
            </x14:sparkline>
            <x14:sparkline>
              <xm:f>Songs!K58:AI58</xm:f>
              <xm:sqref>H58</xm:sqref>
            </x14:sparkline>
            <x14:sparkline>
              <xm:f>Songs!K59:AI59</xm:f>
              <xm:sqref>H59</xm:sqref>
            </x14:sparkline>
            <x14:sparkline>
              <xm:f>Songs!K60:AI60</xm:f>
              <xm:sqref>H60</xm:sqref>
            </x14:sparkline>
            <x14:sparkline>
              <xm:f>Songs!K61:AI61</xm:f>
              <xm:sqref>H61</xm:sqref>
            </x14:sparkline>
            <x14:sparkline>
              <xm:f>Songs!K62:AI62</xm:f>
              <xm:sqref>H62</xm:sqref>
            </x14:sparkline>
            <x14:sparkline>
              <xm:f>Songs!K63:AI63</xm:f>
              <xm:sqref>H63</xm:sqref>
            </x14:sparkline>
            <x14:sparkline>
              <xm:f>Songs!K64:AI64</xm:f>
              <xm:sqref>H64</xm:sqref>
            </x14:sparkline>
            <x14:sparkline>
              <xm:f>Songs!K65:AI65</xm:f>
              <xm:sqref>H65</xm:sqref>
            </x14:sparkline>
            <x14:sparkline>
              <xm:f>Songs!K66:AI66</xm:f>
              <xm:sqref>H66</xm:sqref>
            </x14:sparkline>
            <x14:sparkline>
              <xm:f>Songs!K67:AI67</xm:f>
              <xm:sqref>H67</xm:sqref>
            </x14:sparkline>
            <x14:sparkline>
              <xm:f>Songs!K68:AI68</xm:f>
              <xm:sqref>H68</xm:sqref>
            </x14:sparkline>
            <x14:sparkline>
              <xm:f>Songs!K69:AI69</xm:f>
              <xm:sqref>H69</xm:sqref>
            </x14:sparkline>
            <x14:sparkline>
              <xm:f>Songs!K70:AI70</xm:f>
              <xm:sqref>H70</xm:sqref>
            </x14:sparkline>
            <x14:sparkline>
              <xm:f>Songs!K71:AI71</xm:f>
              <xm:sqref>H71</xm:sqref>
            </x14:sparkline>
            <x14:sparkline>
              <xm:f>Songs!K72:AI72</xm:f>
              <xm:sqref>H72</xm:sqref>
            </x14:sparkline>
            <x14:sparkline>
              <xm:f>Songs!K73:AI73</xm:f>
              <xm:sqref>H73</xm:sqref>
            </x14:sparkline>
            <x14:sparkline>
              <xm:f>Songs!K74:AI74</xm:f>
              <xm:sqref>H74</xm:sqref>
            </x14:sparkline>
            <x14:sparkline>
              <xm:f>Songs!K75:AI75</xm:f>
              <xm:sqref>H75</xm:sqref>
            </x14:sparkline>
            <x14:sparkline>
              <xm:f>Songs!K76:AI76</xm:f>
              <xm:sqref>H76</xm:sqref>
            </x14:sparkline>
            <x14:sparkline>
              <xm:f>Songs!K77:AI77</xm:f>
              <xm:sqref>H77</xm:sqref>
            </x14:sparkline>
            <x14:sparkline>
              <xm:f>Songs!K78:AI78</xm:f>
              <xm:sqref>H78</xm:sqref>
            </x14:sparkline>
            <x14:sparkline>
              <xm:f>Songs!K79:AI79</xm:f>
              <xm:sqref>H79</xm:sqref>
            </x14:sparkline>
            <x14:sparkline>
              <xm:f>Songs!K80:AI80</xm:f>
              <xm:sqref>H80</xm:sqref>
            </x14:sparkline>
            <x14:sparkline>
              <xm:f>Songs!K81:AI81</xm:f>
              <xm:sqref>H81</xm:sqref>
            </x14:sparkline>
            <x14:sparkline>
              <xm:f>Songs!K82:AI82</xm:f>
              <xm:sqref>H82</xm:sqref>
            </x14:sparkline>
            <x14:sparkline>
              <xm:f>Songs!K83:AI83</xm:f>
              <xm:sqref>H83</xm:sqref>
            </x14:sparkline>
            <x14:sparkline>
              <xm:f>Songs!K84:AI84</xm:f>
              <xm:sqref>H84</xm:sqref>
            </x14:sparkline>
            <x14:sparkline>
              <xm:f>Songs!K85:AI85</xm:f>
              <xm:sqref>H85</xm:sqref>
            </x14:sparkline>
            <x14:sparkline>
              <xm:f>Songs!K86:AI86</xm:f>
              <xm:sqref>H86</xm:sqref>
            </x14:sparkline>
            <x14:sparkline>
              <xm:f>Songs!K87:AI87</xm:f>
              <xm:sqref>H87</xm:sqref>
            </x14:sparkline>
            <x14:sparkline>
              <xm:f>Songs!K88:AI88</xm:f>
              <xm:sqref>H88</xm:sqref>
            </x14:sparkline>
            <x14:sparkline>
              <xm:f>Songs!K89:AI89</xm:f>
              <xm:sqref>H89</xm:sqref>
            </x14:sparkline>
            <x14:sparkline>
              <xm:f>Songs!K90:AI90</xm:f>
              <xm:sqref>H90</xm:sqref>
            </x14:sparkline>
            <x14:sparkline>
              <xm:f>Songs!K91:AI91</xm:f>
              <xm:sqref>H91</xm:sqref>
            </x14:sparkline>
            <x14:sparkline>
              <xm:f>Songs!K92:AI92</xm:f>
              <xm:sqref>H92</xm:sqref>
            </x14:sparkline>
            <x14:sparkline>
              <xm:f>Songs!K93:AI93</xm:f>
              <xm:sqref>H93</xm:sqref>
            </x14:sparkline>
            <x14:sparkline>
              <xm:f>Songs!K94:AI94</xm:f>
              <xm:sqref>H94</xm:sqref>
            </x14:sparkline>
            <x14:sparkline>
              <xm:f>Songs!K95:AI95</xm:f>
              <xm:sqref>H95</xm:sqref>
            </x14:sparkline>
            <x14:sparkline>
              <xm:f>Songs!K96:AI96</xm:f>
              <xm:sqref>H96</xm:sqref>
            </x14:sparkline>
            <x14:sparkline>
              <xm:f>Songs!K97:AI97</xm:f>
              <xm:sqref>H97</xm:sqref>
            </x14:sparkline>
            <x14:sparkline>
              <xm:f>Songs!K98:AI98</xm:f>
              <xm:sqref>H98</xm:sqref>
            </x14:sparkline>
            <x14:sparkline>
              <xm:f>Songs!K99:AI99</xm:f>
              <xm:sqref>H99</xm:sqref>
            </x14:sparkline>
            <x14:sparkline>
              <xm:f>Songs!K100:AI100</xm:f>
              <xm:sqref>H100</xm:sqref>
            </x14:sparkline>
            <x14:sparkline>
              <xm:f>Songs!K101:AI101</xm:f>
              <xm:sqref>H101</xm:sqref>
            </x14:sparkline>
            <x14:sparkline>
              <xm:f>Songs!K102:AI102</xm:f>
              <xm:sqref>H102</xm:sqref>
            </x14:sparkline>
            <x14:sparkline>
              <xm:f>Songs!K103:AI103</xm:f>
              <xm:sqref>H103</xm:sqref>
            </x14:sparkline>
            <x14:sparkline>
              <xm:f>Songs!K104:AI104</xm:f>
              <xm:sqref>H104</xm:sqref>
            </x14:sparkline>
            <x14:sparkline>
              <xm:f>Songs!K105:AI105</xm:f>
              <xm:sqref>H105</xm:sqref>
            </x14:sparkline>
            <x14:sparkline>
              <xm:f>Songs!K106:AI106</xm:f>
              <xm:sqref>H106</xm:sqref>
            </x14:sparkline>
            <x14:sparkline>
              <xm:f>Songs!K107:AI107</xm:f>
              <xm:sqref>H107</xm:sqref>
            </x14:sparkline>
            <x14:sparkline>
              <xm:f>Songs!K108:AI108</xm:f>
              <xm:sqref>H108</xm:sqref>
            </x14:sparkline>
            <x14:sparkline>
              <xm:f>Songs!K109:AI109</xm:f>
              <xm:sqref>H109</xm:sqref>
            </x14:sparkline>
            <x14:sparkline>
              <xm:f>Songs!K110:AI110</xm:f>
              <xm:sqref>H110</xm:sqref>
            </x14:sparkline>
            <x14:sparkline>
              <xm:f>Songs!K111:AI111</xm:f>
              <xm:sqref>H111</xm:sqref>
            </x14:sparkline>
            <x14:sparkline>
              <xm:f>Songs!K112:AI112</xm:f>
              <xm:sqref>H112</xm:sqref>
            </x14:sparkline>
            <x14:sparkline>
              <xm:f>Songs!K113:AI113</xm:f>
              <xm:sqref>H113</xm:sqref>
            </x14:sparkline>
            <x14:sparkline>
              <xm:f>Songs!K114:AI114</xm:f>
              <xm:sqref>H114</xm:sqref>
            </x14:sparkline>
            <x14:sparkline>
              <xm:f>Songs!K115:AI115</xm:f>
              <xm:sqref>H115</xm:sqref>
            </x14:sparkline>
            <x14:sparkline>
              <xm:f>Songs!K116:AI116</xm:f>
              <xm:sqref>H116</xm:sqref>
            </x14:sparkline>
            <x14:sparkline>
              <xm:f>Songs!K117:AI117</xm:f>
              <xm:sqref>H117</xm:sqref>
            </x14:sparkline>
            <x14:sparkline>
              <xm:f>Songs!K118:AI118</xm:f>
              <xm:sqref>H118</xm:sqref>
            </x14:sparkline>
            <x14:sparkline>
              <xm:f>Songs!K119:AI119</xm:f>
              <xm:sqref>H119</xm:sqref>
            </x14:sparkline>
            <x14:sparkline>
              <xm:f>Songs!K120:AI120</xm:f>
              <xm:sqref>H120</xm:sqref>
            </x14:sparkline>
            <x14:sparkline>
              <xm:f>Songs!K121:AI121</xm:f>
              <xm:sqref>H121</xm:sqref>
            </x14:sparkline>
            <x14:sparkline>
              <xm:f>Songs!K122:AI122</xm:f>
              <xm:sqref>H122</xm:sqref>
            </x14:sparkline>
            <x14:sparkline>
              <xm:f>Songs!K123:AI123</xm:f>
              <xm:sqref>H123</xm:sqref>
            </x14:sparkline>
            <x14:sparkline>
              <xm:f>Songs!K124:AI124</xm:f>
              <xm:sqref>H124</xm:sqref>
            </x14:sparkline>
            <x14:sparkline>
              <xm:f>Songs!K125:AI125</xm:f>
              <xm:sqref>H125</xm:sqref>
            </x14:sparkline>
            <x14:sparkline>
              <xm:f>Songs!K126:AI126</xm:f>
              <xm:sqref>H126</xm:sqref>
            </x14:sparkline>
            <x14:sparkline>
              <xm:f>Songs!K127:AI127</xm:f>
              <xm:sqref>H127</xm:sqref>
            </x14:sparkline>
            <x14:sparkline>
              <xm:f>Songs!K128:AI128</xm:f>
              <xm:sqref>H128</xm:sqref>
            </x14:sparkline>
            <x14:sparkline>
              <xm:f>Songs!K129:AI129</xm:f>
              <xm:sqref>H129</xm:sqref>
            </x14:sparkline>
            <x14:sparkline>
              <xm:f>Songs!K130:AI130</xm:f>
              <xm:sqref>H130</xm:sqref>
            </x14:sparkline>
            <x14:sparkline>
              <xm:f>Songs!K131:AI131</xm:f>
              <xm:sqref>H131</xm:sqref>
            </x14:sparkline>
            <x14:sparkline>
              <xm:f>Songs!K132:AI132</xm:f>
              <xm:sqref>H132</xm:sqref>
            </x14:sparkline>
            <x14:sparkline>
              <xm:f>Songs!K133:AI133</xm:f>
              <xm:sqref>H133</xm:sqref>
            </x14:sparkline>
            <x14:sparkline>
              <xm:f>Songs!K134:AI134</xm:f>
              <xm:sqref>H134</xm:sqref>
            </x14:sparkline>
            <x14:sparkline>
              <xm:f>Songs!K135:AI135</xm:f>
              <xm:sqref>H135</xm:sqref>
            </x14:sparkline>
            <x14:sparkline>
              <xm:f>Songs!K136:AI136</xm:f>
              <xm:sqref>H136</xm:sqref>
            </x14:sparkline>
            <x14:sparkline>
              <xm:f>Songs!K137:AI137</xm:f>
              <xm:sqref>H137</xm:sqref>
            </x14:sparkline>
            <x14:sparkline>
              <xm:f>Songs!K138:AI138</xm:f>
              <xm:sqref>H138</xm:sqref>
            </x14:sparkline>
            <x14:sparkline>
              <xm:f>Songs!K139:AI139</xm:f>
              <xm:sqref>H139</xm:sqref>
            </x14:sparkline>
            <x14:sparkline>
              <xm:f>Songs!K140:AI140</xm:f>
              <xm:sqref>H140</xm:sqref>
            </x14:sparkline>
            <x14:sparkline>
              <xm:f>Songs!K141:AI141</xm:f>
              <xm:sqref>H141</xm:sqref>
            </x14:sparkline>
            <x14:sparkline>
              <xm:f>Songs!K142:AI142</xm:f>
              <xm:sqref>H142</xm:sqref>
            </x14:sparkline>
            <x14:sparkline>
              <xm:f>Songs!K143:AI143</xm:f>
              <xm:sqref>H143</xm:sqref>
            </x14:sparkline>
            <x14:sparkline>
              <xm:f>Songs!K144:AI144</xm:f>
              <xm:sqref>H144</xm:sqref>
            </x14:sparkline>
            <x14:sparkline>
              <xm:f>Songs!K145:AI145</xm:f>
              <xm:sqref>H145</xm:sqref>
            </x14:sparkline>
            <x14:sparkline>
              <xm:f>Songs!K146:AI146</xm:f>
              <xm:sqref>H146</xm:sqref>
            </x14:sparkline>
            <x14:sparkline>
              <xm:f>Songs!K147:AI147</xm:f>
              <xm:sqref>H147</xm:sqref>
            </x14:sparkline>
            <x14:sparkline>
              <xm:f>Songs!K148:AI148</xm:f>
              <xm:sqref>H148</xm:sqref>
            </x14:sparkline>
            <x14:sparkline>
              <xm:f>Songs!K149:AI149</xm:f>
              <xm:sqref>H149</xm:sqref>
            </x14:sparkline>
            <x14:sparkline>
              <xm:f>Songs!K150:AI150</xm:f>
              <xm:sqref>H150</xm:sqref>
            </x14:sparkline>
            <x14:sparkline>
              <xm:f>Songs!K151:AI151</xm:f>
              <xm:sqref>H151</xm:sqref>
            </x14:sparkline>
            <x14:sparkline>
              <xm:f>Songs!K152:AI152</xm:f>
              <xm:sqref>H152</xm:sqref>
            </x14:sparkline>
            <x14:sparkline>
              <xm:f>Songs!K153:AI153</xm:f>
              <xm:sqref>H153</xm:sqref>
            </x14:sparkline>
            <x14:sparkline>
              <xm:f>Songs!K154:AI154</xm:f>
              <xm:sqref>H154</xm:sqref>
            </x14:sparkline>
            <x14:sparkline>
              <xm:f>Songs!K155:AI155</xm:f>
              <xm:sqref>H155</xm:sqref>
            </x14:sparkline>
            <x14:sparkline>
              <xm:f>Songs!K156:AI156</xm:f>
              <xm:sqref>H156</xm:sqref>
            </x14:sparkline>
            <x14:sparkline>
              <xm:f>Songs!K157:AI157</xm:f>
              <xm:sqref>H157</xm:sqref>
            </x14:sparkline>
            <x14:sparkline>
              <xm:f>Songs!K158:AI158</xm:f>
              <xm:sqref>H158</xm:sqref>
            </x14:sparkline>
            <x14:sparkline>
              <xm:f>Songs!K159:AI159</xm:f>
              <xm:sqref>H159</xm:sqref>
            </x14:sparkline>
            <x14:sparkline>
              <xm:f>Songs!K160:AI160</xm:f>
              <xm:sqref>H160</xm:sqref>
            </x14:sparkline>
            <x14:sparkline>
              <xm:f>Songs!K161:AI161</xm:f>
              <xm:sqref>H161</xm:sqref>
            </x14:sparkline>
            <x14:sparkline>
              <xm:f>Songs!K162:AI162</xm:f>
              <xm:sqref>H162</xm:sqref>
            </x14:sparkline>
            <x14:sparkline>
              <xm:f>Songs!K163:AI163</xm:f>
              <xm:sqref>H163</xm:sqref>
            </x14:sparkline>
            <x14:sparkline>
              <xm:f>Songs!K164:AI164</xm:f>
              <xm:sqref>H164</xm:sqref>
            </x14:sparkline>
            <x14:sparkline>
              <xm:f>Songs!K165:AI165</xm:f>
              <xm:sqref>H165</xm:sqref>
            </x14:sparkline>
            <x14:sparkline>
              <xm:f>Songs!K166:AI166</xm:f>
              <xm:sqref>H166</xm:sqref>
            </x14:sparkline>
            <x14:sparkline>
              <xm:f>Songs!K167:AI167</xm:f>
              <xm:sqref>H167</xm:sqref>
            </x14:sparkline>
            <x14:sparkline>
              <xm:f>Songs!K168:AI168</xm:f>
              <xm:sqref>H168</xm:sqref>
            </x14:sparkline>
            <x14:sparkline>
              <xm:f>Songs!K169:AI169</xm:f>
              <xm:sqref>H169</xm:sqref>
            </x14:sparkline>
            <x14:sparkline>
              <xm:f>Songs!K170:AI170</xm:f>
              <xm:sqref>H170</xm:sqref>
            </x14:sparkline>
            <x14:sparkline>
              <xm:f>Songs!K171:AI171</xm:f>
              <xm:sqref>H171</xm:sqref>
            </x14:sparkline>
            <x14:sparkline>
              <xm:f>Songs!K172:AI172</xm:f>
              <xm:sqref>H172</xm:sqref>
            </x14:sparkline>
            <x14:sparkline>
              <xm:f>Songs!K173:AI173</xm:f>
              <xm:sqref>H173</xm:sqref>
            </x14:sparkline>
            <x14:sparkline>
              <xm:f>Songs!K174:AI174</xm:f>
              <xm:sqref>H174</xm:sqref>
            </x14:sparkline>
            <x14:sparkline>
              <xm:f>Songs!K175:AI175</xm:f>
              <xm:sqref>H175</xm:sqref>
            </x14:sparkline>
            <x14:sparkline>
              <xm:f>Songs!K176:AI176</xm:f>
              <xm:sqref>H176</xm:sqref>
            </x14:sparkline>
            <x14:sparkline>
              <xm:f>Songs!K177:AI177</xm:f>
              <xm:sqref>H177</xm:sqref>
            </x14:sparkline>
          </x14:sparklines>
        </x14:sparklineGroup>
        <x14:sparklineGroup manualMax="0" manualMin="0" displayEmptyCellsAs="gap" high="1" xr2:uid="{CA2E2D29-B2A6-43A3-A462-5CFB22E607F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Songs!K2:AI2</xm:f>
              <xm:sqref>I2</xm:sqref>
            </x14:sparkline>
            <x14:sparkline>
              <xm:f>Songs!K3:AI3</xm:f>
              <xm:sqref>I3</xm:sqref>
            </x14:sparkline>
            <x14:sparkline>
              <xm:f>Songs!K4:AI4</xm:f>
              <xm:sqref>I4</xm:sqref>
            </x14:sparkline>
            <x14:sparkline>
              <xm:f>Songs!K5:AI5</xm:f>
              <xm:sqref>I5</xm:sqref>
            </x14:sparkline>
            <x14:sparkline>
              <xm:f>Songs!K6:AI6</xm:f>
              <xm:sqref>I6</xm:sqref>
            </x14:sparkline>
            <x14:sparkline>
              <xm:f>Songs!K7:AI7</xm:f>
              <xm:sqref>I7</xm:sqref>
            </x14:sparkline>
            <x14:sparkline>
              <xm:f>Songs!K8:AI8</xm:f>
              <xm:sqref>I8</xm:sqref>
            </x14:sparkline>
            <x14:sparkline>
              <xm:f>Songs!K9:AI9</xm:f>
              <xm:sqref>I9</xm:sqref>
            </x14:sparkline>
            <x14:sparkline>
              <xm:f>Songs!K10:AI10</xm:f>
              <xm:sqref>I10</xm:sqref>
            </x14:sparkline>
            <x14:sparkline>
              <xm:f>Songs!K11:AI11</xm:f>
              <xm:sqref>I11</xm:sqref>
            </x14:sparkline>
            <x14:sparkline>
              <xm:f>Songs!K12:AI12</xm:f>
              <xm:sqref>I12</xm:sqref>
            </x14:sparkline>
            <x14:sparkline>
              <xm:f>Songs!K13:AI13</xm:f>
              <xm:sqref>I13</xm:sqref>
            </x14:sparkline>
            <x14:sparkline>
              <xm:f>Songs!K14:AI14</xm:f>
              <xm:sqref>I14</xm:sqref>
            </x14:sparkline>
            <x14:sparkline>
              <xm:f>Songs!K15:AI15</xm:f>
              <xm:sqref>I15</xm:sqref>
            </x14:sparkline>
            <x14:sparkline>
              <xm:f>Songs!K16:AI16</xm:f>
              <xm:sqref>I16</xm:sqref>
            </x14:sparkline>
            <x14:sparkline>
              <xm:f>Songs!K17:AI17</xm:f>
              <xm:sqref>I17</xm:sqref>
            </x14:sparkline>
            <x14:sparkline>
              <xm:f>Songs!K18:AI18</xm:f>
              <xm:sqref>I18</xm:sqref>
            </x14:sparkline>
            <x14:sparkline>
              <xm:f>Songs!K19:AI19</xm:f>
              <xm:sqref>I19</xm:sqref>
            </x14:sparkline>
            <x14:sparkline>
              <xm:f>Songs!K20:AI20</xm:f>
              <xm:sqref>I20</xm:sqref>
            </x14:sparkline>
            <x14:sparkline>
              <xm:f>Songs!K21:AI21</xm:f>
              <xm:sqref>I21</xm:sqref>
            </x14:sparkline>
            <x14:sparkline>
              <xm:f>Songs!K22:AI22</xm:f>
              <xm:sqref>I22</xm:sqref>
            </x14:sparkline>
            <x14:sparkline>
              <xm:f>Songs!K23:AI23</xm:f>
              <xm:sqref>I23</xm:sqref>
            </x14:sparkline>
            <x14:sparkline>
              <xm:f>Songs!K24:AI24</xm:f>
              <xm:sqref>I24</xm:sqref>
            </x14:sparkline>
            <x14:sparkline>
              <xm:f>Songs!K25:AI25</xm:f>
              <xm:sqref>I25</xm:sqref>
            </x14:sparkline>
            <x14:sparkline>
              <xm:f>Songs!K26:AI26</xm:f>
              <xm:sqref>I26</xm:sqref>
            </x14:sparkline>
            <x14:sparkline>
              <xm:f>Songs!K27:AI27</xm:f>
              <xm:sqref>I27</xm:sqref>
            </x14:sparkline>
            <x14:sparkline>
              <xm:f>Songs!K28:AI28</xm:f>
              <xm:sqref>I28</xm:sqref>
            </x14:sparkline>
            <x14:sparkline>
              <xm:f>Songs!K29:AI29</xm:f>
              <xm:sqref>I29</xm:sqref>
            </x14:sparkline>
            <x14:sparkline>
              <xm:f>Songs!K30:AI30</xm:f>
              <xm:sqref>I30</xm:sqref>
            </x14:sparkline>
            <x14:sparkline>
              <xm:f>Songs!K31:AI31</xm:f>
              <xm:sqref>I31</xm:sqref>
            </x14:sparkline>
            <x14:sparkline>
              <xm:f>Songs!K32:AI32</xm:f>
              <xm:sqref>I32</xm:sqref>
            </x14:sparkline>
            <x14:sparkline>
              <xm:f>Songs!K33:AI33</xm:f>
              <xm:sqref>I33</xm:sqref>
            </x14:sparkline>
            <x14:sparkline>
              <xm:f>Songs!K34:AI34</xm:f>
              <xm:sqref>I34</xm:sqref>
            </x14:sparkline>
            <x14:sparkline>
              <xm:f>Songs!K35:AI35</xm:f>
              <xm:sqref>I35</xm:sqref>
            </x14:sparkline>
            <x14:sparkline>
              <xm:f>Songs!K36:AI36</xm:f>
              <xm:sqref>I36</xm:sqref>
            </x14:sparkline>
            <x14:sparkline>
              <xm:f>Songs!K37:AI37</xm:f>
              <xm:sqref>I37</xm:sqref>
            </x14:sparkline>
            <x14:sparkline>
              <xm:f>Songs!K38:AI38</xm:f>
              <xm:sqref>I38</xm:sqref>
            </x14:sparkline>
            <x14:sparkline>
              <xm:f>Songs!K39:AI39</xm:f>
              <xm:sqref>I39</xm:sqref>
            </x14:sparkline>
            <x14:sparkline>
              <xm:f>Songs!K40:AI40</xm:f>
              <xm:sqref>I40</xm:sqref>
            </x14:sparkline>
            <x14:sparkline>
              <xm:f>Songs!K41:AI41</xm:f>
              <xm:sqref>I41</xm:sqref>
            </x14:sparkline>
            <x14:sparkline>
              <xm:f>Songs!K42:AI42</xm:f>
              <xm:sqref>I42</xm:sqref>
            </x14:sparkline>
            <x14:sparkline>
              <xm:f>Songs!K43:AI43</xm:f>
              <xm:sqref>I43</xm:sqref>
            </x14:sparkline>
            <x14:sparkline>
              <xm:f>Songs!K44:AI44</xm:f>
              <xm:sqref>I44</xm:sqref>
            </x14:sparkline>
            <x14:sparkline>
              <xm:f>Songs!K45:AI45</xm:f>
              <xm:sqref>I45</xm:sqref>
            </x14:sparkline>
            <x14:sparkline>
              <xm:f>Songs!K46:AI46</xm:f>
              <xm:sqref>I46</xm:sqref>
            </x14:sparkline>
            <x14:sparkline>
              <xm:f>Songs!K47:AI47</xm:f>
              <xm:sqref>I47</xm:sqref>
            </x14:sparkline>
            <x14:sparkline>
              <xm:f>Songs!K48:AI48</xm:f>
              <xm:sqref>I48</xm:sqref>
            </x14:sparkline>
            <x14:sparkline>
              <xm:f>Songs!K49:AI49</xm:f>
              <xm:sqref>I49</xm:sqref>
            </x14:sparkline>
            <x14:sparkline>
              <xm:f>Songs!K50:AI50</xm:f>
              <xm:sqref>I50</xm:sqref>
            </x14:sparkline>
            <x14:sparkline>
              <xm:f>Songs!K51:AI51</xm:f>
              <xm:sqref>I51</xm:sqref>
            </x14:sparkline>
            <x14:sparkline>
              <xm:f>Songs!K52:AI52</xm:f>
              <xm:sqref>I52</xm:sqref>
            </x14:sparkline>
            <x14:sparkline>
              <xm:f>Songs!K53:AI53</xm:f>
              <xm:sqref>I53</xm:sqref>
            </x14:sparkline>
            <x14:sparkline>
              <xm:f>Songs!K54:AI54</xm:f>
              <xm:sqref>I54</xm:sqref>
            </x14:sparkline>
            <x14:sparkline>
              <xm:f>Songs!K55:AI55</xm:f>
              <xm:sqref>I55</xm:sqref>
            </x14:sparkline>
            <x14:sparkline>
              <xm:f>Songs!K56:AI56</xm:f>
              <xm:sqref>I56</xm:sqref>
            </x14:sparkline>
            <x14:sparkline>
              <xm:f>Songs!K57:AI57</xm:f>
              <xm:sqref>I57</xm:sqref>
            </x14:sparkline>
            <x14:sparkline>
              <xm:f>Songs!K58:AI58</xm:f>
              <xm:sqref>I58</xm:sqref>
            </x14:sparkline>
            <x14:sparkline>
              <xm:f>Songs!K59:AI59</xm:f>
              <xm:sqref>I59</xm:sqref>
            </x14:sparkline>
            <x14:sparkline>
              <xm:f>Songs!K60:AI60</xm:f>
              <xm:sqref>I60</xm:sqref>
            </x14:sparkline>
            <x14:sparkline>
              <xm:f>Songs!K61:AI61</xm:f>
              <xm:sqref>I61</xm:sqref>
            </x14:sparkline>
            <x14:sparkline>
              <xm:f>Songs!K62:AI62</xm:f>
              <xm:sqref>I62</xm:sqref>
            </x14:sparkline>
            <x14:sparkline>
              <xm:f>Songs!K63:AI63</xm:f>
              <xm:sqref>I63</xm:sqref>
            </x14:sparkline>
            <x14:sparkline>
              <xm:f>Songs!K64:AI64</xm:f>
              <xm:sqref>I64</xm:sqref>
            </x14:sparkline>
            <x14:sparkline>
              <xm:f>Songs!K65:AI65</xm:f>
              <xm:sqref>I65</xm:sqref>
            </x14:sparkline>
            <x14:sparkline>
              <xm:f>Songs!K66:AI66</xm:f>
              <xm:sqref>I66</xm:sqref>
            </x14:sparkline>
            <x14:sparkline>
              <xm:f>Songs!K67:AI67</xm:f>
              <xm:sqref>I67</xm:sqref>
            </x14:sparkline>
            <x14:sparkline>
              <xm:f>Songs!K68:AI68</xm:f>
              <xm:sqref>I68</xm:sqref>
            </x14:sparkline>
            <x14:sparkline>
              <xm:f>Songs!K69:AI69</xm:f>
              <xm:sqref>I69</xm:sqref>
            </x14:sparkline>
            <x14:sparkline>
              <xm:f>Songs!K70:AI70</xm:f>
              <xm:sqref>I70</xm:sqref>
            </x14:sparkline>
            <x14:sparkline>
              <xm:f>Songs!K71:AI71</xm:f>
              <xm:sqref>I71</xm:sqref>
            </x14:sparkline>
            <x14:sparkline>
              <xm:f>Songs!K72:AI72</xm:f>
              <xm:sqref>I72</xm:sqref>
            </x14:sparkline>
            <x14:sparkline>
              <xm:f>Songs!K73:AI73</xm:f>
              <xm:sqref>I73</xm:sqref>
            </x14:sparkline>
            <x14:sparkline>
              <xm:f>Songs!K74:AI74</xm:f>
              <xm:sqref>I74</xm:sqref>
            </x14:sparkline>
            <x14:sparkline>
              <xm:f>Songs!K75:AI75</xm:f>
              <xm:sqref>I75</xm:sqref>
            </x14:sparkline>
            <x14:sparkline>
              <xm:f>Songs!K76:AI76</xm:f>
              <xm:sqref>I76</xm:sqref>
            </x14:sparkline>
            <x14:sparkline>
              <xm:f>Songs!K77:AI77</xm:f>
              <xm:sqref>I77</xm:sqref>
            </x14:sparkline>
            <x14:sparkline>
              <xm:f>Songs!K78:AI78</xm:f>
              <xm:sqref>I78</xm:sqref>
            </x14:sparkline>
            <x14:sparkline>
              <xm:f>Songs!K79:AI79</xm:f>
              <xm:sqref>I79</xm:sqref>
            </x14:sparkline>
            <x14:sparkline>
              <xm:f>Songs!K80:AI80</xm:f>
              <xm:sqref>I80</xm:sqref>
            </x14:sparkline>
            <x14:sparkline>
              <xm:f>Songs!K81:AI81</xm:f>
              <xm:sqref>I81</xm:sqref>
            </x14:sparkline>
            <x14:sparkline>
              <xm:f>Songs!K82:AI82</xm:f>
              <xm:sqref>I82</xm:sqref>
            </x14:sparkline>
            <x14:sparkline>
              <xm:f>Songs!K83:AI83</xm:f>
              <xm:sqref>I83</xm:sqref>
            </x14:sparkline>
            <x14:sparkline>
              <xm:f>Songs!K84:AI84</xm:f>
              <xm:sqref>I84</xm:sqref>
            </x14:sparkline>
            <x14:sparkline>
              <xm:f>Songs!K85:AI85</xm:f>
              <xm:sqref>I85</xm:sqref>
            </x14:sparkline>
            <x14:sparkline>
              <xm:f>Songs!K86:AI86</xm:f>
              <xm:sqref>I86</xm:sqref>
            </x14:sparkline>
            <x14:sparkline>
              <xm:f>Songs!K87:AI87</xm:f>
              <xm:sqref>I87</xm:sqref>
            </x14:sparkline>
            <x14:sparkline>
              <xm:f>Songs!K88:AI88</xm:f>
              <xm:sqref>I88</xm:sqref>
            </x14:sparkline>
            <x14:sparkline>
              <xm:f>Songs!K89:AI89</xm:f>
              <xm:sqref>I89</xm:sqref>
            </x14:sparkline>
            <x14:sparkline>
              <xm:f>Songs!K90:AI90</xm:f>
              <xm:sqref>I90</xm:sqref>
            </x14:sparkline>
            <x14:sparkline>
              <xm:f>Songs!K91:AI91</xm:f>
              <xm:sqref>I91</xm:sqref>
            </x14:sparkline>
            <x14:sparkline>
              <xm:f>Songs!K92:AI92</xm:f>
              <xm:sqref>I92</xm:sqref>
            </x14:sparkline>
            <x14:sparkline>
              <xm:f>Songs!K93:AI93</xm:f>
              <xm:sqref>I93</xm:sqref>
            </x14:sparkline>
            <x14:sparkline>
              <xm:f>Songs!K94:AI94</xm:f>
              <xm:sqref>I94</xm:sqref>
            </x14:sparkline>
            <x14:sparkline>
              <xm:f>Songs!K95:AI95</xm:f>
              <xm:sqref>I95</xm:sqref>
            </x14:sparkline>
            <x14:sparkline>
              <xm:f>Songs!K96:AI96</xm:f>
              <xm:sqref>I96</xm:sqref>
            </x14:sparkline>
            <x14:sparkline>
              <xm:f>Songs!K97:AI97</xm:f>
              <xm:sqref>I97</xm:sqref>
            </x14:sparkline>
            <x14:sparkline>
              <xm:f>Songs!K98:AI98</xm:f>
              <xm:sqref>I98</xm:sqref>
            </x14:sparkline>
            <x14:sparkline>
              <xm:f>Songs!K99:AI99</xm:f>
              <xm:sqref>I99</xm:sqref>
            </x14:sparkline>
            <x14:sparkline>
              <xm:f>Songs!K100:AI100</xm:f>
              <xm:sqref>I100</xm:sqref>
            </x14:sparkline>
            <x14:sparkline>
              <xm:f>Songs!K101:AI101</xm:f>
              <xm:sqref>I101</xm:sqref>
            </x14:sparkline>
            <x14:sparkline>
              <xm:f>Songs!K102:AI102</xm:f>
              <xm:sqref>I102</xm:sqref>
            </x14:sparkline>
            <x14:sparkline>
              <xm:f>Songs!K103:AI103</xm:f>
              <xm:sqref>I103</xm:sqref>
            </x14:sparkline>
            <x14:sparkline>
              <xm:f>Songs!K104:AI104</xm:f>
              <xm:sqref>I104</xm:sqref>
            </x14:sparkline>
            <x14:sparkline>
              <xm:f>Songs!K105:AI105</xm:f>
              <xm:sqref>I105</xm:sqref>
            </x14:sparkline>
            <x14:sparkline>
              <xm:f>Songs!K106:AI106</xm:f>
              <xm:sqref>I106</xm:sqref>
            </x14:sparkline>
            <x14:sparkline>
              <xm:f>Songs!K107:AI107</xm:f>
              <xm:sqref>I107</xm:sqref>
            </x14:sparkline>
            <x14:sparkline>
              <xm:f>Songs!K108:AI108</xm:f>
              <xm:sqref>I108</xm:sqref>
            </x14:sparkline>
            <x14:sparkline>
              <xm:f>Songs!K109:AI109</xm:f>
              <xm:sqref>I109</xm:sqref>
            </x14:sparkline>
            <x14:sparkline>
              <xm:f>Songs!K110:AI110</xm:f>
              <xm:sqref>I110</xm:sqref>
            </x14:sparkline>
            <x14:sparkline>
              <xm:f>Songs!K111:AI111</xm:f>
              <xm:sqref>I111</xm:sqref>
            </x14:sparkline>
            <x14:sparkline>
              <xm:f>Songs!K112:AI112</xm:f>
              <xm:sqref>I112</xm:sqref>
            </x14:sparkline>
            <x14:sparkline>
              <xm:f>Songs!K113:AI113</xm:f>
              <xm:sqref>I113</xm:sqref>
            </x14:sparkline>
            <x14:sparkline>
              <xm:f>Songs!K114:AI114</xm:f>
              <xm:sqref>I114</xm:sqref>
            </x14:sparkline>
            <x14:sparkline>
              <xm:f>Songs!K115:AI115</xm:f>
              <xm:sqref>I115</xm:sqref>
            </x14:sparkline>
            <x14:sparkline>
              <xm:f>Songs!K116:AI116</xm:f>
              <xm:sqref>I116</xm:sqref>
            </x14:sparkline>
            <x14:sparkline>
              <xm:f>Songs!K117:AI117</xm:f>
              <xm:sqref>I117</xm:sqref>
            </x14:sparkline>
            <x14:sparkline>
              <xm:f>Songs!K118:AI118</xm:f>
              <xm:sqref>I118</xm:sqref>
            </x14:sparkline>
            <x14:sparkline>
              <xm:f>Songs!K119:AI119</xm:f>
              <xm:sqref>I119</xm:sqref>
            </x14:sparkline>
            <x14:sparkline>
              <xm:f>Songs!K120:AI120</xm:f>
              <xm:sqref>I120</xm:sqref>
            </x14:sparkline>
            <x14:sparkline>
              <xm:f>Songs!K121:AI121</xm:f>
              <xm:sqref>I121</xm:sqref>
            </x14:sparkline>
            <x14:sparkline>
              <xm:f>Songs!K122:AI122</xm:f>
              <xm:sqref>I122</xm:sqref>
            </x14:sparkline>
            <x14:sparkline>
              <xm:f>Songs!K123:AI123</xm:f>
              <xm:sqref>I123</xm:sqref>
            </x14:sparkline>
            <x14:sparkline>
              <xm:f>Songs!K124:AI124</xm:f>
              <xm:sqref>I124</xm:sqref>
            </x14:sparkline>
            <x14:sparkline>
              <xm:f>Songs!K125:AI125</xm:f>
              <xm:sqref>I125</xm:sqref>
            </x14:sparkline>
            <x14:sparkline>
              <xm:f>Songs!K126:AI126</xm:f>
              <xm:sqref>I126</xm:sqref>
            </x14:sparkline>
            <x14:sparkline>
              <xm:f>Songs!K127:AI127</xm:f>
              <xm:sqref>I127</xm:sqref>
            </x14:sparkline>
            <x14:sparkline>
              <xm:f>Songs!K128:AI128</xm:f>
              <xm:sqref>I128</xm:sqref>
            </x14:sparkline>
            <x14:sparkline>
              <xm:f>Songs!K129:AI129</xm:f>
              <xm:sqref>I129</xm:sqref>
            </x14:sparkline>
            <x14:sparkline>
              <xm:f>Songs!K130:AI130</xm:f>
              <xm:sqref>I130</xm:sqref>
            </x14:sparkline>
            <x14:sparkline>
              <xm:f>Songs!K131:AI131</xm:f>
              <xm:sqref>I131</xm:sqref>
            </x14:sparkline>
            <x14:sparkline>
              <xm:f>Songs!K132:AI132</xm:f>
              <xm:sqref>I132</xm:sqref>
            </x14:sparkline>
            <x14:sparkline>
              <xm:f>Songs!K133:AI133</xm:f>
              <xm:sqref>I133</xm:sqref>
            </x14:sparkline>
            <x14:sparkline>
              <xm:f>Songs!K134:AI134</xm:f>
              <xm:sqref>I134</xm:sqref>
            </x14:sparkline>
            <x14:sparkline>
              <xm:f>Songs!K135:AI135</xm:f>
              <xm:sqref>I135</xm:sqref>
            </x14:sparkline>
            <x14:sparkline>
              <xm:f>Songs!K136:AI136</xm:f>
              <xm:sqref>I136</xm:sqref>
            </x14:sparkline>
            <x14:sparkline>
              <xm:f>Songs!K137:AI137</xm:f>
              <xm:sqref>I137</xm:sqref>
            </x14:sparkline>
            <x14:sparkline>
              <xm:f>Songs!K138:AI138</xm:f>
              <xm:sqref>I138</xm:sqref>
            </x14:sparkline>
            <x14:sparkline>
              <xm:f>Songs!K139:AI139</xm:f>
              <xm:sqref>I139</xm:sqref>
            </x14:sparkline>
            <x14:sparkline>
              <xm:f>Songs!K140:AI140</xm:f>
              <xm:sqref>I140</xm:sqref>
            </x14:sparkline>
            <x14:sparkline>
              <xm:f>Songs!K141:AI141</xm:f>
              <xm:sqref>I141</xm:sqref>
            </x14:sparkline>
            <x14:sparkline>
              <xm:f>Songs!K142:AI142</xm:f>
              <xm:sqref>I142</xm:sqref>
            </x14:sparkline>
            <x14:sparkline>
              <xm:f>Songs!K143:AI143</xm:f>
              <xm:sqref>I143</xm:sqref>
            </x14:sparkline>
            <x14:sparkline>
              <xm:f>Songs!K144:AI144</xm:f>
              <xm:sqref>I144</xm:sqref>
            </x14:sparkline>
            <x14:sparkline>
              <xm:f>Songs!K145:AI145</xm:f>
              <xm:sqref>I145</xm:sqref>
            </x14:sparkline>
            <x14:sparkline>
              <xm:f>Songs!K146:AI146</xm:f>
              <xm:sqref>I146</xm:sqref>
            </x14:sparkline>
            <x14:sparkline>
              <xm:f>Songs!K147:AI147</xm:f>
              <xm:sqref>I147</xm:sqref>
            </x14:sparkline>
            <x14:sparkline>
              <xm:f>Songs!K148:AI148</xm:f>
              <xm:sqref>I148</xm:sqref>
            </x14:sparkline>
            <x14:sparkline>
              <xm:f>Songs!K149:AI149</xm:f>
              <xm:sqref>I149</xm:sqref>
            </x14:sparkline>
            <x14:sparkline>
              <xm:f>Songs!K150:AI150</xm:f>
              <xm:sqref>I150</xm:sqref>
            </x14:sparkline>
            <x14:sparkline>
              <xm:f>Songs!K151:AI151</xm:f>
              <xm:sqref>I151</xm:sqref>
            </x14:sparkline>
            <x14:sparkline>
              <xm:f>Songs!K152:AI152</xm:f>
              <xm:sqref>I152</xm:sqref>
            </x14:sparkline>
            <x14:sparkline>
              <xm:f>Songs!K153:AI153</xm:f>
              <xm:sqref>I153</xm:sqref>
            </x14:sparkline>
            <x14:sparkline>
              <xm:f>Songs!K154:AI154</xm:f>
              <xm:sqref>I154</xm:sqref>
            </x14:sparkline>
            <x14:sparkline>
              <xm:f>Songs!K155:AI155</xm:f>
              <xm:sqref>I155</xm:sqref>
            </x14:sparkline>
            <x14:sparkline>
              <xm:f>Songs!K156:AI156</xm:f>
              <xm:sqref>I156</xm:sqref>
            </x14:sparkline>
            <x14:sparkline>
              <xm:f>Songs!K157:AI157</xm:f>
              <xm:sqref>I157</xm:sqref>
            </x14:sparkline>
            <x14:sparkline>
              <xm:f>Songs!K158:AI158</xm:f>
              <xm:sqref>I158</xm:sqref>
            </x14:sparkline>
            <x14:sparkline>
              <xm:f>Songs!K159:AI159</xm:f>
              <xm:sqref>I159</xm:sqref>
            </x14:sparkline>
            <x14:sparkline>
              <xm:f>Songs!K160:AI160</xm:f>
              <xm:sqref>I160</xm:sqref>
            </x14:sparkline>
            <x14:sparkline>
              <xm:f>Songs!K161:AI161</xm:f>
              <xm:sqref>I161</xm:sqref>
            </x14:sparkline>
            <x14:sparkline>
              <xm:f>Songs!K162:AI162</xm:f>
              <xm:sqref>I162</xm:sqref>
            </x14:sparkline>
            <x14:sparkline>
              <xm:f>Songs!K163:AI163</xm:f>
              <xm:sqref>I163</xm:sqref>
            </x14:sparkline>
            <x14:sparkline>
              <xm:f>Songs!K164:AI164</xm:f>
              <xm:sqref>I164</xm:sqref>
            </x14:sparkline>
            <x14:sparkline>
              <xm:f>Songs!K165:AI165</xm:f>
              <xm:sqref>I165</xm:sqref>
            </x14:sparkline>
            <x14:sparkline>
              <xm:f>Songs!K166:AI166</xm:f>
              <xm:sqref>I166</xm:sqref>
            </x14:sparkline>
            <x14:sparkline>
              <xm:f>Songs!K167:AI167</xm:f>
              <xm:sqref>I167</xm:sqref>
            </x14:sparkline>
            <x14:sparkline>
              <xm:f>Songs!K168:AI168</xm:f>
              <xm:sqref>I168</xm:sqref>
            </x14:sparkline>
            <x14:sparkline>
              <xm:f>Songs!K169:AI169</xm:f>
              <xm:sqref>I169</xm:sqref>
            </x14:sparkline>
            <x14:sparkline>
              <xm:f>Songs!K170:AI170</xm:f>
              <xm:sqref>I170</xm:sqref>
            </x14:sparkline>
            <x14:sparkline>
              <xm:f>Songs!K171:AI171</xm:f>
              <xm:sqref>I171</xm:sqref>
            </x14:sparkline>
            <x14:sparkline>
              <xm:f>Songs!K172:AI172</xm:f>
              <xm:sqref>I172</xm:sqref>
            </x14:sparkline>
            <x14:sparkline>
              <xm:f>Songs!K173:AI173</xm:f>
              <xm:sqref>I173</xm:sqref>
            </x14:sparkline>
            <x14:sparkline>
              <xm:f>Songs!K174:AI174</xm:f>
              <xm:sqref>I174</xm:sqref>
            </x14:sparkline>
            <x14:sparkline>
              <xm:f>Songs!K175:AI175</xm:f>
              <xm:sqref>I175</xm:sqref>
            </x14:sparkline>
            <x14:sparkline>
              <xm:f>Songs!K176:AI176</xm:f>
              <xm:sqref>I176</xm:sqref>
            </x14:sparkline>
            <x14:sparkline>
              <xm:f>Songs!K177:AI177</xm:f>
              <xm:sqref>I177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L96"/>
  <sheetViews>
    <sheetView tabSelected="1" topLeftCell="B70" workbookViewId="0">
      <pane xSplit="1" topLeftCell="C1" activePane="topRight" state="frozen"/>
      <selection activeCell="B1" sqref="B1"/>
      <selection pane="topRight" activeCell="F90" sqref="F90"/>
    </sheetView>
  </sheetViews>
  <sheetFormatPr defaultColWidth="12.6640625" defaultRowHeight="15.75" customHeight="1" x14ac:dyDescent="0.25"/>
  <cols>
    <col min="1" max="1" width="8.109375" style="10" hidden="1" customWidth="1"/>
    <col min="2" max="2" width="21.44140625" bestFit="1" customWidth="1"/>
    <col min="3" max="3" width="11.88671875" bestFit="1" customWidth="1"/>
    <col min="4" max="4" width="26.21875" bestFit="1" customWidth="1"/>
    <col min="6" max="6" width="17.44140625" customWidth="1"/>
    <col min="7" max="7" width="15.77734375" bestFit="1" customWidth="1"/>
    <col min="8" max="8" width="20.88671875" customWidth="1"/>
    <col min="9" max="9" width="11.88671875" customWidth="1"/>
    <col min="10" max="10" width="9.44140625" bestFit="1" customWidth="1"/>
    <col min="11" max="11" width="14.21875" bestFit="1" customWidth="1"/>
  </cols>
  <sheetData>
    <row r="1" spans="1:12" s="11" customFormat="1" ht="15.75" customHeight="1" x14ac:dyDescent="0.25">
      <c r="A1" s="10" t="s">
        <v>159</v>
      </c>
      <c r="B1" s="11" t="s">
        <v>160</v>
      </c>
      <c r="C1" s="11" t="s">
        <v>161</v>
      </c>
      <c r="D1" s="11" t="s">
        <v>166</v>
      </c>
      <c r="E1" s="11" t="s">
        <v>162</v>
      </c>
      <c r="F1" s="11" t="s">
        <v>165</v>
      </c>
      <c r="G1" s="11" t="s">
        <v>163</v>
      </c>
      <c r="H1" s="11" t="s">
        <v>259</v>
      </c>
      <c r="I1" s="11" t="s">
        <v>242</v>
      </c>
      <c r="J1" s="11" t="s">
        <v>257</v>
      </c>
      <c r="K1" s="11" t="s">
        <v>279</v>
      </c>
      <c r="L1" s="11" t="s">
        <v>280</v>
      </c>
    </row>
    <row r="2" spans="1:12" ht="15.75" customHeight="1" x14ac:dyDescent="0.25">
      <c r="A2" s="10">
        <v>1</v>
      </c>
      <c r="B2" s="6" t="s">
        <v>74</v>
      </c>
      <c r="C2" cm="1">
        <f t="array" aca="1" ref="C2" ca="1">SUM(IF(ISNUMBER(SEARCH($B2,Songs!C:C)),1,0))+E2</f>
        <v>25</v>
      </c>
      <c r="D2" cm="1">
        <f t="array" aca="1" ref="D2" ca="1">SUM(IF(ISNUMBER(SEARCH($B2,Songs!C:C)),Songs!G:G,0))-SUM(IF(ISNUMBER(SEARCH($B2,Songs!C:C)),Songs!F:F,0))+F2</f>
        <v>130</v>
      </c>
      <c r="E2">
        <f>COUNTIF(Songs!$B:$B,Artists!$B2)</f>
        <v>25</v>
      </c>
      <c r="F2">
        <f ca="1">SUMIF(Songs!$B:$B,Artists!$B2,Songs!$G:$G)-SUMIF(Songs!$B:$B,Artists!$B2,Songs!$F:$F)</f>
        <v>130</v>
      </c>
      <c r="G2" cm="1">
        <f t="array" aca="1" ref="G2" ca="1">SUM(IF(ISNUMBER(SEARCH($B2,Songs!D:D)),1,0))</f>
        <v>0</v>
      </c>
      <c r="H2" cm="1">
        <f t="array" aca="1" ref="H2" ca="1">SUM(IF(ISNUMBER(SEARCH($B2,Songs!D:D)),Songs!G:G,0)) - SUM(IF(ISNUMBER(SEARCH($B2,Songs!D:D)),Songs!F:F,0))</f>
        <v>0</v>
      </c>
      <c r="I2">
        <f ca="1">_xlfn.MINIFS(Songs!J:J,Songs!$B:$B,Artists!$B2)</f>
        <v>2</v>
      </c>
      <c r="J2">
        <v>0</v>
      </c>
      <c r="K2" s="16">
        <f>AVERAGE(J$2:J2)</f>
        <v>0</v>
      </c>
      <c r="L2" s="15">
        <f ca="1">SUMPRODUCT(D:D,J:J)/SUM(D:D)</f>
        <v>0.22963341346153848</v>
      </c>
    </row>
    <row r="3" spans="1:12" ht="15.75" customHeight="1" x14ac:dyDescent="0.25">
      <c r="A3" s="10">
        <v>2</v>
      </c>
      <c r="B3" s="6" t="s">
        <v>76</v>
      </c>
      <c r="C3" cm="1">
        <f t="array" aca="1" ref="C3" ca="1">SUM(IF(ISNUMBER(SEARCH($B3,Songs!C:C)),1,0))+E3</f>
        <v>8</v>
      </c>
      <c r="D3" cm="1">
        <f t="array" aca="1" ref="D3" ca="1">SUM(IF(ISNUMBER(SEARCH($B3,Songs!C:C)),Songs!G:G,0))-SUM(IF(ISNUMBER(SEARCH($B3,Songs!C:C)),Songs!F:F,0))+F3</f>
        <v>97</v>
      </c>
      <c r="E3">
        <f ca="1">COUNTIF(Songs!$B:$B,Artists!$B3)</f>
        <v>6</v>
      </c>
      <c r="F3">
        <f ca="1">SUMIF(Songs!$B:$B,Artists!$B3,Songs!$G:$G)-SUMIF(Songs!$B:$B,Artists!$B3,Songs!$F:$F)</f>
        <v>79</v>
      </c>
      <c r="G3" cm="1">
        <f t="array" ref="G3">SUM(IF(ISNUMBER(SEARCH($B3,Songs!D:D)),1,0))</f>
        <v>2</v>
      </c>
      <c r="H3" cm="1">
        <f t="array" aca="1" ref="H3" ca="1">SUM(IF(ISNUMBER(SEARCH($B3,Songs!D:D)),Songs!G:G,0)) - SUM(IF(ISNUMBER(SEARCH($B3,Songs!D:D)),Songs!F:F,0))</f>
        <v>19</v>
      </c>
      <c r="I3">
        <f ca="1">_xlfn.MINIFS(Songs!J:J,Songs!$B:$B,Artists!$B3)</f>
        <v>3</v>
      </c>
      <c r="J3">
        <v>0</v>
      </c>
      <c r="K3" s="16">
        <f>AVERAGE(J$2:J3)</f>
        <v>0</v>
      </c>
      <c r="L3" s="15"/>
    </row>
    <row r="4" spans="1:12" ht="15.75" customHeight="1" x14ac:dyDescent="0.25">
      <c r="A4" s="10">
        <v>8</v>
      </c>
      <c r="B4" s="2" t="s">
        <v>121</v>
      </c>
      <c r="C4" cm="1">
        <f t="array" aca="1" ref="C4" ca="1">SUM(IF(ISNUMBER(SEARCH($B4,Songs!C:C)),1,0))+E4</f>
        <v>16</v>
      </c>
      <c r="D4" cm="1">
        <f t="array" aca="1" ref="D4" ca="1">SUM(IF(ISNUMBER(SEARCH($B4,Songs!C:C)),Songs!G:G,0))-SUM(IF(ISNUMBER(SEARCH($B4,Songs!C:C)),Songs!F:F,0))+F4</f>
        <v>80</v>
      </c>
      <c r="E4">
        <f ca="1">COUNTIF(Songs!$B:$B,Artists!$B4)</f>
        <v>16</v>
      </c>
      <c r="F4">
        <f ca="1">SUMIF(Songs!$B:$B,Artists!$B4,Songs!$G:$G)-SUMIF(Songs!$B:$B,Artists!$B4,Songs!$F:$F)</f>
        <v>80</v>
      </c>
      <c r="G4" cm="1">
        <f t="array" aca="1" ref="G4" ca="1">SUM(IF(ISNUMBER(SEARCH($B4,Songs!D:D)),1,0))</f>
        <v>0</v>
      </c>
      <c r="H4" cm="1">
        <f t="array" aca="1" ref="H4" ca="1">SUM(IF(ISNUMBER(SEARCH($B4,Songs!D:D)),Songs!G:G,0)) - SUM(IF(ISNUMBER(SEARCH($B4,Songs!D:D)),Songs!F:F,0))</f>
        <v>0</v>
      </c>
      <c r="I4">
        <f ca="1">_xlfn.MINIFS(Songs!J:J,Songs!$B:$B,Artists!$B4)</f>
        <v>1</v>
      </c>
      <c r="J4">
        <v>1</v>
      </c>
      <c r="K4" s="16">
        <f>AVERAGE(J$2:J4)</f>
        <v>0.33333333333333331</v>
      </c>
    </row>
    <row r="5" spans="1:12" ht="15.75" customHeight="1" x14ac:dyDescent="0.25">
      <c r="A5" s="10">
        <v>6</v>
      </c>
      <c r="B5" s="2" t="s">
        <v>104</v>
      </c>
      <c r="C5" cm="1">
        <f t="array" aca="1" ref="C5" ca="1">SUM(IF(ISNUMBER(SEARCH($B5,Songs!C:C)),1,0))+E5</f>
        <v>7</v>
      </c>
      <c r="D5" cm="1">
        <f t="array" aca="1" ref="D5" ca="1">SUM(IF(ISNUMBER(SEARCH($B5,Songs!C:C)),Songs!G:G,0))-SUM(IF(ISNUMBER(SEARCH($B5,Songs!C:C)),Songs!F:F,0))+F5</f>
        <v>76</v>
      </c>
      <c r="E5">
        <f ca="1">COUNTIF(Songs!$B:$B,Artists!$B5)</f>
        <v>6</v>
      </c>
      <c r="F5">
        <f ca="1">SUMIF(Songs!$B:$B,Artists!$B5,Songs!$G:$G)-SUMIF(Songs!$B:$B,Artists!$B5,Songs!$F:$F)</f>
        <v>64</v>
      </c>
      <c r="G5" cm="1">
        <f t="array" aca="1" ref="G5" ca="1">SUM(IF(ISNUMBER(SEARCH($B5,Songs!D:D)),1,0))</f>
        <v>0</v>
      </c>
      <c r="H5" cm="1">
        <f t="array" aca="1" ref="H5" ca="1">SUM(IF(ISNUMBER(SEARCH($B5,Songs!D:D)),Songs!G:G,0)) - SUM(IF(ISNUMBER(SEARCH($B5,Songs!D:D)),Songs!F:F,0))</f>
        <v>0</v>
      </c>
      <c r="I5">
        <f ca="1">_xlfn.MINIFS(Songs!J:J,Songs!$B:$B,Artists!$B5)</f>
        <v>21</v>
      </c>
      <c r="J5">
        <v>1</v>
      </c>
      <c r="K5" s="16">
        <f>AVERAGE(J$2:J5)</f>
        <v>0.5</v>
      </c>
    </row>
    <row r="6" spans="1:12" ht="15.75" customHeight="1" x14ac:dyDescent="0.25">
      <c r="A6" s="10">
        <v>5</v>
      </c>
      <c r="B6" s="6" t="s">
        <v>80</v>
      </c>
      <c r="C6" cm="1">
        <f t="array" aca="1" ref="C6" ca="1">SUM(IF(ISNUMBER(SEARCH($B6,Songs!C:C)),1,0))+E6</f>
        <v>9</v>
      </c>
      <c r="D6" cm="1">
        <f t="array" aca="1" ref="D6" ca="1">SUM(IF(ISNUMBER(SEARCH($B6,Songs!C:C)),Songs!G:G,0))-SUM(IF(ISNUMBER(SEARCH($B6,Songs!C:C)),Songs!F:F,0))+F6</f>
        <v>66</v>
      </c>
      <c r="E6">
        <f ca="1">COUNTIF(Songs!$B:$B,Artists!$B6)</f>
        <v>7</v>
      </c>
      <c r="F6">
        <f ca="1">SUMIF(Songs!$B:$B,Artists!$B6,Songs!$G:$G)-SUMIF(Songs!$B:$B,Artists!$B6,Songs!$F:$F)</f>
        <v>41</v>
      </c>
      <c r="G6" cm="1">
        <f t="array" aca="1" ref="G6" ca="1">SUM(IF(ISNUMBER(SEARCH($B6,Songs!D:D)),1,0))</f>
        <v>1</v>
      </c>
      <c r="H6" cm="1">
        <f t="array" aca="1" ref="H6" ca="1">SUM(IF(ISNUMBER(SEARCH($B6,Songs!D:D)),Songs!G:G,0)) - SUM(IF(ISNUMBER(SEARCH($B6,Songs!D:D)),Songs!F:F,0))</f>
        <v>21</v>
      </c>
      <c r="I6">
        <f ca="1">_xlfn.MINIFS(Songs!J:J,Songs!$B:$B,Artists!$B6)</f>
        <v>10</v>
      </c>
      <c r="J6">
        <v>0</v>
      </c>
      <c r="K6" s="16">
        <f>AVERAGE(J$2:J6)</f>
        <v>0.4</v>
      </c>
    </row>
    <row r="7" spans="1:12" ht="15.75" customHeight="1" x14ac:dyDescent="0.25">
      <c r="A7" s="10">
        <v>3</v>
      </c>
      <c r="B7" s="6" t="s">
        <v>77</v>
      </c>
      <c r="C7" cm="1">
        <f t="array" aca="1" ref="C7" ca="1">SUM(IF(ISNUMBER(SEARCH($B7,Songs!C:C)),1,0))+E7</f>
        <v>10</v>
      </c>
      <c r="D7" cm="1">
        <f t="array" aca="1" ref="D7" ca="1">SUM(IF(ISNUMBER(SEARCH($B7,Songs!C:C)),Songs!G:G,0))-SUM(IF(ISNUMBER(SEARCH($B7,Songs!C:C)),Songs!F:F,0))+F7</f>
        <v>62</v>
      </c>
      <c r="E7">
        <f ca="1">COUNTIF(Songs!$B:$B,Artists!$B7)</f>
        <v>10</v>
      </c>
      <c r="F7">
        <f ca="1">SUMIF(Songs!$B:$B,Artists!$B7,Songs!$G:$G)-SUMIF(Songs!$B:$B,Artists!$B7,Songs!$F:$F)</f>
        <v>62</v>
      </c>
      <c r="G7" cm="1">
        <f t="array" aca="1" ref="G7" ca="1">SUM(IF(ISNUMBER(SEARCH($B7,Songs!D:D)),1,0))</f>
        <v>2</v>
      </c>
      <c r="H7" cm="1">
        <f t="array" aca="1" ref="H7" ca="1">SUM(IF(ISNUMBER(SEARCH($B7,Songs!D:D)),Songs!G:G,0)) - SUM(IF(ISNUMBER(SEARCH($B7,Songs!D:D)),Songs!F:F,0))</f>
        <v>7</v>
      </c>
      <c r="I7">
        <f ca="1">_xlfn.MINIFS(Songs!J:J,Songs!$B:$B,Artists!$B7)</f>
        <v>3</v>
      </c>
      <c r="J7">
        <v>0</v>
      </c>
      <c r="K7" s="16">
        <f>AVERAGE(J$2:J7)</f>
        <v>0.33333333333333331</v>
      </c>
    </row>
    <row r="8" spans="1:12" ht="15.75" customHeight="1" x14ac:dyDescent="0.25">
      <c r="A8" s="10">
        <v>20</v>
      </c>
      <c r="B8" s="2" t="s">
        <v>113</v>
      </c>
      <c r="C8" cm="1">
        <f t="array" aca="1" ref="C8" ca="1">SUM(IF(ISNUMBER(SEARCH($B8,Songs!C:C)),1,0))+E8</f>
        <v>3</v>
      </c>
      <c r="D8" cm="1">
        <f t="array" aca="1" ref="D8" ca="1">SUM(IF(ISNUMBER(SEARCH($B8,Songs!C:C)),Songs!G:G,0))-SUM(IF(ISNUMBER(SEARCH($B8,Songs!C:C)),Songs!F:F,0))+F8</f>
        <v>56</v>
      </c>
      <c r="E8">
        <f ca="1">COUNTIF(Songs!$B:$B,Artists!$B8)</f>
        <v>2</v>
      </c>
      <c r="F8">
        <f ca="1">SUMIF(Songs!$B:$B,Artists!$B8,Songs!$G:$G)-SUMIF(Songs!$B:$B,Artists!$B8,Songs!$F:$F)</f>
        <v>33</v>
      </c>
      <c r="G8" cm="1">
        <f t="array" ref="G8">SUM(IF(ISNUMBER(SEARCH($B8,Songs!D:D)),1,0))</f>
        <v>0</v>
      </c>
      <c r="H8" cm="1">
        <f t="array" aca="1" ref="H8" ca="1">SUM(IF(ISNUMBER(SEARCH($B8,Songs!D:D)),Songs!G:G,0)) - SUM(IF(ISNUMBER(SEARCH($B8,Songs!D:D)),Songs!F:F,0))</f>
        <v>0</v>
      </c>
      <c r="I8">
        <f ca="1">_xlfn.MINIFS(Songs!J:J,Songs!$B:$B,Artists!$B8)</f>
        <v>35</v>
      </c>
      <c r="J8">
        <v>0</v>
      </c>
      <c r="K8" s="16">
        <f>AVERAGE(J$2:J8)</f>
        <v>0.2857142857142857</v>
      </c>
    </row>
    <row r="9" spans="1:12" ht="15.75" customHeight="1" x14ac:dyDescent="0.25">
      <c r="A9" s="10">
        <v>43</v>
      </c>
      <c r="B9" s="6" t="s">
        <v>142</v>
      </c>
      <c r="C9" cm="1">
        <f t="array" ref="C9">SUM(IF(ISNUMBER(SEARCH($B9,Songs!C:C)),1,0))+E9</f>
        <v>4</v>
      </c>
      <c r="D9" cm="1">
        <f t="array" aca="1" ref="D9" ca="1">SUM(IF(ISNUMBER(SEARCH($B9,Songs!C:C)),Songs!G:G,0))-SUM(IF(ISNUMBER(SEARCH($B9,Songs!C:C)),Songs!F:F,0))+F9</f>
        <v>41</v>
      </c>
      <c r="E9">
        <f>COUNTIF(Songs!$B:$B,Artists!$B9)</f>
        <v>4</v>
      </c>
      <c r="F9">
        <f ca="1">SUMIF(Songs!$B:$B,Artists!$B9,Songs!$G:$G)-SUMIF(Songs!$B:$B,Artists!$B9,Songs!$F:$F)</f>
        <v>41</v>
      </c>
      <c r="G9" cm="1">
        <f t="array" ref="G9">SUM(IF(ISNUMBER(SEARCH($B9,Songs!D:D)),1,0))</f>
        <v>0</v>
      </c>
      <c r="H9" cm="1">
        <f t="array" aca="1" ref="H9" ca="1">SUM(IF(ISNUMBER(SEARCH($B9,Songs!D:D)),Songs!G:G,0)) - SUM(IF(ISNUMBER(SEARCH($B9,Songs!D:D)),Songs!F:F,0))</f>
        <v>0</v>
      </c>
      <c r="I9">
        <f ca="1">_xlfn.MINIFS(Songs!J:J,Songs!$B:$B,Artists!$B9)</f>
        <v>6</v>
      </c>
      <c r="J9">
        <v>0</v>
      </c>
      <c r="K9" s="16">
        <f>AVERAGE(J$2:J9)</f>
        <v>0.25</v>
      </c>
    </row>
    <row r="10" spans="1:12" ht="15.75" customHeight="1" x14ac:dyDescent="0.25">
      <c r="A10" s="10">
        <v>45</v>
      </c>
      <c r="B10" s="6" t="s">
        <v>143</v>
      </c>
      <c r="C10" cm="1">
        <f t="array" ref="C10">SUM(IF(ISNUMBER(SEARCH($B10,Songs!C:C)),1,0))+E10</f>
        <v>3</v>
      </c>
      <c r="D10" cm="1">
        <f t="array" aca="1" ref="D10" ca="1">SUM(IF(ISNUMBER(SEARCH($B10,Songs!C:C)),Songs!G:G,0))-SUM(IF(ISNUMBER(SEARCH($B10,Songs!C:C)),Songs!F:F,0))+F10</f>
        <v>40</v>
      </c>
      <c r="E10">
        <f>COUNTIF(Songs!$B:$B,Artists!$B10)</f>
        <v>3</v>
      </c>
      <c r="F10">
        <f ca="1">SUMIF(Songs!$B:$B,Artists!$B10,Songs!$G:$G)-SUMIF(Songs!$B:$B,Artists!$B10,Songs!$F:$F)</f>
        <v>40</v>
      </c>
      <c r="G10" cm="1">
        <f t="array" ref="G10">SUM(IF(ISNUMBER(SEARCH($B10,Songs!D:D)),1,0))</f>
        <v>0</v>
      </c>
      <c r="H10" cm="1">
        <f t="array" aca="1" ref="H10" ca="1">SUM(IF(ISNUMBER(SEARCH($B10,Songs!D:D)),Songs!G:G,0)) - SUM(IF(ISNUMBER(SEARCH($B10,Songs!D:D)),Songs!F:F,0))</f>
        <v>0</v>
      </c>
      <c r="I10">
        <f ca="1">_xlfn.MINIFS(Songs!J:J,Songs!$B:$B,Artists!$B10)</f>
        <v>11</v>
      </c>
      <c r="J10">
        <v>0</v>
      </c>
      <c r="K10" s="16">
        <f>AVERAGE(J$2:J10)</f>
        <v>0.22222222222222221</v>
      </c>
    </row>
    <row r="11" spans="1:12" ht="15.75" customHeight="1" x14ac:dyDescent="0.25">
      <c r="A11" s="10">
        <v>4</v>
      </c>
      <c r="B11" s="2" t="s">
        <v>84</v>
      </c>
      <c r="C11" cm="1">
        <f t="array" ref="C11">SUM(IF(ISNUMBER(SEARCH($B11,Songs!C:C)),1,0))+E11</f>
        <v>2</v>
      </c>
      <c r="D11" cm="1">
        <f t="array" aca="1" ref="D11" ca="1">SUM(IF(ISNUMBER(SEARCH($B11,Songs!C:C)),Songs!G:G,0))-SUM(IF(ISNUMBER(SEARCH($B11,Songs!C:C)),Songs!F:F,0))+F11</f>
        <v>39</v>
      </c>
      <c r="E11">
        <f>COUNTIF(Songs!$B:$B,Artists!$B11)</f>
        <v>2</v>
      </c>
      <c r="F11">
        <f ca="1">SUMIF(Songs!$B:$B,Artists!$B11,Songs!$G:$G)-SUMIF(Songs!$B:$B,Artists!$B11,Songs!$F:$F)</f>
        <v>39</v>
      </c>
      <c r="G11" cm="1">
        <f t="array" ref="G11">SUM(IF(ISNUMBER(SEARCH($B11,Songs!D:D)),1,0))</f>
        <v>0</v>
      </c>
      <c r="H11" cm="1">
        <f t="array" aca="1" ref="H11" ca="1">SUM(IF(ISNUMBER(SEARCH($B11,Songs!D:D)),Songs!G:G,0)) - SUM(IF(ISNUMBER(SEARCH($B11,Songs!D:D)),Songs!F:F,0))</f>
        <v>0</v>
      </c>
      <c r="I11">
        <f>_xlfn.MINIFS(Songs!J:J,Songs!$B:$B,Artists!$B11)</f>
        <v>7</v>
      </c>
      <c r="J11">
        <v>0</v>
      </c>
      <c r="K11" s="16">
        <f>AVERAGE(J$2:J11)</f>
        <v>0.2</v>
      </c>
    </row>
    <row r="12" spans="1:12" ht="15.75" customHeight="1" x14ac:dyDescent="0.25">
      <c r="A12" s="10">
        <v>27</v>
      </c>
      <c r="B12" s="2" t="s">
        <v>98</v>
      </c>
      <c r="C12" cm="1">
        <f t="array" aca="1" ref="C12" ca="1">SUM(IF(ISNUMBER(SEARCH($B12,Songs!C:C)),1,0))+E12</f>
        <v>4</v>
      </c>
      <c r="D12" cm="1">
        <f t="array" aca="1" ref="D12" ca="1">SUM(IF(ISNUMBER(SEARCH($B12,Songs!C:C)),Songs!G:G,0))-SUM(IF(ISNUMBER(SEARCH($B12,Songs!C:C)),Songs!F:F,0))+F12</f>
        <v>34</v>
      </c>
      <c r="E12">
        <f ca="1">COUNTIF(Songs!$B:$B,Artists!$B12)</f>
        <v>3</v>
      </c>
      <c r="F12">
        <f ca="1">SUMIF(Songs!$B:$B,Artists!$B12,Songs!$G:$G)-SUMIF(Songs!$B:$B,Artists!$B12,Songs!$F:$F)</f>
        <v>33</v>
      </c>
      <c r="G12" cm="1">
        <f t="array" aca="1" ref="G12" ca="1">SUM(IF(ISNUMBER(SEARCH($B12,Songs!D:D)),1,0))</f>
        <v>0</v>
      </c>
      <c r="H12" cm="1">
        <f t="array" aca="1" ref="H12" ca="1">SUM(IF(ISNUMBER(SEARCH($B12,Songs!D:D)),Songs!G:G,0)) - SUM(IF(ISNUMBER(SEARCH($B12,Songs!D:D)),Songs!F:F,0))</f>
        <v>0</v>
      </c>
      <c r="I12">
        <f ca="1">_xlfn.MINIFS(Songs!J:J,Songs!$B:$B,Artists!$B12)</f>
        <v>8</v>
      </c>
      <c r="J12">
        <v>1</v>
      </c>
      <c r="K12" s="16">
        <f>AVERAGE(J$2:J12)</f>
        <v>0.27272727272727271</v>
      </c>
    </row>
    <row r="13" spans="1:12" ht="15.75" customHeight="1" x14ac:dyDescent="0.25">
      <c r="A13" s="10">
        <v>7</v>
      </c>
      <c r="B13" s="2" t="s">
        <v>78</v>
      </c>
      <c r="C13" cm="1">
        <f t="array" aca="1" ref="C13" ca="1">SUM(IF(ISNUMBER(SEARCH($B13,Songs!C:C)),1,0))+E13</f>
        <v>2</v>
      </c>
      <c r="D13" cm="1">
        <f t="array" aca="1" ref="D13" ca="1">SUM(IF(ISNUMBER(SEARCH($B13,Songs!C:C)),Songs!G:G,0))-SUM(IF(ISNUMBER(SEARCH($B13,Songs!C:C)),Songs!F:F,0))+F13</f>
        <v>33</v>
      </c>
      <c r="E13">
        <f ca="1">COUNTIF(Songs!$B:$B,Artists!$B13)</f>
        <v>2</v>
      </c>
      <c r="F13">
        <f ca="1">SUMIF(Songs!$B:$B,Artists!$B13,Songs!$G:$G)-SUMIF(Songs!$B:$B,Artists!$B13,Songs!$F:$F)</f>
        <v>33</v>
      </c>
      <c r="G13" cm="1">
        <f t="array" ref="G13">SUM(IF(ISNUMBER(SEARCH($B13,Songs!D:D)),1,0))</f>
        <v>1</v>
      </c>
      <c r="H13" cm="1">
        <f t="array" aca="1" ref="H13" ca="1">SUM(IF(ISNUMBER(SEARCH($B13,Songs!D:D)),Songs!G:G,0)) - SUM(IF(ISNUMBER(SEARCH($B13,Songs!D:D)),Songs!F:F,0))</f>
        <v>24</v>
      </c>
      <c r="I13">
        <f ca="1">_xlfn.MINIFS(Songs!J:J,Songs!$B:$B,Artists!$B13)</f>
        <v>12</v>
      </c>
      <c r="J13">
        <v>0</v>
      </c>
      <c r="K13" s="16">
        <f>AVERAGE(J$2:J13)</f>
        <v>0.25</v>
      </c>
    </row>
    <row r="14" spans="1:12" ht="15.75" customHeight="1" x14ac:dyDescent="0.25">
      <c r="A14" s="10">
        <v>24</v>
      </c>
      <c r="B14" s="2" t="s">
        <v>82</v>
      </c>
      <c r="C14" cm="1">
        <f t="array" ref="C14">SUM(IF(ISNUMBER(SEARCH($B14,Songs!C:C)),1,0))+E14</f>
        <v>2</v>
      </c>
      <c r="D14" cm="1">
        <f t="array" aca="1" ref="D14" ca="1">SUM(IF(ISNUMBER(SEARCH($B14,Songs!C:C)),Songs!G:G,0))-SUM(IF(ISNUMBER(SEARCH($B14,Songs!C:C)),Songs!F:F,0))+F14</f>
        <v>32</v>
      </c>
      <c r="E14">
        <f>COUNTIF(Songs!$B:$B,Artists!$B14)</f>
        <v>1</v>
      </c>
      <c r="F14">
        <f ca="1">SUMIF(Songs!$B:$B,Artists!$B14,Songs!$G:$G)-SUMIF(Songs!$B:$B,Artists!$B14,Songs!$F:$F)</f>
        <v>23</v>
      </c>
      <c r="G14" cm="1">
        <f t="array" aca="1" ref="G14" ca="1">SUM(IF(ISNUMBER(SEARCH($B14,Songs!D:D)),1,0))</f>
        <v>0</v>
      </c>
      <c r="H14" cm="1">
        <f t="array" aca="1" ref="H14" ca="1">SUM(IF(ISNUMBER(SEARCH($B14,Songs!D:D)),Songs!G:G,0)) - SUM(IF(ISNUMBER(SEARCH($B14,Songs!D:D)),Songs!F:F,0))</f>
        <v>0</v>
      </c>
      <c r="I14">
        <f ca="1">_xlfn.MINIFS(Songs!J:J,Songs!$B:$B,Artists!$B14)</f>
        <v>7</v>
      </c>
      <c r="J14">
        <v>1</v>
      </c>
      <c r="K14" s="16">
        <f>AVERAGE(J$2:J14)</f>
        <v>0.30769230769230771</v>
      </c>
    </row>
    <row r="15" spans="1:12" ht="15.75" customHeight="1" x14ac:dyDescent="0.25">
      <c r="A15" s="10">
        <v>9</v>
      </c>
      <c r="B15" s="2" t="s">
        <v>79</v>
      </c>
      <c r="C15" cm="1">
        <f t="array" aca="1" ref="C15" ca="1">SUM(IF(ISNUMBER(SEARCH($B15,Songs!C:C)),1,0))+E15</f>
        <v>2</v>
      </c>
      <c r="D15" cm="1">
        <f t="array" aca="1" ref="D15" ca="1">SUM(IF(ISNUMBER(SEARCH($B15,Songs!C:C)),Songs!G:G,0))-SUM(IF(ISNUMBER(SEARCH($B15,Songs!C:C)),Songs!F:F,0))+F15</f>
        <v>31</v>
      </c>
      <c r="E15">
        <f ca="1">COUNTIF(Songs!$B:$B,Artists!$B15)</f>
        <v>2</v>
      </c>
      <c r="F15">
        <f ca="1">SUMIF(Songs!$B:$B,Artists!$B15,Songs!$G:$G)-SUMIF(Songs!$B:$B,Artists!$B15,Songs!$F:$F)</f>
        <v>31</v>
      </c>
      <c r="G15" cm="1">
        <f t="array" ref="G15">SUM(IF(ISNUMBER(SEARCH($B15,Songs!D:D)),1,0))</f>
        <v>0</v>
      </c>
      <c r="H15" cm="1">
        <f t="array" aca="1" ref="H15" ca="1">SUM(IF(ISNUMBER(SEARCH($B15,Songs!D:D)),Songs!G:G,0)) - SUM(IF(ISNUMBER(SEARCH($B15,Songs!D:D)),Songs!F:F,0))</f>
        <v>0</v>
      </c>
      <c r="I15">
        <f ca="1">_xlfn.MINIFS(Songs!J:J,Songs!$B:$B,Artists!$B15)</f>
        <v>10</v>
      </c>
      <c r="J15">
        <v>0</v>
      </c>
      <c r="K15" s="16">
        <f>AVERAGE(J$2:J15)</f>
        <v>0.2857142857142857</v>
      </c>
    </row>
    <row r="16" spans="1:12" ht="15.75" customHeight="1" x14ac:dyDescent="0.25">
      <c r="B16" s="6" t="s">
        <v>222</v>
      </c>
      <c r="C16" cm="1">
        <f t="array" ref="C16">SUM(IF(ISNUMBER(SEARCH($B16,Songs!C:C)),1,0))+E16</f>
        <v>5</v>
      </c>
      <c r="D16" cm="1">
        <f t="array" aca="1" ref="D16" ca="1">SUM(IF(ISNUMBER(SEARCH($B16,Songs!C:C)),Songs!G:G,0))-SUM(IF(ISNUMBER(SEARCH($B16,Songs!C:C)),Songs!F:F,0))+F16</f>
        <v>30</v>
      </c>
      <c r="E16">
        <f>COUNTIF(Songs!$B:$B,Artists!$B16)</f>
        <v>4</v>
      </c>
      <c r="F16">
        <f ca="1">SUMIF(Songs!$B:$B,Artists!$B16,Songs!$G:$G)-SUMIF(Songs!$B:$B,Artists!$B16,Songs!$F:$F)</f>
        <v>25</v>
      </c>
      <c r="G16" cm="1">
        <f t="array" ref="G16">SUM(IF(ISNUMBER(SEARCH($B16,Songs!D:D)),1,0))</f>
        <v>0</v>
      </c>
      <c r="H16" cm="1">
        <f t="array" aca="1" ref="H16" ca="1">SUM(IF(ISNUMBER(SEARCH($B16,Songs!D:D)),Songs!G:G,0)) - SUM(IF(ISNUMBER(SEARCH($B16,Songs!D:D)),Songs!F:F,0))</f>
        <v>0</v>
      </c>
      <c r="I16">
        <f ca="1">_xlfn.MINIFS(Songs!J:J,Songs!$B:$B,Artists!$B16)</f>
        <v>1</v>
      </c>
      <c r="J16">
        <v>0</v>
      </c>
      <c r="K16" s="16">
        <f>AVERAGE(J$2:J16)</f>
        <v>0.26666666666666666</v>
      </c>
    </row>
    <row r="17" spans="1:11" ht="15.75" customHeight="1" x14ac:dyDescent="0.25">
      <c r="A17" s="10">
        <v>56</v>
      </c>
      <c r="B17" s="6" t="s">
        <v>156</v>
      </c>
      <c r="C17" cm="1">
        <f t="array" ref="C17">SUM(IF(ISNUMBER(SEARCH($B17,Songs!C:C)),1,0))+E17</f>
        <v>3</v>
      </c>
      <c r="D17" cm="1">
        <f t="array" aca="1" ref="D17" ca="1">SUM(IF(ISNUMBER(SEARCH($B17,Songs!C:C)),Songs!G:G,0))-SUM(IF(ISNUMBER(SEARCH($B17,Songs!C:C)),Songs!F:F,0))+F17</f>
        <v>29</v>
      </c>
      <c r="E17">
        <f>COUNTIF(Songs!$B:$B,Artists!$B17)</f>
        <v>3</v>
      </c>
      <c r="F17">
        <f ca="1">SUMIF(Songs!$B:$B,Artists!$B17,Songs!$G:$G)-SUMIF(Songs!$B:$B,Artists!$B17,Songs!$F:$F)</f>
        <v>29</v>
      </c>
      <c r="G17" cm="1">
        <f t="array" ref="G17">SUM(IF(ISNUMBER(SEARCH($B17,Songs!D:D)),1,0))</f>
        <v>0</v>
      </c>
      <c r="H17" cm="1">
        <f t="array" aca="1" ref="H17" ca="1">SUM(IF(ISNUMBER(SEARCH($B17,Songs!D:D)),Songs!G:G,0)) - SUM(IF(ISNUMBER(SEARCH($B17,Songs!D:D)),Songs!F:F,0))</f>
        <v>0</v>
      </c>
      <c r="I17">
        <f ca="1">_xlfn.MINIFS(Songs!J:J,Songs!$B:$B,Artists!$B17)</f>
        <v>8</v>
      </c>
      <c r="J17">
        <v>0</v>
      </c>
      <c r="K17" s="16">
        <f>AVERAGE(J$2:J17)</f>
        <v>0.25</v>
      </c>
    </row>
    <row r="18" spans="1:11" ht="15.75" customHeight="1" x14ac:dyDescent="0.25">
      <c r="A18" s="10">
        <v>30</v>
      </c>
      <c r="B18" s="2" t="s">
        <v>93</v>
      </c>
      <c r="C18" cm="1">
        <f t="array" ref="C18">SUM(IF(ISNUMBER(SEARCH($B18,Songs!C:C)),1,0))+E18</f>
        <v>2</v>
      </c>
      <c r="D18" cm="1">
        <f t="array" aca="1" ref="D18" ca="1">SUM(IF(ISNUMBER(SEARCH($B18,Songs!C:C)),Songs!G:G,0))-SUM(IF(ISNUMBER(SEARCH($B18,Songs!C:C)),Songs!F:F,0))+F18</f>
        <v>29</v>
      </c>
      <c r="E18">
        <f>COUNTIF(Songs!$B:$B,Artists!$B18)</f>
        <v>2</v>
      </c>
      <c r="F18">
        <f ca="1">SUMIF(Songs!$B:$B,Artists!$B18,Songs!$G:$G)-SUMIF(Songs!$B:$B,Artists!$B18,Songs!$F:$F)</f>
        <v>29</v>
      </c>
      <c r="G18" cm="1">
        <f t="array" ref="G18">SUM(IF(ISNUMBER(SEARCH($B18,Songs!D:D)),1,0))</f>
        <v>0</v>
      </c>
      <c r="H18" cm="1">
        <f t="array" aca="1" ref="H18" ca="1">SUM(IF(ISNUMBER(SEARCH($B18,Songs!D:D)),Songs!G:G,0)) - SUM(IF(ISNUMBER(SEARCH($B18,Songs!D:D)),Songs!F:F,0))</f>
        <v>0</v>
      </c>
      <c r="I18">
        <f ca="1">_xlfn.MINIFS(Songs!J:J,Songs!$B:$B,Artists!$B18)</f>
        <v>18</v>
      </c>
      <c r="J18">
        <v>0</v>
      </c>
      <c r="K18" s="16">
        <f>AVERAGE(J$2:J18)</f>
        <v>0.23529411764705882</v>
      </c>
    </row>
    <row r="19" spans="1:11" ht="15.75" customHeight="1" x14ac:dyDescent="0.25">
      <c r="A19" s="10">
        <v>15</v>
      </c>
      <c r="B19" s="2" t="s">
        <v>114</v>
      </c>
      <c r="C19" cm="1">
        <f t="array" ref="C19">SUM(IF(ISNUMBER(SEARCH($B19,Songs!C:C)),1,0))+E19</f>
        <v>1</v>
      </c>
      <c r="D19" cm="1">
        <f t="array" aca="1" ref="D19" ca="1">SUM(IF(ISNUMBER(SEARCH($B19,Songs!C:C)),Songs!G:G,0))-SUM(IF(ISNUMBER(SEARCH($B19,Songs!C:C)),Songs!F:F,0))+F19</f>
        <v>29</v>
      </c>
      <c r="E19">
        <f>COUNTIF(Songs!$B:$B,Artists!$B19)</f>
        <v>1</v>
      </c>
      <c r="F19">
        <f ca="1">SUMIF(Songs!$B:$B,Artists!$B19,Songs!$G:$G)-SUMIF(Songs!$B:$B,Artists!$B19,Songs!$F:$F)</f>
        <v>29</v>
      </c>
      <c r="G19" cm="1">
        <f t="array" ref="G19">SUM(IF(ISNUMBER(SEARCH($B19,Songs!D:D)),1,0))</f>
        <v>0</v>
      </c>
      <c r="H19" cm="1">
        <f t="array" aca="1" ref="H19" ca="1">SUM(IF(ISNUMBER(SEARCH($B19,Songs!D:D)),Songs!G:G,0)) - SUM(IF(ISNUMBER(SEARCH($B19,Songs!D:D)),Songs!F:F,0))</f>
        <v>0</v>
      </c>
      <c r="I19">
        <f ca="1">_xlfn.MINIFS(Songs!J:J,Songs!$B:$B,Artists!$B19)</f>
        <v>29</v>
      </c>
      <c r="J19">
        <v>0</v>
      </c>
      <c r="K19" s="16">
        <f>AVERAGE(J$2:J19)</f>
        <v>0.22222222222222221</v>
      </c>
    </row>
    <row r="20" spans="1:11" ht="15.75" customHeight="1" x14ac:dyDescent="0.25">
      <c r="A20" s="10">
        <v>13</v>
      </c>
      <c r="B20" s="2" t="s">
        <v>101</v>
      </c>
      <c r="C20" cm="1">
        <f t="array" ref="C20">SUM(IF(ISNUMBER(SEARCH($B20,Songs!C:C)),1,0))+E20</f>
        <v>1</v>
      </c>
      <c r="D20" cm="1">
        <f t="array" aca="1" ref="D20" ca="1">SUM(IF(ISNUMBER(SEARCH($B20,Songs!C:C)),Songs!G:G,0))-SUM(IF(ISNUMBER(SEARCH($B20,Songs!C:C)),Songs!F:F,0))+F20</f>
        <v>26</v>
      </c>
      <c r="E20">
        <f>COUNTIF(Songs!$B:$B,Artists!$B20)</f>
        <v>1</v>
      </c>
      <c r="F20">
        <f ca="1">SUMIF(Songs!$B:$B,Artists!$B20,Songs!$G:$G)-SUMIF(Songs!$B:$B,Artists!$B20,Songs!$F:$F)</f>
        <v>26</v>
      </c>
      <c r="G20" cm="1">
        <f t="array" aca="1" ref="G20" ca="1">SUM(IF(ISNUMBER(SEARCH($B20,Songs!D:D)),1,0))</f>
        <v>0</v>
      </c>
      <c r="H20" cm="1">
        <f t="array" aca="1" ref="H20" ca="1">SUM(IF(ISNUMBER(SEARCH($B20,Songs!D:D)),Songs!G:G,0)) - SUM(IF(ISNUMBER(SEARCH($B20,Songs!D:D)),Songs!F:F,0))</f>
        <v>0</v>
      </c>
      <c r="I20">
        <f ca="1">_xlfn.MINIFS(Songs!J:J,Songs!$B:$B,Artists!$B20)</f>
        <v>16</v>
      </c>
      <c r="J20">
        <v>0</v>
      </c>
      <c r="K20" s="16">
        <f>AVERAGE(J$2:J20)</f>
        <v>0.21052631578947367</v>
      </c>
    </row>
    <row r="21" spans="1:11" ht="15.75" customHeight="1" x14ac:dyDescent="0.25">
      <c r="A21" s="10">
        <v>26</v>
      </c>
      <c r="B21" s="2" t="s">
        <v>89</v>
      </c>
      <c r="C21" cm="1">
        <f t="array" ref="C21">SUM(IF(ISNUMBER(SEARCH($B21,Songs!C:C)),1,0))+E21</f>
        <v>3</v>
      </c>
      <c r="D21" cm="1">
        <f t="array" aca="1" ref="D21" ca="1">SUM(IF(ISNUMBER(SEARCH($B21,Songs!C:C)),Songs!G:G,0))-SUM(IF(ISNUMBER(SEARCH($B21,Songs!C:C)),Songs!F:F,0))+F21</f>
        <v>25</v>
      </c>
      <c r="E21">
        <f>COUNTIF(Songs!$B:$B,Artists!$B21)</f>
        <v>1</v>
      </c>
      <c r="F21">
        <f ca="1">SUMIF(Songs!$B:$B,Artists!$B21,Songs!$G:$G)-SUMIF(Songs!$B:$B,Artists!$B21,Songs!$F:$F)</f>
        <v>10</v>
      </c>
      <c r="G21" cm="1">
        <f t="array" ref="G21">SUM(IF(ISNUMBER(SEARCH($B21,Songs!D:D)),1,0))</f>
        <v>0</v>
      </c>
      <c r="H21" cm="1">
        <f t="array" aca="1" ref="H21" ca="1">SUM(IF(ISNUMBER(SEARCH($B21,Songs!D:D)),Songs!G:G,0)) - SUM(IF(ISNUMBER(SEARCH($B21,Songs!D:D)),Songs!F:F,0))</f>
        <v>0</v>
      </c>
      <c r="I21">
        <f ca="1">_xlfn.MINIFS(Songs!J:J,Songs!$B:$B,Artists!$B21)</f>
        <v>13</v>
      </c>
      <c r="J21">
        <v>0</v>
      </c>
      <c r="K21" s="16">
        <f>AVERAGE(J$2:J21)</f>
        <v>0.2</v>
      </c>
    </row>
    <row r="22" spans="1:11" ht="15.75" customHeight="1" x14ac:dyDescent="0.25">
      <c r="A22" s="10">
        <v>23</v>
      </c>
      <c r="B22" s="2" t="s">
        <v>117</v>
      </c>
      <c r="C22" cm="1">
        <f t="array" aca="1" ref="C22" ca="1">SUM(IF(ISNUMBER(SEARCH($B22,Songs!C:C)),1,0))+E22</f>
        <v>1</v>
      </c>
      <c r="D22" cm="1">
        <f t="array" aca="1" ref="D22" ca="1">SUM(IF(ISNUMBER(SEARCH($B22,Songs!C:C)),Songs!G:G,0))-SUM(IF(ISNUMBER(SEARCH($B22,Songs!C:C)),Songs!F:F,0))+F22</f>
        <v>25</v>
      </c>
      <c r="E22">
        <f ca="1">COUNTIF(Songs!$B:$B,Artists!$B22)</f>
        <v>1</v>
      </c>
      <c r="F22">
        <f ca="1">SUMIF(Songs!$B:$B,Artists!$B22,Songs!$G:$G)-SUMIF(Songs!$B:$B,Artists!$B22,Songs!$F:$F)</f>
        <v>25</v>
      </c>
      <c r="G22" cm="1">
        <f t="array" ref="G22">SUM(IF(ISNUMBER(SEARCH($B22,Songs!D:D)),1,0))</f>
        <v>0</v>
      </c>
      <c r="H22" cm="1">
        <f t="array" aca="1" ref="H22" ca="1">SUM(IF(ISNUMBER(SEARCH($B22,Songs!D:D)),Songs!G:G,0)) - SUM(IF(ISNUMBER(SEARCH($B22,Songs!D:D)),Songs!F:F,0))</f>
        <v>0</v>
      </c>
      <c r="I22">
        <f ca="1">_xlfn.MINIFS(Songs!J:J,Songs!$B:$B,Artists!$B22)</f>
        <v>22</v>
      </c>
      <c r="J22">
        <v>0</v>
      </c>
      <c r="K22" s="16">
        <f>AVERAGE(J$2:J22)</f>
        <v>0.19047619047619047</v>
      </c>
    </row>
    <row r="23" spans="1:11" ht="15.75" customHeight="1" x14ac:dyDescent="0.25">
      <c r="A23" s="10">
        <v>31</v>
      </c>
      <c r="B23" s="2" t="s">
        <v>95</v>
      </c>
      <c r="C23" cm="1">
        <f t="array" ref="C23">SUM(IF(ISNUMBER(SEARCH($B23,Songs!C:C)),1,0))+E23</f>
        <v>2</v>
      </c>
      <c r="D23" cm="1">
        <f t="array" aca="1" ref="D23" ca="1">SUM(IF(ISNUMBER(SEARCH($B23,Songs!C:C)),Songs!G:G,0))-SUM(IF(ISNUMBER(SEARCH($B23,Songs!C:C)),Songs!F:F,0))+F23</f>
        <v>24</v>
      </c>
      <c r="E23">
        <f>COUNTIF(Songs!$B:$B,Artists!$B23)</f>
        <v>2</v>
      </c>
      <c r="F23">
        <f ca="1">SUMIF(Songs!$B:$B,Artists!$B23,Songs!$G:$G)-SUMIF(Songs!$B:$B,Artists!$B23,Songs!$F:$F)</f>
        <v>24</v>
      </c>
      <c r="G23" cm="1">
        <f t="array" ref="G23">SUM(IF(ISNUMBER(SEARCH($B23,Songs!D:D)),1,0))</f>
        <v>0</v>
      </c>
      <c r="H23" cm="1">
        <f t="array" aca="1" ref="H23" ca="1">SUM(IF(ISNUMBER(SEARCH($B23,Songs!D:D)),Songs!G:G,0)) - SUM(IF(ISNUMBER(SEARCH($B23,Songs!D:D)),Songs!F:F,0))</f>
        <v>0</v>
      </c>
      <c r="I23">
        <f ca="1">_xlfn.MINIFS(Songs!J:J,Songs!$B:$B,Artists!$B23)</f>
        <v>14</v>
      </c>
      <c r="J23">
        <v>0</v>
      </c>
      <c r="K23" s="16">
        <f>AVERAGE(J$2:J23)</f>
        <v>0.18181818181818182</v>
      </c>
    </row>
    <row r="24" spans="1:11" ht="15.75" customHeight="1" x14ac:dyDescent="0.25">
      <c r="A24" s="10">
        <v>14</v>
      </c>
      <c r="B24" s="2" t="s">
        <v>92</v>
      </c>
      <c r="C24" cm="1">
        <f t="array" aca="1" ref="C24" ca="1">SUM(IF(ISNUMBER(SEARCH($B24,Songs!C:C)),1,0))+E24</f>
        <v>1</v>
      </c>
      <c r="D24" cm="1">
        <f t="array" aca="1" ref="D24" ca="1">SUM(IF(ISNUMBER(SEARCH($B24,Songs!C:C)),Songs!G:G,0))-SUM(IF(ISNUMBER(SEARCH($B24,Songs!C:C)),Songs!F:F,0))+F24</f>
        <v>24</v>
      </c>
      <c r="E24">
        <f>COUNTIF(Songs!$B:$B,Artists!$B24)</f>
        <v>1</v>
      </c>
      <c r="F24">
        <f ca="1">SUMIF(Songs!$B:$B,Artists!$B24,Songs!$G:$G)-SUMIF(Songs!$B:$B,Artists!$B24,Songs!$F:$F)</f>
        <v>24</v>
      </c>
      <c r="G24" cm="1">
        <f t="array" ref="G24">SUM(IF(ISNUMBER(SEARCH($B24,Songs!D:D)),1,0))</f>
        <v>0</v>
      </c>
      <c r="H24" cm="1">
        <f t="array" aca="1" ref="H24" ca="1">SUM(IF(ISNUMBER(SEARCH($B24,Songs!D:D)),Songs!G:G,0)) - SUM(IF(ISNUMBER(SEARCH($B24,Songs!D:D)),Songs!F:F,0))</f>
        <v>0</v>
      </c>
      <c r="I24">
        <f ca="1">_xlfn.MINIFS(Songs!J:J,Songs!$B:$B,Artists!$B24)</f>
        <v>21</v>
      </c>
      <c r="J24">
        <v>1</v>
      </c>
      <c r="K24" s="16">
        <f>AVERAGE(J$2:J24)</f>
        <v>0.21739130434782608</v>
      </c>
    </row>
    <row r="25" spans="1:11" ht="15.75" customHeight="1" x14ac:dyDescent="0.25">
      <c r="A25" s="10">
        <v>34</v>
      </c>
      <c r="B25" s="2" t="s">
        <v>81</v>
      </c>
      <c r="C25" cm="1">
        <f t="array" ref="C25">SUM(IF(ISNUMBER(SEARCH($B25,Songs!C:C)),1,0))+E25</f>
        <v>4</v>
      </c>
      <c r="D25" cm="1">
        <f t="array" aca="1" ref="D25" ca="1">SUM(IF(ISNUMBER(SEARCH($B25,Songs!C:C)),Songs!G:G,0))-SUM(IF(ISNUMBER(SEARCH($B25,Songs!C:C)),Songs!F:F,0))+F25</f>
        <v>23</v>
      </c>
      <c r="E25">
        <f>COUNTIF(Songs!$B:$B,Artists!$B25)</f>
        <v>4</v>
      </c>
      <c r="F25">
        <f ca="1">SUMIF(Songs!$B:$B,Artists!$B25,Songs!$G:$G)-SUMIF(Songs!$B:$B,Artists!$B25,Songs!$F:$F)</f>
        <v>23</v>
      </c>
      <c r="G25" cm="1">
        <f t="array" ref="G25">SUM(IF(ISNUMBER(SEARCH($B25,Songs!D:D)),1,0))</f>
        <v>0</v>
      </c>
      <c r="H25" cm="1">
        <f t="array" aca="1" ref="H25" ca="1">SUM(IF(ISNUMBER(SEARCH($B25,Songs!D:D)),Songs!G:G,0)) - SUM(IF(ISNUMBER(SEARCH($B25,Songs!D:D)),Songs!F:F,0))</f>
        <v>0</v>
      </c>
      <c r="I25">
        <f ca="1">_xlfn.MINIFS(Songs!J:J,Songs!$B:$B,Artists!$B25)</f>
        <v>6</v>
      </c>
      <c r="J25">
        <v>0</v>
      </c>
      <c r="K25" s="16">
        <f>AVERAGE(J$2:J25)</f>
        <v>0.20833333333333334</v>
      </c>
    </row>
    <row r="26" spans="1:11" ht="15.75" customHeight="1" x14ac:dyDescent="0.25">
      <c r="B26" s="2" t="s">
        <v>234</v>
      </c>
      <c r="C26" cm="1">
        <f t="array" ref="C26">SUM(IF(ISNUMBER(SEARCH($B26,Songs!C:C)),1,0))+E26</f>
        <v>3</v>
      </c>
      <c r="D26" cm="1">
        <f t="array" aca="1" ref="D26" ca="1">SUM(IF(ISNUMBER(SEARCH($B26,Songs!C:C)),Songs!G:G,0))-SUM(IF(ISNUMBER(SEARCH($B26,Songs!C:C)),Songs!F:F,0))+F26</f>
        <v>23</v>
      </c>
      <c r="E26">
        <f>COUNTIF(Songs!$B:$B,Artists!$B26)</f>
        <v>3</v>
      </c>
      <c r="F26">
        <f ca="1">SUMIF(Songs!$B:$B,Artists!$B26,Songs!$G:$G)-SUMIF(Songs!$B:$B,Artists!$B26,Songs!$F:$F)</f>
        <v>23</v>
      </c>
      <c r="G26" cm="1">
        <f t="array" ref="G26">SUM(IF(ISNUMBER(SEARCH($B26,Songs!D:D)),1,0))</f>
        <v>0</v>
      </c>
      <c r="H26" cm="1">
        <f t="array" aca="1" ref="H26" ca="1">SUM(IF(ISNUMBER(SEARCH($B26,Songs!D:D)),Songs!G:G,0)) - SUM(IF(ISNUMBER(SEARCH($B26,Songs!D:D)),Songs!F:F,0))</f>
        <v>0</v>
      </c>
      <c r="I26">
        <f ca="1">_xlfn.MINIFS(Songs!J:J,Songs!$B:$B,Artists!$B26)</f>
        <v>1</v>
      </c>
      <c r="J26">
        <v>0</v>
      </c>
      <c r="K26" s="16">
        <f>AVERAGE(J$2:J26)</f>
        <v>0.2</v>
      </c>
    </row>
    <row r="27" spans="1:11" ht="15.75" customHeight="1" x14ac:dyDescent="0.25">
      <c r="A27" s="10">
        <v>47</v>
      </c>
      <c r="B27" s="6" t="s">
        <v>149</v>
      </c>
      <c r="C27" cm="1">
        <f t="array" ref="C27">SUM(IF(ISNUMBER(SEARCH($B27,Songs!C:C)),1,0))+E27</f>
        <v>1</v>
      </c>
      <c r="D27" cm="1">
        <f t="array" aca="1" ref="D27" ca="1">SUM(IF(ISNUMBER(SEARCH($B27,Songs!C:C)),Songs!G:G,0))-SUM(IF(ISNUMBER(SEARCH($B27,Songs!C:C)),Songs!F:F,0))+F27</f>
        <v>23</v>
      </c>
      <c r="E27">
        <f>COUNTIF(Songs!$B:$B,Artists!$B27)</f>
        <v>1</v>
      </c>
      <c r="F27">
        <f ca="1">SUMIF(Songs!$B:$B,Artists!$B27,Songs!$G:$G)-SUMIF(Songs!$B:$B,Artists!$B27,Songs!$F:$F)</f>
        <v>23</v>
      </c>
      <c r="G27" cm="1">
        <f t="array" ref="G27">SUM(IF(ISNUMBER(SEARCH($B27,Songs!D:D)),1,0))</f>
        <v>0</v>
      </c>
      <c r="H27" cm="1">
        <f t="array" aca="1" ref="H27" ca="1">SUM(IF(ISNUMBER(SEARCH($B27,Songs!D:D)),Songs!G:G,0)) - SUM(IF(ISNUMBER(SEARCH($B27,Songs!D:D)),Songs!F:F,0))</f>
        <v>0</v>
      </c>
      <c r="I27">
        <f ca="1">_xlfn.MINIFS(Songs!J:J,Songs!$B:$B,Artists!$B27)</f>
        <v>3</v>
      </c>
      <c r="J27">
        <v>1</v>
      </c>
      <c r="K27" s="16">
        <f>AVERAGE(J$2:J27)</f>
        <v>0.23076923076923078</v>
      </c>
    </row>
    <row r="28" spans="1:11" ht="15.75" customHeight="1" x14ac:dyDescent="0.25">
      <c r="A28" s="10">
        <v>12</v>
      </c>
      <c r="B28" s="2" t="s">
        <v>112</v>
      </c>
      <c r="C28" cm="1">
        <f t="array" aca="1" ref="C28" ca="1">SUM(IF(ISNUMBER(SEARCH($B28,Songs!C:C)),1,0))+E28</f>
        <v>1</v>
      </c>
      <c r="D28" cm="1">
        <f t="array" aca="1" ref="D28" ca="1">SUM(IF(ISNUMBER(SEARCH($B28,Songs!C:C)),Songs!G:G,0))-SUM(IF(ISNUMBER(SEARCH($B28,Songs!C:C)),Songs!F:F,0))+F28</f>
        <v>23</v>
      </c>
      <c r="E28">
        <f ca="1">COUNTIF(Songs!$B:$B,Artists!$B28)</f>
        <v>1</v>
      </c>
      <c r="F28">
        <f ca="1">SUMIF(Songs!$B:$B,Artists!$B28,Songs!$G:$G)-SUMIF(Songs!$B:$B,Artists!$B28,Songs!$F:$F)</f>
        <v>23</v>
      </c>
      <c r="G28" cm="1">
        <f t="array" ref="G28">SUM(IF(ISNUMBER(SEARCH($B28,Songs!D:D)),1,0))</f>
        <v>0</v>
      </c>
      <c r="H28" cm="1">
        <f t="array" aca="1" ref="H28" ca="1">SUM(IF(ISNUMBER(SEARCH($B28,Songs!D:D)),Songs!G:G,0)) - SUM(IF(ISNUMBER(SEARCH($B28,Songs!D:D)),Songs!F:F,0))</f>
        <v>0</v>
      </c>
      <c r="I28">
        <f ca="1">_xlfn.MINIFS(Songs!J:J,Songs!$B:$B,Artists!$B28)</f>
        <v>21</v>
      </c>
      <c r="J28">
        <v>1</v>
      </c>
      <c r="K28" s="16">
        <f>AVERAGE(J$2:J28)</f>
        <v>0.25925925925925924</v>
      </c>
    </row>
    <row r="29" spans="1:11" ht="15.75" customHeight="1" x14ac:dyDescent="0.25">
      <c r="A29" s="10">
        <v>19</v>
      </c>
      <c r="B29" s="2" t="s">
        <v>110</v>
      </c>
      <c r="C29" cm="1">
        <f t="array" ref="C29">SUM(IF(ISNUMBER(SEARCH($B29,Songs!C:C)),1,0))+E29</f>
        <v>1</v>
      </c>
      <c r="D29" cm="1">
        <f t="array" aca="1" ref="D29" ca="1">SUM(IF(ISNUMBER(SEARCH($B29,Songs!C:C)),Songs!G:G,0))-SUM(IF(ISNUMBER(SEARCH($B29,Songs!C:C)),Songs!F:F,0))+F29</f>
        <v>23</v>
      </c>
      <c r="E29">
        <f>COUNTIF(Songs!$B:$B,Artists!$B29)</f>
        <v>1</v>
      </c>
      <c r="F29">
        <f ca="1">SUMIF(Songs!$B:$B,Artists!$B29,Songs!$G:$G)-SUMIF(Songs!$B:$B,Artists!$B29,Songs!$F:$F)</f>
        <v>23</v>
      </c>
      <c r="G29" cm="1">
        <f t="array" ref="G29">SUM(IF(ISNUMBER(SEARCH($B29,Songs!D:D)),1,0))</f>
        <v>0</v>
      </c>
      <c r="H29" cm="1">
        <f t="array" aca="1" ref="H29" ca="1">SUM(IF(ISNUMBER(SEARCH($B29,Songs!D:D)),Songs!G:G,0)) - SUM(IF(ISNUMBER(SEARCH($B29,Songs!D:D)),Songs!F:F,0))</f>
        <v>0</v>
      </c>
      <c r="I29">
        <f ca="1">_xlfn.MINIFS(Songs!J:J,Songs!$B:$B,Artists!$B29)</f>
        <v>36</v>
      </c>
      <c r="J29">
        <v>0</v>
      </c>
      <c r="K29" s="16">
        <f>AVERAGE(J$2:J29)</f>
        <v>0.25</v>
      </c>
    </row>
    <row r="30" spans="1:11" ht="15.75" customHeight="1" x14ac:dyDescent="0.25">
      <c r="A30" s="10">
        <v>40</v>
      </c>
      <c r="B30" s="2" t="s">
        <v>86</v>
      </c>
      <c r="C30" cm="1">
        <f t="array" ref="C30">SUM(IF(ISNUMBER(SEARCH($B30,Songs!C:C)),1,0))+E30</f>
        <v>2</v>
      </c>
      <c r="D30" cm="1">
        <f t="array" aca="1" ref="D30" ca="1">SUM(IF(ISNUMBER(SEARCH($B30,Songs!C:C)),Songs!G:G,0))-SUM(IF(ISNUMBER(SEARCH($B30,Songs!C:C)),Songs!F:F,0))+F30</f>
        <v>21</v>
      </c>
      <c r="E30">
        <f>COUNTIF(Songs!$B:$B,Artists!$B30)</f>
        <v>2</v>
      </c>
      <c r="F30">
        <f ca="1">SUMIF(Songs!$B:$B,Artists!$B30,Songs!$G:$G)-SUMIF(Songs!$B:$B,Artists!$B30,Songs!$F:$F)</f>
        <v>21</v>
      </c>
      <c r="G30" cm="1">
        <f t="array" ref="G30">SUM(IF(ISNUMBER(SEARCH($B30,Songs!D:D)),1,0))</f>
        <v>1</v>
      </c>
      <c r="H30" cm="1">
        <f t="array" aca="1" ref="H30" ca="1">SUM(IF(ISNUMBER(SEARCH($B30,Songs!D:D)),Songs!G:G,0)) - SUM(IF(ISNUMBER(SEARCH($B30,Songs!D:D)),Songs!F:F,0))</f>
        <v>7</v>
      </c>
      <c r="I30">
        <f ca="1">_xlfn.MINIFS(Songs!J:J,Songs!$B:$B,Artists!$B30)</f>
        <v>32</v>
      </c>
      <c r="J30">
        <v>0</v>
      </c>
      <c r="K30" s="16">
        <f>AVERAGE(J$2:J30)</f>
        <v>0.2413793103448276</v>
      </c>
    </row>
    <row r="31" spans="1:11" ht="15.75" customHeight="1" x14ac:dyDescent="0.25">
      <c r="A31" s="10">
        <v>33</v>
      </c>
      <c r="B31" s="2" t="s">
        <v>111</v>
      </c>
      <c r="C31" cm="1">
        <f t="array" ref="C31">SUM(IF(ISNUMBER(SEARCH($B31,Songs!C:C)),1,0))+E31</f>
        <v>1</v>
      </c>
      <c r="D31" cm="1">
        <f t="array" aca="1" ref="D31" ca="1">SUM(IF(ISNUMBER(SEARCH($B31,Songs!C:C)),Songs!G:G,0))-SUM(IF(ISNUMBER(SEARCH($B31,Songs!C:C)),Songs!F:F,0))+F31</f>
        <v>21</v>
      </c>
      <c r="E31">
        <f>COUNTIF(Songs!$B:$B,Artists!$B31)</f>
        <v>1</v>
      </c>
      <c r="F31">
        <f ca="1">SUMIF(Songs!$B:$B,Artists!$B31,Songs!$G:$G)-SUMIF(Songs!$B:$B,Artists!$B31,Songs!$F:$F)</f>
        <v>21</v>
      </c>
      <c r="G31" cm="1">
        <f t="array" ref="G31">SUM(IF(ISNUMBER(SEARCH($B31,Songs!D:D)),1,0))</f>
        <v>0</v>
      </c>
      <c r="H31" cm="1">
        <f t="array" aca="1" ref="H31" ca="1">SUM(IF(ISNUMBER(SEARCH($B31,Songs!D:D)),Songs!G:G,0)) - SUM(IF(ISNUMBER(SEARCH($B31,Songs!D:D)),Songs!F:F,0))</f>
        <v>0</v>
      </c>
      <c r="I31">
        <f ca="1">_xlfn.MINIFS(Songs!J:J,Songs!$B:$B,Artists!$B31)</f>
        <v>9</v>
      </c>
      <c r="J31">
        <v>0</v>
      </c>
      <c r="K31" s="16">
        <f>AVERAGE(J$2:J31)</f>
        <v>0.23333333333333334</v>
      </c>
    </row>
    <row r="32" spans="1:11" ht="15.75" customHeight="1" x14ac:dyDescent="0.25">
      <c r="A32" s="10">
        <v>48</v>
      </c>
      <c r="B32" s="6" t="s">
        <v>131</v>
      </c>
      <c r="C32" cm="1">
        <f t="array" ref="C32">SUM(IF(ISNUMBER(SEARCH($B32,Songs!C:C)),1,0))+E32</f>
        <v>1</v>
      </c>
      <c r="D32" cm="1">
        <f t="array" aca="1" ref="D32" ca="1">SUM(IF(ISNUMBER(SEARCH($B32,Songs!C:C)),Songs!G:G,0))-SUM(IF(ISNUMBER(SEARCH($B32,Songs!C:C)),Songs!F:F,0))+F32</f>
        <v>21</v>
      </c>
      <c r="E32">
        <f>COUNTIF(Songs!$B:$B,Artists!$B32)</f>
        <v>1</v>
      </c>
      <c r="F32">
        <f ca="1">SUMIF(Songs!$B:$B,Artists!$B32,Songs!$G:$G)-SUMIF(Songs!$B:$B,Artists!$B32,Songs!$F:$F)</f>
        <v>21</v>
      </c>
      <c r="G32" cm="1">
        <f t="array" ref="G32">SUM(IF(ISNUMBER(SEARCH($B32,Songs!D:D)),1,0))</f>
        <v>0</v>
      </c>
      <c r="H32" cm="1">
        <f t="array" aca="1" ref="H32" ca="1">SUM(IF(ISNUMBER(SEARCH($B32,Songs!D:D)),Songs!G:G,0)) - SUM(IF(ISNUMBER(SEARCH($B32,Songs!D:D)),Songs!F:F,0))</f>
        <v>0</v>
      </c>
      <c r="I32">
        <f ca="1">_xlfn.MINIFS(Songs!J:J,Songs!$B:$B,Artists!$B32)</f>
        <v>20</v>
      </c>
      <c r="J32">
        <v>0</v>
      </c>
      <c r="K32" s="16">
        <f>AVERAGE(J$2:J32)</f>
        <v>0.22580645161290322</v>
      </c>
    </row>
    <row r="33" spans="1:11" ht="15.75" customHeight="1" x14ac:dyDescent="0.25">
      <c r="A33" s="10">
        <v>25</v>
      </c>
      <c r="B33" s="2" t="s">
        <v>103</v>
      </c>
      <c r="C33" cm="1">
        <f t="array" aca="1" ref="C33" ca="1">SUM(IF(ISNUMBER(SEARCH($B33,Songs!C:C)),1,0))+E33</f>
        <v>1</v>
      </c>
      <c r="D33" cm="1">
        <f t="array" aca="1" ref="D33" ca="1">SUM(IF(ISNUMBER(SEARCH($B33,Songs!C:C)),Songs!G:G,0))-SUM(IF(ISNUMBER(SEARCH($B33,Songs!C:C)),Songs!F:F,0))+F33</f>
        <v>19</v>
      </c>
      <c r="E33">
        <f>COUNTIF(Songs!$B:$B,Artists!$B33)</f>
        <v>1</v>
      </c>
      <c r="F33">
        <f ca="1">SUMIF(Songs!$B:$B,Artists!$B33,Songs!$G:$G)-SUMIF(Songs!$B:$B,Artists!$B33,Songs!$F:$F)</f>
        <v>19</v>
      </c>
      <c r="G33" cm="1">
        <f t="array" ref="G33">SUM(IF(ISNUMBER(SEARCH($B33,Songs!D:D)),1,0))</f>
        <v>0</v>
      </c>
      <c r="H33" cm="1">
        <f t="array" aca="1" ref="H33" ca="1">SUM(IF(ISNUMBER(SEARCH($B33,Songs!D:D)),Songs!G:G,0)) - SUM(IF(ISNUMBER(SEARCH($B33,Songs!D:D)),Songs!F:F,0))</f>
        <v>0</v>
      </c>
      <c r="I33">
        <f ca="1">_xlfn.MINIFS(Songs!J:J,Songs!$B:$B,Artists!$B33)</f>
        <v>13</v>
      </c>
      <c r="J33">
        <v>0</v>
      </c>
      <c r="K33" s="16">
        <f>AVERAGE(J$2:J33)</f>
        <v>0.21875</v>
      </c>
    </row>
    <row r="34" spans="1:11" ht="15.75" customHeight="1" x14ac:dyDescent="0.25">
      <c r="A34" s="10">
        <v>42</v>
      </c>
      <c r="B34" s="6" t="s">
        <v>130</v>
      </c>
      <c r="C34" cm="1">
        <f t="array" ref="C34">SUM(IF(ISNUMBER(SEARCH($B34,Songs!C:C)),1,0))+E34</f>
        <v>1</v>
      </c>
      <c r="D34" cm="1">
        <f t="array" aca="1" ref="D34" ca="1">SUM(IF(ISNUMBER(SEARCH($B34,Songs!C:C)),Songs!G:G,0))-SUM(IF(ISNUMBER(SEARCH($B34,Songs!C:C)),Songs!F:F,0))+F34</f>
        <v>19</v>
      </c>
      <c r="E34">
        <f>COUNTIF(Songs!$B:$B,Artists!$B34)</f>
        <v>1</v>
      </c>
      <c r="F34">
        <f ca="1">SUMIF(Songs!$B:$B,Artists!$B34,Songs!$G:$G)-SUMIF(Songs!$B:$B,Artists!$B34,Songs!$F:$F)</f>
        <v>19</v>
      </c>
      <c r="G34" cm="1">
        <f t="array" ref="G34">SUM(IF(ISNUMBER(SEARCH($B34,Songs!D:D)),1,0))</f>
        <v>0</v>
      </c>
      <c r="H34" cm="1">
        <f t="array" aca="1" ref="H34" ca="1">SUM(IF(ISNUMBER(SEARCH($B34,Songs!D:D)),Songs!G:G,0)) - SUM(IF(ISNUMBER(SEARCH($B34,Songs!D:D)),Songs!F:F,0))</f>
        <v>0</v>
      </c>
      <c r="I34">
        <f ca="1">_xlfn.MINIFS(Songs!J:J,Songs!$B:$B,Artists!$B34)</f>
        <v>19</v>
      </c>
      <c r="J34">
        <v>0</v>
      </c>
      <c r="K34" s="16">
        <f>AVERAGE(J$2:J34)</f>
        <v>0.21212121212121213</v>
      </c>
    </row>
    <row r="35" spans="1:11" ht="15.75" customHeight="1" x14ac:dyDescent="0.25">
      <c r="B35" s="6" t="s">
        <v>182</v>
      </c>
      <c r="C35" cm="1">
        <f t="array" ref="C35">SUM(IF(ISNUMBER(SEARCH($B35,Songs!C:C)),1,0))+E35</f>
        <v>1</v>
      </c>
      <c r="D35" cm="1">
        <f t="array" aca="1" ref="D35" ca="1">SUM(IF(ISNUMBER(SEARCH($B35,Songs!C:C)),Songs!G:G,0))-SUM(IF(ISNUMBER(SEARCH($B35,Songs!C:C)),Songs!F:F,0))+F35</f>
        <v>19</v>
      </c>
      <c r="E35">
        <f>COUNTIF(Songs!$B:$B,Artists!$B35)</f>
        <v>1</v>
      </c>
      <c r="F35">
        <f ca="1">SUMIF(Songs!$B:$B,Artists!$B35,Songs!$G:$G)-SUMIF(Songs!$B:$B,Artists!$B35,Songs!$F:$F)</f>
        <v>19</v>
      </c>
      <c r="G35" cm="1">
        <f t="array" ref="G35">SUM(IF(ISNUMBER(SEARCH($B35,Songs!D:D)),1,0))</f>
        <v>0</v>
      </c>
      <c r="H35" cm="1">
        <f t="array" aca="1" ref="H35" ca="1">SUM(IF(ISNUMBER(SEARCH($B35,Songs!D:D)),Songs!G:G,0)) - SUM(IF(ISNUMBER(SEARCH($B35,Songs!D:D)),Songs!F:F,0))</f>
        <v>0</v>
      </c>
      <c r="I35">
        <f ca="1">_xlfn.MINIFS(Songs!J:J,Songs!$B:$B,Artists!$B35)</f>
        <v>29</v>
      </c>
      <c r="J35">
        <v>0</v>
      </c>
      <c r="K35" s="16">
        <f>AVERAGE(J$2:J35)</f>
        <v>0.20588235294117646</v>
      </c>
    </row>
    <row r="36" spans="1:11" ht="15.75" customHeight="1" x14ac:dyDescent="0.25">
      <c r="A36" s="10">
        <v>29</v>
      </c>
      <c r="B36" s="2" t="s">
        <v>115</v>
      </c>
      <c r="C36" cm="1">
        <f t="array" ref="C36">SUM(IF(ISNUMBER(SEARCH($B36,Songs!C:C)),1,0))+E36</f>
        <v>1</v>
      </c>
      <c r="D36" cm="1">
        <f t="array" aca="1" ref="D36" ca="1">SUM(IF(ISNUMBER(SEARCH($B36,Songs!C:C)),Songs!G:G,0))-SUM(IF(ISNUMBER(SEARCH($B36,Songs!C:C)),Songs!F:F,0))+F36</f>
        <v>18</v>
      </c>
      <c r="E36">
        <f>COUNTIF(Songs!$B:$B,Artists!$B36)</f>
        <v>1</v>
      </c>
      <c r="F36">
        <f ca="1">SUMIF(Songs!$B:$B,Artists!$B36,Songs!$G:$G)-SUMIF(Songs!$B:$B,Artists!$B36,Songs!$F:$F)</f>
        <v>18</v>
      </c>
      <c r="G36" cm="1">
        <f t="array" ref="G36">SUM(IF(ISNUMBER(SEARCH($B36,Songs!D:D)),1,0))</f>
        <v>0</v>
      </c>
      <c r="H36" cm="1">
        <f t="array" aca="1" ref="H36" ca="1">SUM(IF(ISNUMBER(SEARCH($B36,Songs!D:D)),Songs!G:G,0)) - SUM(IF(ISNUMBER(SEARCH($B36,Songs!D:D)),Songs!F:F,0))</f>
        <v>0</v>
      </c>
      <c r="I36">
        <f ca="1">_xlfn.MINIFS(Songs!J:J,Songs!$B:$B,Artists!$B36)</f>
        <v>20</v>
      </c>
      <c r="J36">
        <v>0</v>
      </c>
      <c r="K36" s="16">
        <f>AVERAGE(J$2:J36)</f>
        <v>0.2</v>
      </c>
    </row>
    <row r="37" spans="1:11" ht="15.75" customHeight="1" x14ac:dyDescent="0.25">
      <c r="A37" s="10">
        <v>10</v>
      </c>
      <c r="B37" s="2" t="s">
        <v>75</v>
      </c>
      <c r="C37" cm="1">
        <f t="array" ref="C37">SUM(IF(ISNUMBER(SEARCH($B37,Songs!C:C)),1,0))+E37</f>
        <v>5</v>
      </c>
      <c r="D37" cm="1">
        <f t="array" aca="1" ref="D37" ca="1">SUM(IF(ISNUMBER(SEARCH($B37,Songs!C:C)),Songs!G:G,0))-SUM(IF(ISNUMBER(SEARCH($B37,Songs!C:C)),Songs!F:F,0))+F37</f>
        <v>17</v>
      </c>
      <c r="E37">
        <f>COUNTIF(Songs!$B:$B,Artists!$B37)</f>
        <v>5</v>
      </c>
      <c r="F37">
        <f ca="1">SUMIF(Songs!$B:$B,Artists!$B37,Songs!$G:$G)-SUMIF(Songs!$B:$B,Artists!$B37,Songs!$F:$F)</f>
        <v>17</v>
      </c>
      <c r="G37" cm="1">
        <f t="array" aca="1" ref="G37" ca="1">SUM(IF(ISNUMBER(SEARCH($B37,Songs!D:D)),1,0))</f>
        <v>1</v>
      </c>
      <c r="H37" cm="1">
        <f t="array" aca="1" ref="H37" ca="1">SUM(IF(ISNUMBER(SEARCH($B37,Songs!D:D)),Songs!G:G,0)) - SUM(IF(ISNUMBER(SEARCH($B37,Songs!D:D)),Songs!F:F,0))</f>
        <v>27</v>
      </c>
      <c r="I37">
        <f ca="1">_xlfn.MINIFS(Songs!J:J,Songs!$B:$B,Artists!$B37)</f>
        <v>17</v>
      </c>
      <c r="J37">
        <v>1</v>
      </c>
      <c r="K37" s="16">
        <f>AVERAGE(J$2:J37)</f>
        <v>0.22222222222222221</v>
      </c>
    </row>
    <row r="38" spans="1:11" ht="15.75" customHeight="1" x14ac:dyDescent="0.25">
      <c r="A38" s="10">
        <v>32</v>
      </c>
      <c r="B38" s="2" t="s">
        <v>100</v>
      </c>
      <c r="C38" cm="1">
        <f t="array" ref="C38">SUM(IF(ISNUMBER(SEARCH($B38,Songs!C:C)),1,0))+E38</f>
        <v>2</v>
      </c>
      <c r="D38" cm="1">
        <f t="array" aca="1" ref="D38" ca="1">SUM(IF(ISNUMBER(SEARCH($B38,Songs!C:C)),Songs!G:G,0))-SUM(IF(ISNUMBER(SEARCH($B38,Songs!C:C)),Songs!F:F,0))+F38</f>
        <v>17</v>
      </c>
      <c r="E38">
        <f>COUNTIF(Songs!$B:$B,Artists!$B38)</f>
        <v>2</v>
      </c>
      <c r="F38">
        <f ca="1">SUMIF(Songs!$B:$B,Artists!$B38,Songs!$G:$G)-SUMIF(Songs!$B:$B,Artists!$B38,Songs!$F:$F)</f>
        <v>17</v>
      </c>
      <c r="G38" cm="1">
        <f t="array" ref="G38">SUM(IF(ISNUMBER(SEARCH($B38,Songs!D:D)),1,0))</f>
        <v>0</v>
      </c>
      <c r="H38" cm="1">
        <f t="array" aca="1" ref="H38" ca="1">SUM(IF(ISNUMBER(SEARCH($B38,Songs!D:D)),Songs!G:G,0)) - SUM(IF(ISNUMBER(SEARCH($B38,Songs!D:D)),Songs!F:F,0))</f>
        <v>0</v>
      </c>
      <c r="I38">
        <f ca="1">_xlfn.MINIFS(Songs!J:J,Songs!$B:$B,Artists!$B38)</f>
        <v>30</v>
      </c>
      <c r="J38">
        <v>0</v>
      </c>
      <c r="K38" s="16">
        <f>AVERAGE(J$2:J38)</f>
        <v>0.21621621621621623</v>
      </c>
    </row>
    <row r="39" spans="1:11" ht="15.75" customHeight="1" x14ac:dyDescent="0.25">
      <c r="A39" s="10">
        <v>57</v>
      </c>
      <c r="B39" s="6" t="s">
        <v>157</v>
      </c>
      <c r="C39" cm="1">
        <f t="array" ref="C39">SUM(IF(ISNUMBER(SEARCH($B39,Songs!C:C)),1,0))+E39</f>
        <v>1</v>
      </c>
      <c r="D39" cm="1">
        <f t="array" aca="1" ref="D39" ca="1">SUM(IF(ISNUMBER(SEARCH($B39,Songs!C:C)),Songs!G:G,0))-SUM(IF(ISNUMBER(SEARCH($B39,Songs!C:C)),Songs!F:F,0))+F39</f>
        <v>17</v>
      </c>
      <c r="E39">
        <f>COUNTIF(Songs!$B:$B,Artists!$B39)</f>
        <v>1</v>
      </c>
      <c r="F39">
        <f ca="1">SUMIF(Songs!$B:$B,Artists!$B39,Songs!$G:$G)-SUMIF(Songs!$B:$B,Artists!$B39,Songs!$F:$F)</f>
        <v>17</v>
      </c>
      <c r="G39" cm="1">
        <f t="array" ref="G39">SUM(IF(ISNUMBER(SEARCH($B39,Songs!D:D)),1,0))</f>
        <v>0</v>
      </c>
      <c r="H39" cm="1">
        <f t="array" aca="1" ref="H39" ca="1">SUM(IF(ISNUMBER(SEARCH($B39,Songs!D:D)),Songs!G:G,0)) - SUM(IF(ISNUMBER(SEARCH($B39,Songs!D:D)),Songs!F:F,0))</f>
        <v>0</v>
      </c>
      <c r="I39">
        <f ca="1">_xlfn.MINIFS(Songs!J:J,Songs!$B:$B,Artists!$B39)</f>
        <v>22</v>
      </c>
      <c r="J39">
        <v>0</v>
      </c>
      <c r="K39" s="16">
        <f>AVERAGE(J$2:J39)</f>
        <v>0.21052631578947367</v>
      </c>
    </row>
    <row r="40" spans="1:11" ht="15.75" customHeight="1" x14ac:dyDescent="0.25">
      <c r="B40" s="2" t="s">
        <v>235</v>
      </c>
      <c r="C40" cm="1">
        <f t="array" ref="C40">SUM(IF(ISNUMBER(SEARCH($B40,Songs!C:C)),1,0))+E40</f>
        <v>1</v>
      </c>
      <c r="D40" cm="1">
        <f t="array" aca="1" ref="D40" ca="1">SUM(IF(ISNUMBER(SEARCH($B40,Songs!C:C)),Songs!G:G,0))-SUM(IF(ISNUMBER(SEARCH($B40,Songs!C:C)),Songs!F:F,0))+F40</f>
        <v>17</v>
      </c>
      <c r="E40">
        <f>COUNTIF(Songs!$B:$B,Artists!$B40)</f>
        <v>1</v>
      </c>
      <c r="F40">
        <f ca="1">SUMIF(Songs!$B:$B,Artists!$B40,Songs!$G:$G)-SUMIF(Songs!$B:$B,Artists!$B40,Songs!$F:$F)</f>
        <v>17</v>
      </c>
      <c r="G40" cm="1">
        <f t="array" ref="G40">SUM(IF(ISNUMBER(SEARCH($B40,Songs!D:D)),1,0))</f>
        <v>0</v>
      </c>
      <c r="H40" cm="1">
        <f t="array" aca="1" ref="H40" ca="1">SUM(IF(ISNUMBER(SEARCH($B40,Songs!D:D)),Songs!G:G,0)) - SUM(IF(ISNUMBER(SEARCH($B40,Songs!D:D)),Songs!F:F,0))</f>
        <v>0</v>
      </c>
      <c r="I40">
        <f ca="1">_xlfn.MINIFS(Songs!J:J,Songs!$B:$B,Artists!$B40)</f>
        <v>30</v>
      </c>
      <c r="J40">
        <v>0</v>
      </c>
      <c r="K40" s="16">
        <f>AVERAGE(J$2:J40)</f>
        <v>0.20512820512820512</v>
      </c>
    </row>
    <row r="41" spans="1:11" ht="15.75" customHeight="1" x14ac:dyDescent="0.25">
      <c r="B41" s="2" t="s">
        <v>220</v>
      </c>
      <c r="C41" cm="1">
        <f t="array" ref="C41">SUM(IF(ISNUMBER(SEARCH($B41,Songs!C:C)),1,0))+E41</f>
        <v>1</v>
      </c>
      <c r="D41" cm="1">
        <f t="array" aca="1" ref="D41" ca="1">SUM(IF(ISNUMBER(SEARCH($B41,Songs!C:C)),Songs!G:G,0))-SUM(IF(ISNUMBER(SEARCH($B41,Songs!C:C)),Songs!F:F,0))+F41</f>
        <v>16</v>
      </c>
      <c r="E41">
        <f>COUNTIF(Songs!$B:$B,Artists!$B41)</f>
        <v>1</v>
      </c>
      <c r="F41">
        <f ca="1">SUMIF(Songs!$B:$B,Artists!$B41,Songs!$G:$G)-SUMIF(Songs!$B:$B,Artists!$B41,Songs!$F:$F)</f>
        <v>16</v>
      </c>
      <c r="G41" cm="1">
        <f t="array" ref="G41">SUM(IF(ISNUMBER(SEARCH($B41,Songs!D:D)),1,0))</f>
        <v>0</v>
      </c>
      <c r="H41" cm="1">
        <f t="array" aca="1" ref="H41" ca="1">SUM(IF(ISNUMBER(SEARCH($B41,Songs!D:D)),Songs!G:G,0)) - SUM(IF(ISNUMBER(SEARCH($B41,Songs!D:D)),Songs!F:F,0))</f>
        <v>0</v>
      </c>
      <c r="I41">
        <f ca="1">_xlfn.MINIFS(Songs!J:J,Songs!$B:$B,Artists!$B41)</f>
        <v>28</v>
      </c>
      <c r="J41">
        <v>0</v>
      </c>
      <c r="K41" s="16">
        <f>AVERAGE(J$2:J41)</f>
        <v>0.2</v>
      </c>
    </row>
    <row r="42" spans="1:11" ht="15.75" customHeight="1" x14ac:dyDescent="0.25">
      <c r="A42" s="10">
        <v>22</v>
      </c>
      <c r="B42" s="2" t="s">
        <v>105</v>
      </c>
      <c r="C42" cm="1">
        <f t="array" aca="1" ref="C42" ca="1">SUM(IF(ISNUMBER(SEARCH($B42,Songs!C:C)),1,0))+E42</f>
        <v>1</v>
      </c>
      <c r="D42" cm="1">
        <f t="array" aca="1" ref="D42" ca="1">SUM(IF(ISNUMBER(SEARCH($B42,Songs!C:C)),Songs!G:G,0))-SUM(IF(ISNUMBER(SEARCH($B42,Songs!C:C)),Songs!F:F,0))+F42</f>
        <v>16</v>
      </c>
      <c r="E42">
        <f>COUNTIF(Songs!$B:$B,Artists!$B42)</f>
        <v>1</v>
      </c>
      <c r="F42">
        <f ca="1">SUMIF(Songs!$B:$B,Artists!$B42,Songs!$G:$G)-SUMIF(Songs!$B:$B,Artists!$B42,Songs!$F:$F)</f>
        <v>16</v>
      </c>
      <c r="G42" cm="1">
        <f t="array" aca="1" ref="G42" ca="1">SUM(IF(ISNUMBER(SEARCH($B42,Songs!D:D)),1,0))</f>
        <v>0</v>
      </c>
      <c r="H42" cm="1">
        <f t="array" aca="1" ref="H42" ca="1">SUM(IF(ISNUMBER(SEARCH($B42,Songs!D:D)),Songs!G:G,0)) - SUM(IF(ISNUMBER(SEARCH($B42,Songs!D:D)),Songs!F:F,0))</f>
        <v>0</v>
      </c>
      <c r="I42">
        <f ca="1">_xlfn.MINIFS(Songs!J:J,Songs!$B:$B,Artists!$B42)</f>
        <v>31</v>
      </c>
      <c r="J42">
        <v>0</v>
      </c>
      <c r="K42" s="16">
        <f>AVERAGE(J$2:J42)</f>
        <v>0.1951219512195122</v>
      </c>
    </row>
    <row r="43" spans="1:11" ht="15.75" customHeight="1" x14ac:dyDescent="0.25">
      <c r="B43" s="2" t="s">
        <v>250</v>
      </c>
      <c r="C43" cm="1">
        <f t="array" ref="C43">SUM(IF(ISNUMBER(SEARCH($B43,Songs!C:C)),1,0))+E43</f>
        <v>1</v>
      </c>
      <c r="D43" cm="1">
        <f t="array" aca="1" ref="D43" ca="1">SUM(IF(ISNUMBER(SEARCH($B43,Songs!C:C)),Songs!G:G,0))-SUM(IF(ISNUMBER(SEARCH($B43,Songs!C:C)),Songs!F:F,0))+F43</f>
        <v>14</v>
      </c>
      <c r="E43">
        <f>COUNTIF(Songs!$B:$B,Artists!$B43)</f>
        <v>1</v>
      </c>
      <c r="F43">
        <f ca="1">SUMIF(Songs!$B:$B,Artists!$B43,Songs!$G:$G)-SUMIF(Songs!$B:$B,Artists!$B43,Songs!$F:$F)</f>
        <v>14</v>
      </c>
      <c r="G43" cm="1">
        <f t="array" ref="G43">SUM(IF(ISNUMBER(SEARCH($B43,Songs!D:D)),1,0))</f>
        <v>0</v>
      </c>
      <c r="H43" cm="1">
        <f t="array" aca="1" ref="H43" ca="1">SUM(IF(ISNUMBER(SEARCH($B43,Songs!D:D)),Songs!G:G,0)) - SUM(IF(ISNUMBER(SEARCH($B43,Songs!D:D)),Songs!F:F,0))</f>
        <v>0</v>
      </c>
      <c r="I43">
        <f ca="1">_xlfn.MINIFS(Songs!J:J,Songs!$B:$B,Artists!$B43)</f>
        <v>4</v>
      </c>
      <c r="J43">
        <v>0</v>
      </c>
      <c r="K43" s="16">
        <f>AVERAGE(J$2:J43)</f>
        <v>0.19047619047619047</v>
      </c>
    </row>
    <row r="44" spans="1:11" ht="15.75" customHeight="1" x14ac:dyDescent="0.25">
      <c r="A44" s="10">
        <v>35</v>
      </c>
      <c r="B44" s="2" t="s">
        <v>108</v>
      </c>
      <c r="C44" cm="1">
        <f t="array" ref="C44">SUM(IF(ISNUMBER(SEARCH($B44,Songs!C:C)),1,0))+E44</f>
        <v>1</v>
      </c>
      <c r="D44" cm="1">
        <f t="array" aca="1" ref="D44" ca="1">SUM(IF(ISNUMBER(SEARCH($B44,Songs!C:C)),Songs!G:G,0))-SUM(IF(ISNUMBER(SEARCH($B44,Songs!C:C)),Songs!F:F,0))+F44</f>
        <v>14</v>
      </c>
      <c r="E44">
        <f>COUNTIF(Songs!$B:$B,Artists!$B44)</f>
        <v>1</v>
      </c>
      <c r="F44">
        <f ca="1">SUMIF(Songs!$B:$B,Artists!$B44,Songs!$G:$G)-SUMIF(Songs!$B:$B,Artists!$B44,Songs!$F:$F)</f>
        <v>14</v>
      </c>
      <c r="G44" cm="1">
        <f t="array" ref="G44">SUM(IF(ISNUMBER(SEARCH($B44,Songs!D:D)),1,0))</f>
        <v>0</v>
      </c>
      <c r="H44" cm="1">
        <f t="array" aca="1" ref="H44" ca="1">SUM(IF(ISNUMBER(SEARCH($B44,Songs!D:D)),Songs!G:G,0)) - SUM(IF(ISNUMBER(SEARCH($B44,Songs!D:D)),Songs!F:F,0))</f>
        <v>0</v>
      </c>
      <c r="I44">
        <f ca="1">_xlfn.MINIFS(Songs!J:J,Songs!$B:$B,Artists!$B44)</f>
        <v>14</v>
      </c>
      <c r="J44">
        <v>0</v>
      </c>
      <c r="K44" s="16">
        <f>AVERAGE(J$2:J44)</f>
        <v>0.18604651162790697</v>
      </c>
    </row>
    <row r="45" spans="1:11" ht="15.75" customHeight="1" x14ac:dyDescent="0.25">
      <c r="A45" s="10">
        <v>18</v>
      </c>
      <c r="B45" s="2" t="s">
        <v>96</v>
      </c>
      <c r="C45" cm="1">
        <f t="array" ref="C45">SUM(IF(ISNUMBER(SEARCH($B45,Songs!C:C)),1,0))+E45</f>
        <v>1</v>
      </c>
      <c r="D45" cm="1">
        <f t="array" aca="1" ref="D45" ca="1">SUM(IF(ISNUMBER(SEARCH($B45,Songs!C:C)),Songs!G:G,0))-SUM(IF(ISNUMBER(SEARCH($B45,Songs!C:C)),Songs!F:F,0))+F45</f>
        <v>14</v>
      </c>
      <c r="E45">
        <f>COUNTIF(Songs!$B:$B,Artists!$B45)</f>
        <v>1</v>
      </c>
      <c r="F45">
        <f ca="1">SUMIF(Songs!$B:$B,Artists!$B45,Songs!$G:$G)-SUMIF(Songs!$B:$B,Artists!$B45,Songs!$F:$F)</f>
        <v>14</v>
      </c>
      <c r="G45" cm="1">
        <f t="array" ref="G45">SUM(IF(ISNUMBER(SEARCH($B45,Songs!D:D)),1,0))</f>
        <v>0</v>
      </c>
      <c r="H45" cm="1">
        <f t="array" aca="1" ref="H45" ca="1">SUM(IF(ISNUMBER(SEARCH($B45,Songs!D:D)),Songs!G:G,0)) - SUM(IF(ISNUMBER(SEARCH($B45,Songs!D:D)),Songs!F:F,0))</f>
        <v>0</v>
      </c>
      <c r="I45">
        <f ca="1">_xlfn.MINIFS(Songs!J:J,Songs!$B:$B,Artists!$B45)</f>
        <v>19</v>
      </c>
      <c r="J45">
        <v>0</v>
      </c>
      <c r="K45" s="16">
        <f>AVERAGE(J$2:J45)</f>
        <v>0.18181818181818182</v>
      </c>
    </row>
    <row r="46" spans="1:11" ht="15.75" customHeight="1" x14ac:dyDescent="0.25">
      <c r="A46" s="10">
        <v>38</v>
      </c>
      <c r="B46" s="2" t="s">
        <v>118</v>
      </c>
      <c r="C46" cm="1">
        <f t="array" ref="C46">SUM(IF(ISNUMBER(SEARCH($B46,Songs!C:C)),1,0))+E46</f>
        <v>2</v>
      </c>
      <c r="D46" cm="1">
        <f t="array" aca="1" ref="D46" ca="1">SUM(IF(ISNUMBER(SEARCH($B46,Songs!C:C)),Songs!G:G,0))-SUM(IF(ISNUMBER(SEARCH($B46,Songs!C:C)),Songs!F:F,0))+F46</f>
        <v>13</v>
      </c>
      <c r="E46">
        <f>COUNTIF(Songs!$B:$B,Artists!$B46)</f>
        <v>2</v>
      </c>
      <c r="F46">
        <f ca="1">SUMIF(Songs!$B:$B,Artists!$B46,Songs!$G:$G)-SUMIF(Songs!$B:$B,Artists!$B46,Songs!$F:$F)</f>
        <v>13</v>
      </c>
      <c r="G46" cm="1">
        <f t="array" ref="G46">SUM(IF(ISNUMBER(SEARCH($B46,Songs!D:D)),1,0))</f>
        <v>0</v>
      </c>
      <c r="H46" cm="1">
        <f t="array" aca="1" ref="H46" ca="1">SUM(IF(ISNUMBER(SEARCH($B46,Songs!D:D)),Songs!G:G,0)) - SUM(IF(ISNUMBER(SEARCH($B46,Songs!D:D)),Songs!F:F,0))</f>
        <v>0</v>
      </c>
      <c r="I46">
        <f ca="1">_xlfn.MINIFS(Songs!J:J,Songs!$B:$B,Artists!$B46)</f>
        <v>43</v>
      </c>
      <c r="J46">
        <v>0</v>
      </c>
      <c r="K46" s="16">
        <f>AVERAGE(J$2:J46)</f>
        <v>0.17777777777777778</v>
      </c>
    </row>
    <row r="47" spans="1:11" ht="15.75" customHeight="1" x14ac:dyDescent="0.25">
      <c r="A47" s="10">
        <v>28</v>
      </c>
      <c r="B47" s="2" t="s">
        <v>85</v>
      </c>
      <c r="C47" cm="1">
        <f t="array" ref="C47">SUM(IF(ISNUMBER(SEARCH($B47,Songs!C:C)),1,0))+E47</f>
        <v>1</v>
      </c>
      <c r="D47" cm="1">
        <f t="array" aca="1" ref="D47" ca="1">SUM(IF(ISNUMBER(SEARCH($B47,Songs!C:C)),Songs!G:G,0))-SUM(IF(ISNUMBER(SEARCH($B47,Songs!C:C)),Songs!F:F,0))+F47</f>
        <v>13</v>
      </c>
      <c r="E47">
        <f>COUNTIF(Songs!$B:$B,Artists!$B47)</f>
        <v>1</v>
      </c>
      <c r="F47">
        <f ca="1">SUMIF(Songs!$B:$B,Artists!$B47,Songs!$G:$G)-SUMIF(Songs!$B:$B,Artists!$B47,Songs!$F:$F)</f>
        <v>13</v>
      </c>
      <c r="G47" cm="1">
        <f t="array" ref="G47">SUM(IF(ISNUMBER(SEARCH($B47,Songs!D:D)),1,0))</f>
        <v>0</v>
      </c>
      <c r="H47" cm="1">
        <f t="array" aca="1" ref="H47" ca="1">SUM(IF(ISNUMBER(SEARCH($B47,Songs!D:D)),Songs!G:G,0)) - SUM(IF(ISNUMBER(SEARCH($B47,Songs!D:D)),Songs!F:F,0))</f>
        <v>0</v>
      </c>
      <c r="I47">
        <f ca="1">_xlfn.MINIFS(Songs!J:J,Songs!$B:$B,Artists!$B47)</f>
        <v>7</v>
      </c>
      <c r="J47">
        <v>0</v>
      </c>
      <c r="K47" s="16">
        <f>AVERAGE(J$2:J47)</f>
        <v>0.17391304347826086</v>
      </c>
    </row>
    <row r="48" spans="1:11" ht="15.75" customHeight="1" x14ac:dyDescent="0.25">
      <c r="A48" s="10">
        <v>21</v>
      </c>
      <c r="B48" s="2" t="s">
        <v>83</v>
      </c>
      <c r="C48" cm="1">
        <f t="array" ref="C48">SUM(IF(ISNUMBER(SEARCH($B48,Songs!C:C)),1,0))+E48</f>
        <v>1</v>
      </c>
      <c r="D48" cm="1">
        <f t="array" aca="1" ref="D48" ca="1">SUM(IF(ISNUMBER(SEARCH($B48,Songs!C:C)),Songs!G:G,0))-SUM(IF(ISNUMBER(SEARCH($B48,Songs!C:C)),Songs!F:F,0))+F48</f>
        <v>11</v>
      </c>
      <c r="E48">
        <f>COUNTIF(Songs!$B:$B,Artists!$B48)</f>
        <v>1</v>
      </c>
      <c r="F48">
        <f ca="1">SUMIF(Songs!$B:$B,Artists!$B48,Songs!$G:$G)-SUMIF(Songs!$B:$B,Artists!$B48,Songs!$F:$F)</f>
        <v>11</v>
      </c>
      <c r="G48" cm="1">
        <f t="array" ref="G48">SUM(IF(ISNUMBER(SEARCH($B48,Songs!D:D)),1,0))</f>
        <v>0</v>
      </c>
      <c r="H48" cm="1">
        <f t="array" aca="1" ref="H48" ca="1">SUM(IF(ISNUMBER(SEARCH($B48,Songs!D:D)),Songs!G:G,0)) - SUM(IF(ISNUMBER(SEARCH($B48,Songs!D:D)),Songs!F:F,0))</f>
        <v>0</v>
      </c>
      <c r="I48">
        <f ca="1">_xlfn.MINIFS(Songs!J:J,Songs!$B:$B,Artists!$B48)</f>
        <v>6</v>
      </c>
      <c r="J48">
        <v>0</v>
      </c>
      <c r="K48" s="16">
        <f>AVERAGE(J$2:J48)</f>
        <v>0.1702127659574468</v>
      </c>
    </row>
    <row r="49" spans="1:11" ht="15.75" customHeight="1" x14ac:dyDescent="0.25">
      <c r="A49" s="10">
        <v>16</v>
      </c>
      <c r="B49" s="2" t="s">
        <v>91</v>
      </c>
      <c r="C49" cm="1">
        <f t="array" ref="C49">SUM(IF(ISNUMBER(SEARCH($B49,Songs!C:C)),1,0))+E49</f>
        <v>1</v>
      </c>
      <c r="D49" cm="1">
        <f t="array" aca="1" ref="D49" ca="1">SUM(IF(ISNUMBER(SEARCH($B49,Songs!C:C)),Songs!G:G,0))-SUM(IF(ISNUMBER(SEARCH($B49,Songs!C:C)),Songs!F:F,0))+F49</f>
        <v>11</v>
      </c>
      <c r="E49">
        <f>COUNTIF(Songs!$B:$B,Artists!$B49)</f>
        <v>1</v>
      </c>
      <c r="F49">
        <f ca="1">SUMIF(Songs!$B:$B,Artists!$B49,Songs!$G:$G)-SUMIF(Songs!$B:$B,Artists!$B49,Songs!$F:$F)</f>
        <v>11</v>
      </c>
      <c r="G49" cm="1">
        <f t="array" ref="G49">SUM(IF(ISNUMBER(SEARCH($B49,Songs!D:D)),1,0))</f>
        <v>0</v>
      </c>
      <c r="H49" cm="1">
        <f t="array" aca="1" ref="H49" ca="1">SUM(IF(ISNUMBER(SEARCH($B49,Songs!D:D)),Songs!G:G,0)) - SUM(IF(ISNUMBER(SEARCH($B49,Songs!D:D)),Songs!F:F,0))</f>
        <v>0</v>
      </c>
      <c r="I49">
        <f ca="1">_xlfn.MINIFS(Songs!J:J,Songs!$B:$B,Artists!$B49)</f>
        <v>8</v>
      </c>
      <c r="J49">
        <v>0</v>
      </c>
      <c r="K49" s="16">
        <f>AVERAGE(J$2:J49)</f>
        <v>0.16666666666666666</v>
      </c>
    </row>
    <row r="50" spans="1:11" ht="15.75" customHeight="1" x14ac:dyDescent="0.25">
      <c r="B50" s="6" t="s">
        <v>221</v>
      </c>
      <c r="C50" cm="1">
        <f t="array" ref="C50">SUM(IF(ISNUMBER(SEARCH($B50,Songs!C:C)),1,0))+E50</f>
        <v>1</v>
      </c>
      <c r="D50" cm="1">
        <f t="array" aca="1" ref="D50" ca="1">SUM(IF(ISNUMBER(SEARCH($B50,Songs!C:C)),Songs!G:G,0))-SUM(IF(ISNUMBER(SEARCH($B50,Songs!C:C)),Songs!F:F,0))+F50</f>
        <v>11</v>
      </c>
      <c r="E50">
        <f>COUNTIF(Songs!$B:$B,Artists!$B50)</f>
        <v>0</v>
      </c>
      <c r="F50">
        <f>SUMIF(Songs!$B:$B,Artists!$B50,Songs!$G:$G)-SUMIF(Songs!$B:$B,Artists!$B50,Songs!$F:$F)</f>
        <v>0</v>
      </c>
      <c r="G50" cm="1">
        <f t="array" ref="G50">SUM(IF(ISNUMBER(SEARCH($B50,Songs!D:D)),1,0))</f>
        <v>0</v>
      </c>
      <c r="H50" cm="1">
        <f t="array" aca="1" ref="H50" ca="1">SUM(IF(ISNUMBER(SEARCH($B50,Songs!D:D)),Songs!G:G,0)) - SUM(IF(ISNUMBER(SEARCH($B50,Songs!D:D)),Songs!F:F,0))</f>
        <v>0</v>
      </c>
      <c r="I50">
        <f>_xlfn.MINIFS(Songs!J:J,Songs!$B:$B,Artists!$B50)</f>
        <v>0</v>
      </c>
      <c r="J50">
        <v>1</v>
      </c>
      <c r="K50" s="16">
        <f>AVERAGE(J$2:J50)</f>
        <v>0.18367346938775511</v>
      </c>
    </row>
    <row r="51" spans="1:11" ht="15.75" customHeight="1" x14ac:dyDescent="0.25">
      <c r="A51" s="10">
        <v>17</v>
      </c>
      <c r="B51" s="2" t="s">
        <v>102</v>
      </c>
      <c r="C51" cm="1">
        <f t="array" ref="C51">SUM(IF(ISNUMBER(SEARCH($B51,Songs!C:C)),1,0))+E51</f>
        <v>1</v>
      </c>
      <c r="D51" cm="1">
        <f t="array" aca="1" ref="D51" ca="1">SUM(IF(ISNUMBER(SEARCH($B51,Songs!C:C)),Songs!G:G,0))-SUM(IF(ISNUMBER(SEARCH($B51,Songs!C:C)),Songs!F:F,0))+F51</f>
        <v>10</v>
      </c>
      <c r="E51">
        <f>COUNTIF(Songs!$B:$B,Artists!$B51)</f>
        <v>1</v>
      </c>
      <c r="F51">
        <f ca="1">SUMIF(Songs!$B:$B,Artists!$B51,Songs!$G:$G)-SUMIF(Songs!$B:$B,Artists!$B51,Songs!$F:$F)</f>
        <v>10</v>
      </c>
      <c r="G51" cm="1">
        <f t="array" ref="G51">SUM(IF(ISNUMBER(SEARCH($B51,Songs!D:D)),1,0))</f>
        <v>0</v>
      </c>
      <c r="H51" cm="1">
        <f t="array" aca="1" ref="H51" ca="1">SUM(IF(ISNUMBER(SEARCH($B51,Songs!D:D)),Songs!G:G,0)) - SUM(IF(ISNUMBER(SEARCH($B51,Songs!D:D)),Songs!F:F,0))</f>
        <v>0</v>
      </c>
      <c r="I51">
        <f ca="1">_xlfn.MINIFS(Songs!J:J,Songs!$B:$B,Artists!$B51)</f>
        <v>22</v>
      </c>
      <c r="J51">
        <v>0</v>
      </c>
      <c r="K51" s="16">
        <f>AVERAGE(J$2:J51)</f>
        <v>0.18</v>
      </c>
    </row>
    <row r="52" spans="1:11" ht="15.75" customHeight="1" x14ac:dyDescent="0.25">
      <c r="B52" s="6" t="s">
        <v>167</v>
      </c>
      <c r="C52" cm="1">
        <f t="array" ref="C52">SUM(IF(ISNUMBER(SEARCH($B52,Songs!C:C)),1,0))+E52</f>
        <v>2</v>
      </c>
      <c r="D52" cm="1">
        <f t="array" aca="1" ref="D52" ca="1">SUM(IF(ISNUMBER(SEARCH($B52,Songs!C:C)),Songs!G:G,0))-SUM(IF(ISNUMBER(SEARCH($B52,Songs!C:C)),Songs!F:F,0))+F52</f>
        <v>9</v>
      </c>
      <c r="E52">
        <f>COUNTIF(Songs!$B:$B,Artists!$B52)</f>
        <v>1</v>
      </c>
      <c r="F52">
        <f ca="1">SUMIF(Songs!$B:$B,Artists!$B52,Songs!$G:$G)-SUMIF(Songs!$B:$B,Artists!$B52,Songs!$F:$F)</f>
        <v>7</v>
      </c>
      <c r="G52" cm="1">
        <f t="array" ref="G52">SUM(IF(ISNUMBER(SEARCH($B52,Songs!D:D)),1,0))</f>
        <v>0</v>
      </c>
      <c r="H52" cm="1">
        <f t="array" aca="1" ref="H52" ca="1">SUM(IF(ISNUMBER(SEARCH($B52,Songs!D:D)),Songs!G:G,0)) - SUM(IF(ISNUMBER(SEARCH($B52,Songs!D:D)),Songs!F:F,0))</f>
        <v>0</v>
      </c>
      <c r="I52">
        <f ca="1">_xlfn.MINIFS(Songs!J:J,Songs!$B:$B,Artists!$B52)</f>
        <v>13</v>
      </c>
      <c r="J52">
        <v>1</v>
      </c>
      <c r="K52" s="16">
        <f>AVERAGE(J$2:J52)</f>
        <v>0.19607843137254902</v>
      </c>
    </row>
    <row r="53" spans="1:11" ht="15.75" customHeight="1" x14ac:dyDescent="0.25">
      <c r="B53" s="6" t="s">
        <v>164</v>
      </c>
      <c r="C53" cm="1">
        <f t="array" ref="C53">SUM(IF(ISNUMBER(SEARCH($B53,Songs!C:C)),1,0))+E53</f>
        <v>5</v>
      </c>
      <c r="D53" cm="1">
        <f t="array" aca="1" ref="D53" ca="1">SUM(IF(ISNUMBER(SEARCH($B53,Songs!C:C)),Songs!G:G,0))-SUM(IF(ISNUMBER(SEARCH($B53,Songs!C:C)),Songs!F:F,0))+F53</f>
        <v>8</v>
      </c>
      <c r="E53">
        <f>COUNTIF(Songs!$B:$B,Artists!$B53)</f>
        <v>5</v>
      </c>
      <c r="F53">
        <f ca="1">SUMIF(Songs!$B:$B,Artists!$B53,Songs!$G:$G)-SUMIF(Songs!$B:$B,Artists!$B53,Songs!$F:$F)</f>
        <v>8</v>
      </c>
      <c r="G53" cm="1">
        <f t="array" ref="G53">SUM(IF(ISNUMBER(SEARCH($B53,Songs!D:D)),1,0))</f>
        <v>0</v>
      </c>
      <c r="H53" cm="1">
        <f t="array" aca="1" ref="H53" ca="1">SUM(IF(ISNUMBER(SEARCH($B53,Songs!D:D)),Songs!G:G,0)) - SUM(IF(ISNUMBER(SEARCH($B53,Songs!D:D)),Songs!F:F,0))</f>
        <v>0</v>
      </c>
      <c r="I53">
        <f ca="1">_xlfn.MINIFS(Songs!J:J,Songs!$B:$B,Artists!$B53)</f>
        <v>22</v>
      </c>
      <c r="J53">
        <v>0</v>
      </c>
      <c r="K53" s="16">
        <f>AVERAGE(J$2:J53)</f>
        <v>0.19230769230769232</v>
      </c>
    </row>
    <row r="54" spans="1:11" ht="15.75" customHeight="1" x14ac:dyDescent="0.25">
      <c r="B54" s="2" t="s">
        <v>296</v>
      </c>
      <c r="C54" cm="1">
        <f t="array" ref="C54">SUM(IF(ISNUMBER(SEARCH($B54,Songs!C:C)),1,0))+E54</f>
        <v>1</v>
      </c>
      <c r="D54" cm="1">
        <f t="array" aca="1" ref="D54" ca="1">SUM(IF(ISNUMBER(SEARCH($B54,Songs!C:C)),Songs!G:G,0))-SUM(IF(ISNUMBER(SEARCH($B54,Songs!C:C)),Songs!F:F,0))+F54</f>
        <v>8</v>
      </c>
      <c r="E54">
        <f>COUNTIF(Songs!$B:$B,Artists!$B54)</f>
        <v>1</v>
      </c>
      <c r="F54">
        <f ca="1">SUMIF(Songs!$B:$B,Artists!$B54,Songs!$G:$G)-SUMIF(Songs!$B:$B,Artists!$B54,Songs!$F:$F)</f>
        <v>8</v>
      </c>
      <c r="G54" cm="1">
        <f t="array" ref="G54">SUM(IF(ISNUMBER(SEARCH($B54,Songs!D:D)),1,0))</f>
        <v>0</v>
      </c>
      <c r="H54" cm="1">
        <f t="array" aca="1" ref="H54" ca="1">SUM(IF(ISNUMBER(SEARCH($B54,Songs!D:D)),Songs!G:G,0)) - SUM(IF(ISNUMBER(SEARCH($B54,Songs!D:D)),Songs!F:F,0))</f>
        <v>0</v>
      </c>
      <c r="I54">
        <f ca="1">_xlfn.MINIFS(Songs!J:J,Songs!$B:$B,Artists!$B54)</f>
        <v>6</v>
      </c>
      <c r="J54">
        <v>0</v>
      </c>
      <c r="K54" s="16">
        <f>AVERAGE(J$2:J54)</f>
        <v>0.18867924528301888</v>
      </c>
    </row>
    <row r="55" spans="1:11" ht="15.75" customHeight="1" x14ac:dyDescent="0.25">
      <c r="B55" s="2" t="s">
        <v>274</v>
      </c>
      <c r="C55" cm="1">
        <f t="array" ref="C55">SUM(IF(ISNUMBER(SEARCH($B55,Songs!C:C)),1,0))+E55</f>
        <v>1</v>
      </c>
      <c r="D55" cm="1">
        <f t="array" aca="1" ref="D55" ca="1">SUM(IF(ISNUMBER(SEARCH($B55,Songs!C:C)),Songs!G:G,0))-SUM(IF(ISNUMBER(SEARCH($B55,Songs!C:C)),Songs!F:F,0))+F55</f>
        <v>8</v>
      </c>
      <c r="E55">
        <f>COUNTIF(Songs!$B:$B,Artists!$B55)</f>
        <v>1</v>
      </c>
      <c r="F55">
        <f ca="1">SUMIF(Songs!$B:$B,Artists!$B55,Songs!$G:$G)-SUMIF(Songs!$B:$B,Artists!$B55,Songs!$F:$F)</f>
        <v>8</v>
      </c>
      <c r="G55" cm="1">
        <f t="array" ref="G55">SUM(IF(ISNUMBER(SEARCH($B55,Songs!D:D)),1,0))</f>
        <v>0</v>
      </c>
      <c r="H55" cm="1">
        <f t="array" aca="1" ref="H55" ca="1">SUM(IF(ISNUMBER(SEARCH($B55,Songs!D:D)),Songs!G:G,0)) - SUM(IF(ISNUMBER(SEARCH($B55,Songs!D:D)),Songs!F:F,0))</f>
        <v>0</v>
      </c>
      <c r="I55">
        <f ca="1">_xlfn.MINIFS(Songs!J:J,Songs!$B:$B,Artists!$B55)</f>
        <v>29</v>
      </c>
      <c r="J55">
        <v>0</v>
      </c>
      <c r="K55" s="16">
        <f>AVERAGE(J$2:J55)</f>
        <v>0.18518518518518517</v>
      </c>
    </row>
    <row r="56" spans="1:11" ht="15.75" customHeight="1" x14ac:dyDescent="0.25">
      <c r="A56" s="10">
        <v>37</v>
      </c>
      <c r="B56" s="2" t="s">
        <v>97</v>
      </c>
      <c r="C56" cm="1">
        <f t="array" ref="C56">SUM(IF(ISNUMBER(SEARCH($B56,Songs!C:C)),1,0))+E56</f>
        <v>1</v>
      </c>
      <c r="D56" cm="1">
        <f t="array" aca="1" ref="D56" ca="1">SUM(IF(ISNUMBER(SEARCH($B56,Songs!C:C)),Songs!G:G,0))-SUM(IF(ISNUMBER(SEARCH($B56,Songs!C:C)),Songs!F:F,0))+F56</f>
        <v>7</v>
      </c>
      <c r="E56">
        <f>COUNTIF(Songs!$B:$B,Artists!$B56)</f>
        <v>1</v>
      </c>
      <c r="F56">
        <f ca="1">SUMIF(Songs!$B:$B,Artists!$B56,Songs!$G:$G)-SUMIF(Songs!$B:$B,Artists!$B56,Songs!$F:$F)</f>
        <v>7</v>
      </c>
      <c r="G56" cm="1">
        <f t="array" ref="G56">SUM(IF(ISNUMBER(SEARCH($B56,Songs!D:D)),1,0))</f>
        <v>0</v>
      </c>
      <c r="H56" cm="1">
        <f t="array" aca="1" ref="H56" ca="1">SUM(IF(ISNUMBER(SEARCH($B56,Songs!D:D)),Songs!G:G,0)) - SUM(IF(ISNUMBER(SEARCH($B56,Songs!D:D)),Songs!F:F,0))</f>
        <v>0</v>
      </c>
      <c r="I56">
        <f ca="1">_xlfn.MINIFS(Songs!J:J,Songs!$B:$B,Artists!$B56)</f>
        <v>38</v>
      </c>
      <c r="J56">
        <v>0</v>
      </c>
      <c r="K56" s="16">
        <f>AVERAGE(J$2:J56)</f>
        <v>0.18181818181818182</v>
      </c>
    </row>
    <row r="57" spans="1:11" ht="15.75" customHeight="1" x14ac:dyDescent="0.25">
      <c r="A57" s="10">
        <v>36</v>
      </c>
      <c r="B57" s="2" t="s">
        <v>107</v>
      </c>
      <c r="C57" cm="1">
        <f t="array" ref="C57">SUM(IF(ISNUMBER(SEARCH($B57,Songs!C:C)),1,0))+E57</f>
        <v>1</v>
      </c>
      <c r="D57" cm="1">
        <f t="array" aca="1" ref="D57" ca="1">SUM(IF(ISNUMBER(SEARCH($B57,Songs!C:C)),Songs!G:G,0))-SUM(IF(ISNUMBER(SEARCH($B57,Songs!C:C)),Songs!F:F,0))+F57</f>
        <v>7</v>
      </c>
      <c r="E57">
        <f>COUNTIF(Songs!$B:$B,Artists!$B57)</f>
        <v>1</v>
      </c>
      <c r="F57">
        <f ca="1">SUMIF(Songs!$B:$B,Artists!$B57,Songs!$G:$G)-SUMIF(Songs!$B:$B,Artists!$B57,Songs!$F:$F)</f>
        <v>7</v>
      </c>
      <c r="G57" cm="1">
        <f t="array" ref="G57">SUM(IF(ISNUMBER(SEARCH($B57,Songs!D:D)),1,0))</f>
        <v>0</v>
      </c>
      <c r="H57" cm="1">
        <f t="array" aca="1" ref="H57" ca="1">SUM(IF(ISNUMBER(SEARCH($B57,Songs!D:D)),Songs!G:G,0)) - SUM(IF(ISNUMBER(SEARCH($B57,Songs!D:D)),Songs!F:F,0))</f>
        <v>0</v>
      </c>
      <c r="I57">
        <f ca="1">_xlfn.MINIFS(Songs!J:J,Songs!$B:$B,Artists!$B57)</f>
        <v>47</v>
      </c>
      <c r="J57">
        <v>1</v>
      </c>
      <c r="K57" s="16">
        <f>AVERAGE(J$2:J57)</f>
        <v>0.19642857142857142</v>
      </c>
    </row>
    <row r="58" spans="1:11" ht="15.75" customHeight="1" x14ac:dyDescent="0.25">
      <c r="B58" s="2" t="s">
        <v>288</v>
      </c>
      <c r="C58" cm="1">
        <f t="array" ref="C58">SUM(IF(ISNUMBER(SEARCH($B58,Songs!C:C)),1,0))+E58</f>
        <v>1</v>
      </c>
      <c r="D58" cm="1">
        <f t="array" aca="1" ref="D58" ca="1">SUM(IF(ISNUMBER(SEARCH($B58,Songs!C:C)),Songs!G:G,0))-SUM(IF(ISNUMBER(SEARCH($B58,Songs!C:C)),Songs!F:F,0))+F58</f>
        <v>7</v>
      </c>
      <c r="E58">
        <f>COUNTIF(Songs!$B:$B,Artists!$B58)</f>
        <v>0</v>
      </c>
      <c r="F58">
        <f>SUMIF(Songs!$B:$B,Artists!$B58,Songs!$G:$G)-SUMIF(Songs!$B:$B,Artists!$B58,Songs!$F:$F)</f>
        <v>0</v>
      </c>
      <c r="G58" cm="1">
        <f t="array" ref="G58">SUM(IF(ISNUMBER(SEARCH($B58,Songs!D:D)),1,0))</f>
        <v>0</v>
      </c>
      <c r="H58" cm="1">
        <f t="array" aca="1" ref="H58" ca="1">SUM(IF(ISNUMBER(SEARCH($B58,Songs!D:D)),Songs!G:G,0)) - SUM(IF(ISNUMBER(SEARCH($B58,Songs!D:D)),Songs!F:F,0))</f>
        <v>0</v>
      </c>
      <c r="I58">
        <f>_xlfn.MINIFS(Songs!J:J,Songs!$B:$B,Artists!$B58)</f>
        <v>0</v>
      </c>
      <c r="J58">
        <v>1</v>
      </c>
      <c r="K58" s="16">
        <f>AVERAGE(J$2:J58)</f>
        <v>0.21052631578947367</v>
      </c>
    </row>
    <row r="59" spans="1:11" ht="15.75" customHeight="1" x14ac:dyDescent="0.25">
      <c r="A59" s="10">
        <v>60</v>
      </c>
      <c r="B59" s="2" t="s">
        <v>106</v>
      </c>
      <c r="C59" cm="1">
        <f t="array" ref="C59">SUM(IF(ISNUMBER(SEARCH($B59,Songs!C:C)),1,0))+E59</f>
        <v>1</v>
      </c>
      <c r="D59" cm="1">
        <f t="array" aca="1" ref="D59" ca="1">SUM(IF(ISNUMBER(SEARCH($B59,Songs!C:C)),Songs!G:G,0))-SUM(IF(ISNUMBER(SEARCH($B59,Songs!C:C)),Songs!F:F,0))+F59</f>
        <v>6</v>
      </c>
      <c r="E59">
        <f>COUNTIF(Songs!$B:$B,Artists!$B59)</f>
        <v>0</v>
      </c>
      <c r="F59">
        <f>SUMIF(Songs!$B:$B,Artists!$B59,Songs!$G:$G)-SUMIF(Songs!$B:$B,Artists!$B59,Songs!$F:$F)</f>
        <v>0</v>
      </c>
      <c r="G59" cm="1">
        <f t="array" ref="G59">SUM(IF(ISNUMBER(SEARCH($B59,Songs!D:D)),1,0))</f>
        <v>1</v>
      </c>
      <c r="H59" cm="1">
        <f t="array" aca="1" ref="H59" ca="1">SUM(IF(ISNUMBER(SEARCH($B59,Songs!D:D)),Songs!G:G,0)) - SUM(IF(ISNUMBER(SEARCH($B59,Songs!D:D)),Songs!F:F,0))</f>
        <v>4</v>
      </c>
      <c r="I59">
        <f>_xlfn.MINIFS(Songs!J:J,Songs!$B:$B,Artists!$B59)</f>
        <v>0</v>
      </c>
      <c r="J59">
        <v>0</v>
      </c>
      <c r="K59" s="16">
        <f>AVERAGE(J$2:J59)</f>
        <v>0.20689655172413793</v>
      </c>
    </row>
    <row r="60" spans="1:11" ht="15.75" customHeight="1" x14ac:dyDescent="0.25">
      <c r="B60" s="2" t="s">
        <v>307</v>
      </c>
      <c r="C60" cm="1">
        <f t="array" ref="C60">SUM(IF(ISNUMBER(SEARCH($B60,Songs!C:C)),1,0))+E60</f>
        <v>1</v>
      </c>
      <c r="D60" cm="1">
        <f t="array" aca="1" ref="D60" ca="1">SUM(IF(ISNUMBER(SEARCH($B60,Songs!C:C)),Songs!G:G,0))-SUM(IF(ISNUMBER(SEARCH($B60,Songs!C:C)),Songs!F:F,0))+F60</f>
        <v>6</v>
      </c>
      <c r="E60">
        <f>COUNTIF(Songs!$B:$B,Artists!$B60)</f>
        <v>1</v>
      </c>
      <c r="F60">
        <f ca="1">SUMIF(Songs!$B:$B,Artists!$B60,Songs!$G:$G)-SUMIF(Songs!$B:$B,Artists!$B60,Songs!$F:$F)</f>
        <v>6</v>
      </c>
      <c r="G60" cm="1">
        <f t="array" ref="G60">SUM(IF(ISNUMBER(SEARCH($B60,Songs!D:D)),1,0))</f>
        <v>0</v>
      </c>
      <c r="H60" cm="1">
        <f t="array" aca="1" ref="H60" ca="1">SUM(IF(ISNUMBER(SEARCH($B60,Songs!D:D)),Songs!G:G,0)) - SUM(IF(ISNUMBER(SEARCH($B60,Songs!D:D)),Songs!F:F,0))</f>
        <v>0</v>
      </c>
      <c r="I60">
        <f ca="1">_xlfn.MINIFS(Songs!J:J,Songs!$B:$B,Artists!$B60)</f>
        <v>16</v>
      </c>
      <c r="J60">
        <v>1</v>
      </c>
      <c r="K60" s="16">
        <f>AVERAGE(J$2:J60)</f>
        <v>0.22033898305084745</v>
      </c>
    </row>
    <row r="61" spans="1:11" ht="15.75" customHeight="1" x14ac:dyDescent="0.25">
      <c r="B61" s="2" t="s">
        <v>278</v>
      </c>
      <c r="C61" cm="1">
        <f t="array" ref="C61">SUM(IF(ISNUMBER(SEARCH($B61,Songs!C:C)),1,0))+E61</f>
        <v>1</v>
      </c>
      <c r="D61" cm="1">
        <f t="array" aca="1" ref="D61" ca="1">SUM(IF(ISNUMBER(SEARCH($B61,Songs!C:C)),Songs!G:G,0))-SUM(IF(ISNUMBER(SEARCH($B61,Songs!C:C)),Songs!F:F,0))+F61</f>
        <v>6</v>
      </c>
      <c r="E61">
        <f>COUNTIF(Songs!$B:$B,Artists!$B61)</f>
        <v>1</v>
      </c>
      <c r="F61">
        <f ca="1">SUMIF(Songs!$B:$B,Artists!$B61,Songs!$G:$G)-SUMIF(Songs!$B:$B,Artists!$B61,Songs!$F:$F)</f>
        <v>6</v>
      </c>
      <c r="G61" cm="1">
        <f t="array" ref="G61">SUM(IF(ISNUMBER(SEARCH($B61,Songs!D:D)),1,0))</f>
        <v>0</v>
      </c>
      <c r="H61" cm="1">
        <f t="array" aca="1" ref="H61" ca="1">SUM(IF(ISNUMBER(SEARCH($B61,Songs!D:D)),Songs!G:G,0)) - SUM(IF(ISNUMBER(SEARCH($B61,Songs!D:D)),Songs!F:F,0))</f>
        <v>0</v>
      </c>
      <c r="I61">
        <f ca="1">_xlfn.MINIFS(Songs!J:J,Songs!$B:$B,Artists!$B61)</f>
        <v>44</v>
      </c>
      <c r="J61">
        <v>0</v>
      </c>
      <c r="K61" s="16">
        <f>AVERAGE(J$2:J61)</f>
        <v>0.21666666666666667</v>
      </c>
    </row>
    <row r="62" spans="1:11" ht="15.75" customHeight="1" x14ac:dyDescent="0.25">
      <c r="A62" s="10">
        <v>39</v>
      </c>
      <c r="B62" s="2" t="s">
        <v>109</v>
      </c>
      <c r="C62" cm="1">
        <f t="array" ref="C62">SUM(IF(ISNUMBER(SEARCH($B62,Songs!C:C)),1,0))+E62</f>
        <v>1</v>
      </c>
      <c r="D62" cm="1">
        <f t="array" aca="1" ref="D62" ca="1">SUM(IF(ISNUMBER(SEARCH($B62,Songs!C:C)),Songs!G:G,0))-SUM(IF(ISNUMBER(SEARCH($B62,Songs!C:C)),Songs!F:F,0))+F62</f>
        <v>6</v>
      </c>
      <c r="E62">
        <f>COUNTIF(Songs!$B:$B,Artists!$B62)</f>
        <v>1</v>
      </c>
      <c r="F62">
        <f ca="1">SUMIF(Songs!$B:$B,Artists!$B62,Songs!$G:$G)-SUMIF(Songs!$B:$B,Artists!$B62,Songs!$F:$F)</f>
        <v>6</v>
      </c>
      <c r="G62" cm="1">
        <f t="array" ref="G62">SUM(IF(ISNUMBER(SEARCH($B62,Songs!D:D)),1,0))</f>
        <v>0</v>
      </c>
      <c r="H62" cm="1">
        <f t="array" aca="1" ref="H62" ca="1">SUM(IF(ISNUMBER(SEARCH($B62,Songs!D:D)),Songs!G:G,0)) - SUM(IF(ISNUMBER(SEARCH($B62,Songs!D:D)),Songs!F:F,0))</f>
        <v>0</v>
      </c>
      <c r="I62">
        <f ca="1">_xlfn.MINIFS(Songs!J:J,Songs!$B:$B,Artists!$B62)</f>
        <v>47</v>
      </c>
      <c r="J62">
        <v>0</v>
      </c>
      <c r="K62" s="16">
        <f>AVERAGE(J$2:J62)</f>
        <v>0.21311475409836064</v>
      </c>
    </row>
    <row r="63" spans="1:11" ht="15.75" customHeight="1" x14ac:dyDescent="0.25">
      <c r="B63" s="6" t="s">
        <v>228</v>
      </c>
      <c r="C63" cm="1">
        <f t="array" ref="C63">SUM(IF(ISNUMBER(SEARCH($B63,Songs!C:C)),1,0))+E63</f>
        <v>1</v>
      </c>
      <c r="D63" cm="1">
        <f t="array" aca="1" ref="D63" ca="1">SUM(IF(ISNUMBER(SEARCH($B63,Songs!C:C)),Songs!G:G,0))-SUM(IF(ISNUMBER(SEARCH($B63,Songs!C:C)),Songs!F:F,0))+F63</f>
        <v>5</v>
      </c>
      <c r="E63">
        <f>COUNTIF(Songs!$B:$B,Artists!$B63)</f>
        <v>0</v>
      </c>
      <c r="F63">
        <f>SUMIF(Songs!$B:$B,Artists!$B63,Songs!$G:$G)-SUMIF(Songs!$B:$B,Artists!$B63,Songs!$F:$F)</f>
        <v>0</v>
      </c>
      <c r="G63" cm="1">
        <f t="array" ref="G63">SUM(IF(ISNUMBER(SEARCH($B63,Songs!D:D)),1,0))</f>
        <v>0</v>
      </c>
      <c r="H63" cm="1">
        <f t="array" aca="1" ref="H63" ca="1">SUM(IF(ISNUMBER(SEARCH($B63,Songs!D:D)),Songs!G:G,0)) - SUM(IF(ISNUMBER(SEARCH($B63,Songs!D:D)),Songs!F:F,0))</f>
        <v>0</v>
      </c>
      <c r="I63">
        <f>_xlfn.MINIFS(Songs!J:J,Songs!$B:$B,Artists!$B63)</f>
        <v>0</v>
      </c>
      <c r="J63">
        <v>1</v>
      </c>
      <c r="K63" s="16">
        <f>AVERAGE(J$2:J63)</f>
        <v>0.22580645161290322</v>
      </c>
    </row>
    <row r="64" spans="1:11" ht="15.75" customHeight="1" x14ac:dyDescent="0.25">
      <c r="B64" s="6" t="s">
        <v>223</v>
      </c>
      <c r="C64" cm="1">
        <f t="array" ref="C64">SUM(IF(ISNUMBER(SEARCH($B64,Songs!C:C)),1,0))+E64</f>
        <v>1</v>
      </c>
      <c r="D64" cm="1">
        <f t="array" aca="1" ref="D64" ca="1">SUM(IF(ISNUMBER(SEARCH($B64,Songs!C:C)),Songs!G:G,0))-SUM(IF(ISNUMBER(SEARCH($B64,Songs!C:C)),Songs!F:F,0))+F64</f>
        <v>5</v>
      </c>
      <c r="E64">
        <f>COUNTIF(Songs!$B:$B,Artists!$B64)</f>
        <v>0</v>
      </c>
      <c r="F64">
        <f>SUMIF(Songs!$B:$B,Artists!$B64,Songs!$G:$G)-SUMIF(Songs!$B:$B,Artists!$B64,Songs!$F:$F)</f>
        <v>0</v>
      </c>
      <c r="G64" cm="1">
        <f t="array" ref="G64">SUM(IF(ISNUMBER(SEARCH($B64,Songs!D:D)),1,0))</f>
        <v>0</v>
      </c>
      <c r="H64" cm="1">
        <f t="array" aca="1" ref="H64" ca="1">SUM(IF(ISNUMBER(SEARCH($B64,Songs!D:D)),Songs!G:G,0)) - SUM(IF(ISNUMBER(SEARCH($B64,Songs!D:D)),Songs!F:F,0))</f>
        <v>0</v>
      </c>
      <c r="I64">
        <f>_xlfn.MINIFS(Songs!J:J,Songs!$B:$B,Artists!$B64)</f>
        <v>0</v>
      </c>
      <c r="J64">
        <v>1</v>
      </c>
      <c r="K64" s="16">
        <f>AVERAGE(J$2:J64)</f>
        <v>0.23809523809523808</v>
      </c>
    </row>
    <row r="65" spans="1:11" ht="15.75" customHeight="1" x14ac:dyDescent="0.25">
      <c r="B65" s="6" t="s">
        <v>224</v>
      </c>
      <c r="C65" cm="1">
        <f t="array" ref="C65">SUM(IF(ISNUMBER(SEARCH($B65,Songs!C:C)),1,0))+E65</f>
        <v>1</v>
      </c>
      <c r="D65" cm="1">
        <f t="array" aca="1" ref="D65" ca="1">SUM(IF(ISNUMBER(SEARCH($B65,Songs!C:C)),Songs!G:G,0))-SUM(IF(ISNUMBER(SEARCH($B65,Songs!C:C)),Songs!F:F,0))+F65</f>
        <v>5</v>
      </c>
      <c r="E65">
        <f>COUNTIF(Songs!$B:$B,Artists!$B65)</f>
        <v>0</v>
      </c>
      <c r="F65">
        <f>SUMIF(Songs!$B:$B,Artists!$B65,Songs!$G:$G)-SUMIF(Songs!$B:$B,Artists!$B65,Songs!$F:$F)</f>
        <v>0</v>
      </c>
      <c r="G65" cm="1">
        <f t="array" ref="G65">SUM(IF(ISNUMBER(SEARCH($B65,Songs!D:D)),1,0))</f>
        <v>0</v>
      </c>
      <c r="H65" cm="1">
        <f t="array" aca="1" ref="H65" ca="1">SUM(IF(ISNUMBER(SEARCH($B65,Songs!D:D)),Songs!G:G,0)) - SUM(IF(ISNUMBER(SEARCH($B65,Songs!D:D)),Songs!F:F,0))</f>
        <v>0</v>
      </c>
      <c r="I65">
        <f>_xlfn.MINIFS(Songs!J:J,Songs!$B:$B,Artists!$B65)</f>
        <v>0</v>
      </c>
      <c r="J65">
        <v>1</v>
      </c>
      <c r="K65" s="16">
        <f>AVERAGE(J$2:J65)</f>
        <v>0.25</v>
      </c>
    </row>
    <row r="66" spans="1:11" ht="15.75" customHeight="1" x14ac:dyDescent="0.25">
      <c r="B66" s="6" t="s">
        <v>225</v>
      </c>
      <c r="C66" cm="1">
        <f t="array" ref="C66">SUM(IF(ISNUMBER(SEARCH($B66,Songs!C:C)),1,0))+E66</f>
        <v>1</v>
      </c>
      <c r="D66" cm="1">
        <f t="array" aca="1" ref="D66" ca="1">SUM(IF(ISNUMBER(SEARCH($B66,Songs!C:C)),Songs!G:G,0))-SUM(IF(ISNUMBER(SEARCH($B66,Songs!C:C)),Songs!F:F,0))+F66</f>
        <v>5</v>
      </c>
      <c r="E66">
        <f>COUNTIF(Songs!$B:$B,Artists!$B66)</f>
        <v>0</v>
      </c>
      <c r="F66">
        <f>SUMIF(Songs!$B:$B,Artists!$B66,Songs!$G:$G)-SUMIF(Songs!$B:$B,Artists!$B66,Songs!$F:$F)</f>
        <v>0</v>
      </c>
      <c r="G66" cm="1">
        <f t="array" ref="G66">SUM(IF(ISNUMBER(SEARCH($B66,Songs!D:D)),1,0))</f>
        <v>0</v>
      </c>
      <c r="H66" cm="1">
        <f t="array" aca="1" ref="H66" ca="1">SUM(IF(ISNUMBER(SEARCH($B66,Songs!D:D)),Songs!G:G,0)) - SUM(IF(ISNUMBER(SEARCH($B66,Songs!D:D)),Songs!F:F,0))</f>
        <v>0</v>
      </c>
      <c r="I66">
        <f>_xlfn.MINIFS(Songs!J:J,Songs!$B:$B,Artists!$B66)</f>
        <v>0</v>
      </c>
      <c r="J66">
        <v>1</v>
      </c>
      <c r="K66" s="16">
        <f>AVERAGE(J$2:J66)</f>
        <v>0.26153846153846155</v>
      </c>
    </row>
    <row r="67" spans="1:11" ht="15.75" customHeight="1" x14ac:dyDescent="0.25">
      <c r="B67" s="6" t="s">
        <v>226</v>
      </c>
      <c r="C67" cm="1">
        <f t="array" ref="C67">SUM(IF(ISNUMBER(SEARCH($B67,Songs!C:C)),1,0))+E67</f>
        <v>1</v>
      </c>
      <c r="D67" cm="1">
        <f t="array" aca="1" ref="D67" ca="1">SUM(IF(ISNUMBER(SEARCH($B67,Songs!C:C)),Songs!G:G,0))-SUM(IF(ISNUMBER(SEARCH($B67,Songs!C:C)),Songs!F:F,0))+F67</f>
        <v>5</v>
      </c>
      <c r="E67">
        <f>COUNTIF(Songs!$B:$B,Artists!$B67)</f>
        <v>0</v>
      </c>
      <c r="F67">
        <f>SUMIF(Songs!$B:$B,Artists!$B67,Songs!$G:$G)-SUMIF(Songs!$B:$B,Artists!$B67,Songs!$F:$F)</f>
        <v>0</v>
      </c>
      <c r="G67" cm="1">
        <f t="array" ref="G67">SUM(IF(ISNUMBER(SEARCH($B67,Songs!D:D)),1,0))</f>
        <v>0</v>
      </c>
      <c r="H67" cm="1">
        <f t="array" aca="1" ref="H67" ca="1">SUM(IF(ISNUMBER(SEARCH($B67,Songs!D:D)),Songs!G:G,0)) - SUM(IF(ISNUMBER(SEARCH($B67,Songs!D:D)),Songs!F:F,0))</f>
        <v>0</v>
      </c>
      <c r="I67">
        <f>_xlfn.MINIFS(Songs!J:J,Songs!$B:$B,Artists!$B67)</f>
        <v>0</v>
      </c>
      <c r="J67">
        <v>1</v>
      </c>
      <c r="K67" s="16">
        <f>AVERAGE(J$2:J67)</f>
        <v>0.27272727272727271</v>
      </c>
    </row>
    <row r="68" spans="1:11" ht="15.75" customHeight="1" x14ac:dyDescent="0.25">
      <c r="B68" s="2" t="s">
        <v>219</v>
      </c>
      <c r="C68" cm="1">
        <f t="array" ref="C68">SUM(IF(ISNUMBER(SEARCH($B68,Songs!C:C)),1,0))+E68</f>
        <v>1</v>
      </c>
      <c r="D68" cm="1">
        <f t="array" aca="1" ref="D68" ca="1">SUM(IF(ISNUMBER(SEARCH($B68,Songs!C:C)),Songs!G:G,0))-SUM(IF(ISNUMBER(SEARCH($B68,Songs!C:C)),Songs!F:F,0))+F68</f>
        <v>4</v>
      </c>
      <c r="E68">
        <f>COUNTIF(Songs!$B:$B,Artists!$B68)</f>
        <v>1</v>
      </c>
      <c r="F68">
        <f ca="1">SUMIF(Songs!$B:$B,Artists!$B68,Songs!$G:$G)-SUMIF(Songs!$B:$B,Artists!$B68,Songs!$F:$F)</f>
        <v>4</v>
      </c>
      <c r="G68" cm="1">
        <f t="array" ref="G68">SUM(IF(ISNUMBER(SEARCH($B68,Songs!D:D)),1,0))</f>
        <v>1</v>
      </c>
      <c r="H68" cm="1">
        <f t="array" aca="1" ref="H68" ca="1">SUM(IF(ISNUMBER(SEARCH($B68,Songs!D:D)),Songs!G:G,0)) - SUM(IF(ISNUMBER(SEARCH($B68,Songs!D:D)),Songs!F:F,0))</f>
        <v>18</v>
      </c>
      <c r="I68">
        <f ca="1">_xlfn.MINIFS(Songs!J:J,Songs!$B:$B,Artists!$B68)</f>
        <v>37</v>
      </c>
      <c r="J68">
        <v>0</v>
      </c>
      <c r="K68" s="16">
        <f>AVERAGE(J$2:J68)</f>
        <v>0.26865671641791045</v>
      </c>
    </row>
    <row r="69" spans="1:11" ht="15.75" customHeight="1" x14ac:dyDescent="0.25">
      <c r="A69" s="10">
        <v>41</v>
      </c>
      <c r="B69" s="2" t="s">
        <v>99</v>
      </c>
      <c r="C69" cm="1">
        <f t="array" ref="C69">SUM(IF(ISNUMBER(SEARCH($B69,Songs!C:C)),1,0))+E69</f>
        <v>1</v>
      </c>
      <c r="D69" cm="1">
        <f t="array" aca="1" ref="D69" ca="1">SUM(IF(ISNUMBER(SEARCH($B69,Songs!C:C)),Songs!G:G,0))-SUM(IF(ISNUMBER(SEARCH($B69,Songs!C:C)),Songs!F:F,0))+F69</f>
        <v>4</v>
      </c>
      <c r="E69">
        <f>COUNTIF(Songs!$B:$B,Artists!$B69)</f>
        <v>1</v>
      </c>
      <c r="F69">
        <f ca="1">SUMIF(Songs!$B:$B,Artists!$B69,Songs!$G:$G)-SUMIF(Songs!$B:$B,Artists!$B69,Songs!$F:$F)</f>
        <v>4</v>
      </c>
      <c r="G69" cm="1">
        <f t="array" ref="G69">SUM(IF(ISNUMBER(SEARCH($B69,Songs!D:D)),1,0))</f>
        <v>0</v>
      </c>
      <c r="H69" cm="1">
        <f t="array" aca="1" ref="H69" ca="1">SUM(IF(ISNUMBER(SEARCH($B69,Songs!D:D)),Songs!G:G,0)) - SUM(IF(ISNUMBER(SEARCH($B69,Songs!D:D)),Songs!F:F,0))</f>
        <v>0</v>
      </c>
      <c r="I69">
        <f ca="1">_xlfn.MINIFS(Songs!J:J,Songs!$B:$B,Artists!$B69)</f>
        <v>51</v>
      </c>
      <c r="J69">
        <v>0</v>
      </c>
      <c r="K69" s="16">
        <f>AVERAGE(J$2:J69)</f>
        <v>0.26470588235294118</v>
      </c>
    </row>
    <row r="70" spans="1:11" ht="15.75" customHeight="1" x14ac:dyDescent="0.25">
      <c r="B70" s="2" t="s">
        <v>309</v>
      </c>
      <c r="C70" cm="1">
        <f t="array" ref="C70">SUM(IF(ISNUMBER(SEARCH($B70,Songs!C:C)),1,0))+E70</f>
        <v>2</v>
      </c>
      <c r="D70" cm="1">
        <f t="array" aca="1" ref="D70" ca="1">SUM(IF(ISNUMBER(SEARCH($B70,Songs!C:C)),Songs!G:G,0))-SUM(IF(ISNUMBER(SEARCH($B70,Songs!C:C)),Songs!F:F,0))+F70</f>
        <v>3</v>
      </c>
      <c r="E70">
        <f>COUNTIF(Songs!$B:$B,Artists!$B70)</f>
        <v>2</v>
      </c>
      <c r="F70">
        <f ca="1">SUMIF(Songs!$B:$B,Artists!$B70,Songs!$G:$G)-SUMIF(Songs!$B:$B,Artists!$B70,Songs!$F:$F)</f>
        <v>3</v>
      </c>
      <c r="G70" cm="1">
        <f t="array" ref="G70">SUM(IF(ISNUMBER(SEARCH($B70,Songs!D:D)),1,0))</f>
        <v>0</v>
      </c>
      <c r="H70" cm="1">
        <f t="array" aca="1" ref="H70" ca="1">SUM(IF(ISNUMBER(SEARCH($B70,Songs!D:D)),Songs!G:G,0)) - SUM(IF(ISNUMBER(SEARCH($B70,Songs!D:D)),Songs!F:F,0))</f>
        <v>0</v>
      </c>
      <c r="I70">
        <f ca="1">_xlfn.MINIFS(Songs!J:J,Songs!$B:$B,Artists!$B70)</f>
        <v>13</v>
      </c>
      <c r="J70">
        <v>0</v>
      </c>
      <c r="K70" s="16">
        <f>AVERAGE(J$2:J70)</f>
        <v>0.2608695652173913</v>
      </c>
    </row>
    <row r="71" spans="1:11" ht="15.75" customHeight="1" x14ac:dyDescent="0.25">
      <c r="A71" s="10">
        <v>44</v>
      </c>
      <c r="B71" s="2" t="s">
        <v>119</v>
      </c>
      <c r="C71" cm="1">
        <f t="array" ref="C71">SUM(IF(ISNUMBER(SEARCH($B71,Songs!C:C)),1,0))+E71</f>
        <v>1</v>
      </c>
      <c r="D71" cm="1">
        <f t="array" aca="1" ref="D71" ca="1">SUM(IF(ISNUMBER(SEARCH($B71,Songs!C:C)),Songs!G:G,0))-SUM(IF(ISNUMBER(SEARCH($B71,Songs!C:C)),Songs!F:F,0))+F71</f>
        <v>3</v>
      </c>
      <c r="E71">
        <f>COUNTIF(Songs!$B:$B,Artists!$B71)</f>
        <v>1</v>
      </c>
      <c r="F71">
        <f ca="1">SUMIF(Songs!$B:$B,Artists!$B71,Songs!$G:$G)-SUMIF(Songs!$B:$B,Artists!$B71,Songs!$F:$F)</f>
        <v>3</v>
      </c>
      <c r="G71" cm="1">
        <f t="array" ref="G71">SUM(IF(ISNUMBER(SEARCH($B71,Songs!D:D)),1,0))</f>
        <v>0</v>
      </c>
      <c r="H71" cm="1">
        <f t="array" aca="1" ref="H71" ca="1">SUM(IF(ISNUMBER(SEARCH($B71,Songs!D:D)),Songs!G:G,0)) - SUM(IF(ISNUMBER(SEARCH($B71,Songs!D:D)),Songs!F:F,0))</f>
        <v>0</v>
      </c>
      <c r="I71">
        <f ca="1">_xlfn.MINIFS(Songs!J:J,Songs!$B:$B,Artists!$B71)</f>
        <v>49</v>
      </c>
      <c r="J71">
        <v>1</v>
      </c>
      <c r="K71" s="16">
        <f>AVERAGE(J$2:J71)</f>
        <v>0.27142857142857141</v>
      </c>
    </row>
    <row r="72" spans="1:11" ht="15.75" customHeight="1" x14ac:dyDescent="0.25">
      <c r="A72" s="10">
        <v>11</v>
      </c>
      <c r="B72" s="2" t="s">
        <v>116</v>
      </c>
      <c r="C72" cm="1">
        <f t="array" ref="C72">SUM(IF(ISNUMBER(SEARCH($B72,Songs!C:C)),1,0))+E72</f>
        <v>2</v>
      </c>
      <c r="D72" cm="1">
        <f t="array" aca="1" ref="D72" ca="1">SUM(IF(ISNUMBER(SEARCH($B72,Songs!C:C)),Songs!G:G,0))-SUM(IF(ISNUMBER(SEARCH($B72,Songs!C:C)),Songs!F:F,0))+F72</f>
        <v>2</v>
      </c>
      <c r="E72">
        <f>COUNTIF(Songs!$B:$B,Artists!$B72)</f>
        <v>2</v>
      </c>
      <c r="F72">
        <f ca="1">SUMIF(Songs!$B:$B,Artists!$B72,Songs!$G:$G)-SUMIF(Songs!$B:$B,Artists!$B72,Songs!$F:$F)</f>
        <v>2</v>
      </c>
      <c r="G72" cm="1">
        <f t="array" ref="G72">SUM(IF(ISNUMBER(SEARCH($B72,Songs!D:D)),1,0))</f>
        <v>0</v>
      </c>
      <c r="H72" cm="1">
        <f t="array" aca="1" ref="H72" ca="1">SUM(IF(ISNUMBER(SEARCH($B72,Songs!D:D)),Songs!G:G,0)) - SUM(IF(ISNUMBER(SEARCH($B72,Songs!D:D)),Songs!F:F,0))</f>
        <v>0</v>
      </c>
      <c r="I72">
        <f ca="1">_xlfn.MINIFS(Songs!J:J,Songs!$B:$B,Artists!$B72)</f>
        <v>51</v>
      </c>
      <c r="J72">
        <v>0</v>
      </c>
      <c r="K72" s="16">
        <f>AVERAGE(J$2:J72)</f>
        <v>0.26760563380281688</v>
      </c>
    </row>
    <row r="73" spans="1:11" ht="15.75" customHeight="1" x14ac:dyDescent="0.25">
      <c r="B73" s="2" t="s">
        <v>252</v>
      </c>
      <c r="C73" cm="1">
        <f t="array" ref="C73">SUM(IF(ISNUMBER(SEARCH($B73,Songs!C:C)),1,0))+E73</f>
        <v>1</v>
      </c>
      <c r="D73" cm="1">
        <f t="array" aca="1" ref="D73" ca="1">SUM(IF(ISNUMBER(SEARCH($B73,Songs!C:C)),Songs!G:G,0))-SUM(IF(ISNUMBER(SEARCH($B73,Songs!C:C)),Songs!F:F,0))+F73</f>
        <v>2</v>
      </c>
      <c r="E73">
        <f>COUNTIF(Songs!$B:$B,Artists!$B73)</f>
        <v>1</v>
      </c>
      <c r="F73">
        <f ca="1">SUMIF(Songs!$B:$B,Artists!$B73,Songs!$G:$G)-SUMIF(Songs!$B:$B,Artists!$B73,Songs!$F:$F)</f>
        <v>2</v>
      </c>
      <c r="G73" cm="1">
        <f t="array" ref="G73">SUM(IF(ISNUMBER(SEARCH($B73,Songs!D:D)),1,0))</f>
        <v>0</v>
      </c>
      <c r="H73" cm="1">
        <f t="array" aca="1" ref="H73" ca="1">SUM(IF(ISNUMBER(SEARCH($B73,Songs!D:D)),Songs!G:G,0)) - SUM(IF(ISNUMBER(SEARCH($B73,Songs!D:D)),Songs!F:F,0))</f>
        <v>0</v>
      </c>
      <c r="I73">
        <f ca="1">_xlfn.MINIFS(Songs!J:J,Songs!$B:$B,Artists!$B73)</f>
        <v>31</v>
      </c>
      <c r="J73">
        <v>1</v>
      </c>
      <c r="K73" s="16">
        <f>AVERAGE(J$2:J73)</f>
        <v>0.27777777777777779</v>
      </c>
    </row>
    <row r="74" spans="1:11" ht="15.75" customHeight="1" x14ac:dyDescent="0.25">
      <c r="B74" s="2" t="s">
        <v>338</v>
      </c>
      <c r="C74" cm="1">
        <f t="array" ref="C74">SUM(IF(ISNUMBER(SEARCH($B74,Songs!C:C)),1,0))+E74</f>
        <v>1</v>
      </c>
      <c r="D74" cm="1">
        <f t="array" aca="1" ref="D74" ca="1">SUM(IF(ISNUMBER(SEARCH($B74,Songs!C:C)),Songs!G:G,0))-SUM(IF(ISNUMBER(SEARCH($B74,Songs!C:C)),Songs!F:F,0))+F74</f>
        <v>2</v>
      </c>
      <c r="E74">
        <f>COUNTIF(Songs!$B:$B,Artists!$B74)</f>
        <v>1</v>
      </c>
      <c r="F74">
        <f ca="1">SUMIF(Songs!$B:$B,Artists!$B74,Songs!$G:$G)-SUMIF(Songs!$B:$B,Artists!$B74,Songs!$F:$F)</f>
        <v>2</v>
      </c>
      <c r="G74" cm="1">
        <f t="array" ref="G74">SUM(IF(ISNUMBER(SEARCH($B74,Songs!D:D)),1,0))</f>
        <v>0</v>
      </c>
      <c r="H74" cm="1">
        <f t="array" aca="1" ref="H74" ca="1">SUM(IF(ISNUMBER(SEARCH($B74,Songs!D:D)),Songs!G:G,0)) - SUM(IF(ISNUMBER(SEARCH($B74,Songs!D:D)),Songs!F:F,0))</f>
        <v>0</v>
      </c>
      <c r="I74">
        <f>_xlfn.MINIFS(Songs!J:J,Songs!$B:$B,Artists!$B74)</f>
        <v>40</v>
      </c>
      <c r="J74">
        <v>0</v>
      </c>
      <c r="K74" s="16">
        <f>AVERAGE(J$2:J74)</f>
        <v>0.27397260273972601</v>
      </c>
    </row>
    <row r="75" spans="1:11" ht="15.75" customHeight="1" x14ac:dyDescent="0.25">
      <c r="A75" s="10">
        <v>53</v>
      </c>
      <c r="B75" s="2" t="s">
        <v>120</v>
      </c>
      <c r="C75" cm="1">
        <f t="array" ref="C75">SUM(IF(ISNUMBER(SEARCH($B75,Songs!C:C)),1,0))+E75</f>
        <v>1</v>
      </c>
      <c r="D75" cm="1">
        <f t="array" aca="1" ref="D75" ca="1">SUM(IF(ISNUMBER(SEARCH($B75,Songs!C:C)),Songs!G:G,0))-SUM(IF(ISNUMBER(SEARCH($B75,Songs!C:C)),Songs!F:F,0))+F75</f>
        <v>2</v>
      </c>
      <c r="E75">
        <f>COUNTIF(Songs!$B:$B,Artists!$B75)</f>
        <v>1</v>
      </c>
      <c r="F75">
        <f ca="1">SUMIF(Songs!$B:$B,Artists!$B75,Songs!$G:$G)-SUMIF(Songs!$B:$B,Artists!$B75,Songs!$F:$F)</f>
        <v>2</v>
      </c>
      <c r="G75" cm="1">
        <f t="array" ref="G75">SUM(IF(ISNUMBER(SEARCH($B75,Songs!D:D)),1,0))</f>
        <v>0</v>
      </c>
      <c r="H75" cm="1">
        <f t="array" aca="1" ref="H75" ca="1">SUM(IF(ISNUMBER(SEARCH($B75,Songs!D:D)),Songs!G:G,0)) - SUM(IF(ISNUMBER(SEARCH($B75,Songs!D:D)),Songs!F:F,0))</f>
        <v>0</v>
      </c>
      <c r="I75">
        <f ca="1">_xlfn.MINIFS(Songs!J:J,Songs!$B:$B,Artists!$B75)</f>
        <v>50</v>
      </c>
      <c r="J75">
        <v>0</v>
      </c>
      <c r="K75" s="16">
        <f>AVERAGE(J$2:J75)</f>
        <v>0.27027027027027029</v>
      </c>
    </row>
    <row r="76" spans="1:11" ht="15.75" customHeight="1" x14ac:dyDescent="0.25">
      <c r="A76" s="10">
        <v>49</v>
      </c>
      <c r="B76" s="2" t="s">
        <v>94</v>
      </c>
      <c r="C76" cm="1">
        <f t="array" ref="C76">SUM(IF(ISNUMBER(SEARCH($B76,Songs!C:C)),1,0))+E76</f>
        <v>1</v>
      </c>
      <c r="D76" cm="1">
        <f t="array" aca="1" ref="D76" ca="1">SUM(IF(ISNUMBER(SEARCH($B76,Songs!C:C)),Songs!G:G,0))-SUM(IF(ISNUMBER(SEARCH($B76,Songs!C:C)),Songs!F:F,0))+F76</f>
        <v>2</v>
      </c>
      <c r="E76">
        <f>COUNTIF(Songs!$B:$B,Artists!$B76)</f>
        <v>1</v>
      </c>
      <c r="F76">
        <f ca="1">SUMIF(Songs!$B:$B,Artists!$B76,Songs!$G:$G)-SUMIF(Songs!$B:$B,Artists!$B76,Songs!$F:$F)</f>
        <v>2</v>
      </c>
      <c r="G76" cm="1">
        <f t="array" ref="G76">SUM(IF(ISNUMBER(SEARCH($B76,Songs!D:D)),1,0))</f>
        <v>0</v>
      </c>
      <c r="H76" cm="1">
        <f t="array" aca="1" ref="H76" ca="1">SUM(IF(ISNUMBER(SEARCH($B76,Songs!D:D)),Songs!G:G,0)) - SUM(IF(ISNUMBER(SEARCH($B76,Songs!D:D)),Songs!F:F,0))</f>
        <v>0</v>
      </c>
      <c r="I76">
        <f ca="1">_xlfn.MINIFS(Songs!J:J,Songs!$B:$B,Artists!$B76)</f>
        <v>51</v>
      </c>
      <c r="J76">
        <v>0</v>
      </c>
      <c r="K76" s="16">
        <f>AVERAGE(J$2:J76)</f>
        <v>0.26666666666666666</v>
      </c>
    </row>
    <row r="77" spans="1:11" ht="15.75" customHeight="1" x14ac:dyDescent="0.25">
      <c r="A77" s="10">
        <v>46</v>
      </c>
      <c r="B77" s="2" t="s">
        <v>90</v>
      </c>
      <c r="C77" cm="1">
        <f t="array" ref="C77">SUM(IF(ISNUMBER(SEARCH($B77,Songs!C:C)),1,0))+E77</f>
        <v>1</v>
      </c>
      <c r="D77" cm="1">
        <f t="array" aca="1" ref="D77" ca="1">SUM(IF(ISNUMBER(SEARCH($B77,Songs!C:C)),Songs!G:G,0))-SUM(IF(ISNUMBER(SEARCH($B77,Songs!C:C)),Songs!F:F,0))+F77</f>
        <v>2</v>
      </c>
      <c r="E77">
        <f>COUNTIF(Songs!$B:$B,Artists!$B77)</f>
        <v>1</v>
      </c>
      <c r="F77">
        <f ca="1">SUMIF(Songs!$B:$B,Artists!$B77,Songs!$G:$G)-SUMIF(Songs!$B:$B,Artists!$B77,Songs!$F:$F)</f>
        <v>2</v>
      </c>
      <c r="G77" cm="1">
        <f t="array" ref="G77">SUM(IF(ISNUMBER(SEARCH($B77,Songs!D:D)),1,0))</f>
        <v>0</v>
      </c>
      <c r="H77" cm="1">
        <f t="array" aca="1" ref="H77" ca="1">SUM(IF(ISNUMBER(SEARCH($B77,Songs!D:D)),Songs!G:G,0)) - SUM(IF(ISNUMBER(SEARCH($B77,Songs!D:D)),Songs!F:F,0))</f>
        <v>0</v>
      </c>
      <c r="I77">
        <f ca="1">_xlfn.MINIFS(Songs!J:J,Songs!$B:$B,Artists!$B77)</f>
        <v>51</v>
      </c>
      <c r="J77">
        <v>0</v>
      </c>
      <c r="K77" s="16">
        <f>AVERAGE(J$2:J77)</f>
        <v>0.26315789473684209</v>
      </c>
    </row>
    <row r="78" spans="1:11" ht="15.75" customHeight="1" x14ac:dyDescent="0.25">
      <c r="B78" s="6" t="s">
        <v>227</v>
      </c>
      <c r="C78" cm="1">
        <f t="array" ref="C78">SUM(IF(ISNUMBER(SEARCH($B78,Songs!C:C)),1,0))+E78</f>
        <v>1</v>
      </c>
      <c r="D78" cm="1">
        <f t="array" aca="1" ref="D78" ca="1">SUM(IF(ISNUMBER(SEARCH($B78,Songs!C:C)),Songs!G:G,0))-SUM(IF(ISNUMBER(SEARCH($B78,Songs!C:C)),Songs!F:F,0))+F78</f>
        <v>2</v>
      </c>
      <c r="E78">
        <f>COUNTIF(Songs!$B:$B,Artists!$B78)</f>
        <v>0</v>
      </c>
      <c r="F78">
        <f>SUMIF(Songs!$B:$B,Artists!$B78,Songs!$G:$G)-SUMIF(Songs!$B:$B,Artists!$B78,Songs!$F:$F)</f>
        <v>0</v>
      </c>
      <c r="G78" cm="1">
        <f t="array" ref="G78">SUM(IF(ISNUMBER(SEARCH($B78,Songs!D:D)),1,0))</f>
        <v>0</v>
      </c>
      <c r="H78" cm="1">
        <f t="array" aca="1" ref="H78" ca="1">SUM(IF(ISNUMBER(SEARCH($B78,Songs!D:D)),Songs!G:G,0)) - SUM(IF(ISNUMBER(SEARCH($B78,Songs!D:D)),Songs!F:F,0))</f>
        <v>0</v>
      </c>
      <c r="I78">
        <f>_xlfn.MINIFS(Songs!J:J,Songs!$B:$B,Artists!$B78)</f>
        <v>0</v>
      </c>
      <c r="J78">
        <v>1</v>
      </c>
      <c r="K78" s="16">
        <f>AVERAGE(J$2:J78)</f>
        <v>0.27272727272727271</v>
      </c>
    </row>
    <row r="79" spans="1:11" ht="15.75" customHeight="1" x14ac:dyDescent="0.25">
      <c r="B79" s="6" t="s">
        <v>229</v>
      </c>
      <c r="C79" cm="1">
        <f t="array" ref="C79">SUM(IF(ISNUMBER(SEARCH($B79,Songs!C:C)),1,0))+E79</f>
        <v>1</v>
      </c>
      <c r="D79" cm="1">
        <f t="array" aca="1" ref="D79" ca="1">SUM(IF(ISNUMBER(SEARCH($B79,Songs!C:C)),Songs!G:G,0))-SUM(IF(ISNUMBER(SEARCH($B79,Songs!C:C)),Songs!F:F,0))+F79</f>
        <v>2</v>
      </c>
      <c r="E79">
        <f>COUNTIF(Songs!$B:$B,Artists!$B79)</f>
        <v>0</v>
      </c>
      <c r="F79">
        <f>SUMIF(Songs!$B:$B,Artists!$B79,Songs!$G:$G)-SUMIF(Songs!$B:$B,Artists!$B79,Songs!$F:$F)</f>
        <v>0</v>
      </c>
      <c r="G79" cm="1">
        <f t="array" ref="G79">SUM(IF(ISNUMBER(SEARCH($B79,Songs!D:D)),1,0))</f>
        <v>0</v>
      </c>
      <c r="H79" cm="1">
        <f t="array" aca="1" ref="H79" ca="1">SUM(IF(ISNUMBER(SEARCH($B79,Songs!D:D)),Songs!G:G,0)) - SUM(IF(ISNUMBER(SEARCH($B79,Songs!D:D)),Songs!F:F,0))</f>
        <v>0</v>
      </c>
      <c r="I79">
        <f>_xlfn.MINIFS(Songs!J:J,Songs!$B:$B,Artists!$B79)</f>
        <v>0</v>
      </c>
      <c r="J79">
        <v>0</v>
      </c>
      <c r="K79" s="16">
        <f>AVERAGE(J$2:J79)</f>
        <v>0.26923076923076922</v>
      </c>
    </row>
    <row r="80" spans="1:11" ht="15.75" customHeight="1" x14ac:dyDescent="0.25">
      <c r="B80" s="6" t="s">
        <v>168</v>
      </c>
      <c r="C80" cm="1">
        <f t="array" ref="C80">SUM(IF(ISNUMBER(SEARCH($B80,Songs!C:C)),1,0))+E80</f>
        <v>1</v>
      </c>
      <c r="D80" cm="1">
        <f t="array" aca="1" ref="D80" ca="1">SUM(IF(ISNUMBER(SEARCH($B80,Songs!C:C)),Songs!G:G,0))-SUM(IF(ISNUMBER(SEARCH($B80,Songs!C:C)),Songs!F:F,0))+F80</f>
        <v>1</v>
      </c>
      <c r="E80">
        <f>COUNTIF(Songs!$B:$B,Artists!$B80)</f>
        <v>0</v>
      </c>
      <c r="F80">
        <f>SUMIF(Songs!$B:$B,Artists!$B80,Songs!$G:$G)-SUMIF(Songs!$B:$B,Artists!$B80,Songs!$F:$F)</f>
        <v>0</v>
      </c>
      <c r="G80" cm="1">
        <f t="array" ref="G80">SUM(IF(ISNUMBER(SEARCH($B80,Songs!D:D)),1,0))</f>
        <v>1</v>
      </c>
      <c r="H80" cm="1">
        <f t="array" aca="1" ref="H80" ca="1">SUM(IF(ISNUMBER(SEARCH($B80,Songs!D:D)),Songs!G:G,0)) - SUM(IF(ISNUMBER(SEARCH($B80,Songs!D:D)),Songs!F:F,0))</f>
        <v>7</v>
      </c>
      <c r="I80">
        <f>_xlfn.MINIFS(Songs!J:J,Songs!$B:$B,Artists!$B80)</f>
        <v>0</v>
      </c>
      <c r="J80">
        <v>0</v>
      </c>
      <c r="K80" s="16">
        <f>AVERAGE(J$2:J80)</f>
        <v>0.26582278481012656</v>
      </c>
    </row>
    <row r="81" spans="1:11" ht="15.75" customHeight="1" x14ac:dyDescent="0.25">
      <c r="B81" s="2" t="s">
        <v>253</v>
      </c>
      <c r="C81" cm="1">
        <f t="array" ref="C81">SUM(IF(ISNUMBER(SEARCH($B81,Songs!C:C)),1,0))+E81</f>
        <v>1</v>
      </c>
      <c r="D81" cm="1">
        <f t="array" aca="1" ref="D81" ca="1">SUM(IF(ISNUMBER(SEARCH($B81,Songs!C:C)),Songs!G:G,0))-SUM(IF(ISNUMBER(SEARCH($B81,Songs!C:C)),Songs!F:F,0))+F81</f>
        <v>1</v>
      </c>
      <c r="E81">
        <f>COUNTIF(Songs!$B:$B,Artists!$B81)</f>
        <v>1</v>
      </c>
      <c r="F81">
        <f ca="1">SUMIF(Songs!$B:$B,Artists!$B81,Songs!$G:$G)-SUMIF(Songs!$B:$B,Artists!$B81,Songs!$F:$F)</f>
        <v>1</v>
      </c>
      <c r="G81" cm="1">
        <f t="array" ref="G81">SUM(IF(ISNUMBER(SEARCH($B81,Songs!D:D)),1,0))</f>
        <v>0</v>
      </c>
      <c r="H81" cm="1">
        <f t="array" aca="1" ref="H81" ca="1">SUM(IF(ISNUMBER(SEARCH($B81,Songs!D:D)),Songs!G:G,0)) - SUM(IF(ISNUMBER(SEARCH($B81,Songs!D:D)),Songs!F:F,0))</f>
        <v>0</v>
      </c>
      <c r="I81">
        <f ca="1">_xlfn.MINIFS(Songs!J:J,Songs!$B:$B,Artists!$B81)</f>
        <v>33</v>
      </c>
      <c r="J81">
        <v>0</v>
      </c>
      <c r="K81" s="16">
        <f>AVERAGE(J$2:J81)</f>
        <v>0.26250000000000001</v>
      </c>
    </row>
    <row r="82" spans="1:11" ht="15.75" customHeight="1" x14ac:dyDescent="0.25">
      <c r="A82" s="10">
        <v>55</v>
      </c>
      <c r="B82" s="6" t="s">
        <v>150</v>
      </c>
      <c r="C82" cm="1">
        <f t="array" ref="C82">SUM(IF(ISNUMBER(SEARCH($B82,Songs!C:C)),1,0))+E82</f>
        <v>1</v>
      </c>
      <c r="D82" cm="1">
        <f t="array" aca="1" ref="D82" ca="1">SUM(IF(ISNUMBER(SEARCH($B82,Songs!C:C)),Songs!G:G,0))-SUM(IF(ISNUMBER(SEARCH($B82,Songs!C:C)),Songs!F:F,0))+F82</f>
        <v>1</v>
      </c>
      <c r="E82">
        <f>COUNTIF(Songs!$B:$B,Artists!$B82)</f>
        <v>1</v>
      </c>
      <c r="F82">
        <f ca="1">SUMIF(Songs!$B:$B,Artists!$B82,Songs!$G:$G)-SUMIF(Songs!$B:$B,Artists!$B82,Songs!$F:$F)</f>
        <v>1</v>
      </c>
      <c r="G82" cm="1">
        <f t="array" ref="G82">SUM(IF(ISNUMBER(SEARCH($B82,Songs!D:D)),1,0))</f>
        <v>0</v>
      </c>
      <c r="H82" cm="1">
        <f t="array" aca="1" ref="H82" ca="1">SUM(IF(ISNUMBER(SEARCH($B82,Songs!D:D)),Songs!G:G,0)) - SUM(IF(ISNUMBER(SEARCH($B82,Songs!D:D)),Songs!F:F,0))</f>
        <v>0</v>
      </c>
      <c r="I82">
        <f ca="1">_xlfn.MINIFS(Songs!J:J,Songs!$B:$B,Artists!$B82)</f>
        <v>40</v>
      </c>
      <c r="J82">
        <v>0</v>
      </c>
      <c r="K82" s="16">
        <f>AVERAGE(J$2:J82)</f>
        <v>0.25925925925925924</v>
      </c>
    </row>
    <row r="83" spans="1:11" ht="15.75" customHeight="1" x14ac:dyDescent="0.25">
      <c r="B83" s="6" t="s">
        <v>183</v>
      </c>
      <c r="C83" cm="1">
        <f t="array" ref="C83">SUM(IF(ISNUMBER(SEARCH($B83,Songs!C:C)),1,0))+E83</f>
        <v>1</v>
      </c>
      <c r="D83" cm="1">
        <f t="array" aca="1" ref="D83" ca="1">SUM(IF(ISNUMBER(SEARCH($B83,Songs!C:C)),Songs!G:G,0))-SUM(IF(ISNUMBER(SEARCH($B83,Songs!C:C)),Songs!F:F,0))+F83</f>
        <v>1</v>
      </c>
      <c r="E83">
        <f>COUNTIF(Songs!$B:$B,Artists!$B83)</f>
        <v>1</v>
      </c>
      <c r="F83">
        <f ca="1">SUMIF(Songs!$B:$B,Artists!$B83,Songs!$G:$G)-SUMIF(Songs!$B:$B,Artists!$B83,Songs!$F:$F)</f>
        <v>1</v>
      </c>
      <c r="G83" cm="1">
        <f t="array" ref="G83">SUM(IF(ISNUMBER(SEARCH($B83,Songs!D:D)),1,0))</f>
        <v>0</v>
      </c>
      <c r="H83" cm="1">
        <f t="array" aca="1" ref="H83" ca="1">SUM(IF(ISNUMBER(SEARCH($B83,Songs!D:D)),Songs!G:G,0)) - SUM(IF(ISNUMBER(SEARCH($B83,Songs!D:D)),Songs!F:F,0))</f>
        <v>0</v>
      </c>
      <c r="I83">
        <f ca="1">_xlfn.MINIFS(Songs!J:J,Songs!$B:$B,Artists!$B83)</f>
        <v>43</v>
      </c>
      <c r="J83">
        <v>0.11</v>
      </c>
      <c r="K83" s="16">
        <f>AVERAGE(J$2:J83)</f>
        <v>0.25743902439024391</v>
      </c>
    </row>
    <row r="84" spans="1:11" ht="15.75" customHeight="1" x14ac:dyDescent="0.25">
      <c r="A84" s="10">
        <v>50</v>
      </c>
      <c r="B84" s="6" t="s">
        <v>151</v>
      </c>
      <c r="C84" cm="1">
        <f t="array" ref="C84">SUM(IF(ISNUMBER(SEARCH($B84,Songs!C:C)),1,0))+E84</f>
        <v>1</v>
      </c>
      <c r="D84" cm="1">
        <f t="array" aca="1" ref="D84" ca="1">SUM(IF(ISNUMBER(SEARCH($B84,Songs!C:C)),Songs!G:G,0))-SUM(IF(ISNUMBER(SEARCH($B84,Songs!C:C)),Songs!F:F,0))+F84</f>
        <v>1</v>
      </c>
      <c r="E84">
        <f>COUNTIF(Songs!$B:$B,Artists!$B84)</f>
        <v>1</v>
      </c>
      <c r="F84">
        <f ca="1">SUMIF(Songs!$B:$B,Artists!$B84,Songs!$G:$G)-SUMIF(Songs!$B:$B,Artists!$B84,Songs!$F:$F)</f>
        <v>1</v>
      </c>
      <c r="G84" cm="1">
        <f t="array" ref="G84">SUM(IF(ISNUMBER(SEARCH($B84,Songs!D:D)),1,0))</f>
        <v>0</v>
      </c>
      <c r="H84" cm="1">
        <f t="array" aca="1" ref="H84" ca="1">SUM(IF(ISNUMBER(SEARCH($B84,Songs!D:D)),Songs!G:G,0)) - SUM(IF(ISNUMBER(SEARCH($B84,Songs!D:D)),Songs!F:F,0))</f>
        <v>0</v>
      </c>
      <c r="I84">
        <f ca="1">_xlfn.MINIFS(Songs!J:J,Songs!$B:$B,Artists!$B84)</f>
        <v>48</v>
      </c>
      <c r="J84">
        <v>0</v>
      </c>
      <c r="K84" s="16">
        <f>AVERAGE(J$2:J84)</f>
        <v>0.25433734939759034</v>
      </c>
    </row>
    <row r="85" spans="1:11" ht="15.75" customHeight="1" x14ac:dyDescent="0.25">
      <c r="A85" s="10">
        <v>51</v>
      </c>
      <c r="B85" s="6" t="s">
        <v>144</v>
      </c>
      <c r="C85" cm="1">
        <f t="array" ref="C85">SUM(IF(ISNUMBER(SEARCH($B85,Songs!C:C)),1,0))+E85</f>
        <v>1</v>
      </c>
      <c r="D85" cm="1">
        <f t="array" aca="1" ref="D85" ca="1">SUM(IF(ISNUMBER(SEARCH($B85,Songs!C:C)),Songs!G:G,0))-SUM(IF(ISNUMBER(SEARCH($B85,Songs!C:C)),Songs!F:F,0))+F85</f>
        <v>1</v>
      </c>
      <c r="E85">
        <f>COUNTIF(Songs!$B:$B,Artists!$B85)</f>
        <v>1</v>
      </c>
      <c r="F85">
        <f ca="1">SUMIF(Songs!$B:$B,Artists!$B85,Songs!$G:$G)-SUMIF(Songs!$B:$B,Artists!$B85,Songs!$F:$F)</f>
        <v>1</v>
      </c>
      <c r="G85" cm="1">
        <f t="array" ref="G85">SUM(IF(ISNUMBER(SEARCH($B85,Songs!D:D)),1,0))</f>
        <v>0</v>
      </c>
      <c r="H85" cm="1">
        <f t="array" aca="1" ref="H85" ca="1">SUM(IF(ISNUMBER(SEARCH($B85,Songs!D:D)),Songs!G:G,0)) - SUM(IF(ISNUMBER(SEARCH($B85,Songs!D:D)),Songs!F:F,0))</f>
        <v>0</v>
      </c>
      <c r="I85">
        <f ca="1">_xlfn.MINIFS(Songs!J:J,Songs!$B:$B,Artists!$B85)</f>
        <v>49</v>
      </c>
      <c r="J85">
        <v>0</v>
      </c>
      <c r="K85" s="16">
        <f>AVERAGE(J$2:J85)</f>
        <v>0.25130952380952382</v>
      </c>
    </row>
    <row r="86" spans="1:11" ht="15.75" customHeight="1" x14ac:dyDescent="0.25">
      <c r="B86" s="2" t="s">
        <v>254</v>
      </c>
      <c r="C86" cm="1">
        <f t="array" ref="C86">SUM(IF(ISNUMBER(SEARCH($B86,Songs!C:C)),1,0))+E86</f>
        <v>1</v>
      </c>
      <c r="D86" cm="1">
        <f t="array" aca="1" ref="D86" ca="1">SUM(IF(ISNUMBER(SEARCH($B86,Songs!C:C)),Songs!G:G,0))-SUM(IF(ISNUMBER(SEARCH($B86,Songs!C:C)),Songs!F:F,0))+F86</f>
        <v>1</v>
      </c>
      <c r="E86">
        <f>COUNTIF(Songs!$B:$B,Artists!$B86)</f>
        <v>1</v>
      </c>
      <c r="F86">
        <f ca="1">SUMIF(Songs!$B:$B,Artists!$B86,Songs!$G:$G)-SUMIF(Songs!$B:$B,Artists!$B86,Songs!$F:$F)</f>
        <v>1</v>
      </c>
      <c r="G86" cm="1">
        <f t="array" ref="G86">SUM(IF(ISNUMBER(SEARCH($B86,Songs!D:D)),1,0))</f>
        <v>0</v>
      </c>
      <c r="H86" cm="1">
        <f t="array" aca="1" ref="H86" ca="1">SUM(IF(ISNUMBER(SEARCH($B86,Songs!D:D)),Songs!G:G,0)) - SUM(IF(ISNUMBER(SEARCH($B86,Songs!D:D)),Songs!F:F,0))</f>
        <v>0</v>
      </c>
      <c r="I86">
        <f ca="1">_xlfn.MINIFS(Songs!J:J,Songs!$B:$B,Artists!$B86)</f>
        <v>49</v>
      </c>
      <c r="J86">
        <v>0</v>
      </c>
      <c r="K86" s="16">
        <f>AVERAGE(J$2:J86)</f>
        <v>0.24835294117647058</v>
      </c>
    </row>
    <row r="87" spans="1:11" ht="15.75" customHeight="1" x14ac:dyDescent="0.25">
      <c r="B87" s="2" t="s">
        <v>341</v>
      </c>
      <c r="C87" cm="1">
        <f t="array" ref="C87">SUM(IF(ISNUMBER(SEARCH($B87,Songs!C:C)),1,0))+E87</f>
        <v>1</v>
      </c>
      <c r="D87" cm="1">
        <f t="array" aca="1" ref="D87" ca="1">SUM(IF(ISNUMBER(SEARCH($B87,Songs!C:C)),Songs!G:G,0))-SUM(IF(ISNUMBER(SEARCH($B87,Songs!C:C)),Songs!F:F,0))+F87</f>
        <v>1</v>
      </c>
      <c r="E87">
        <f>COUNTIF(Songs!$B:$B,Artists!$B87)</f>
        <v>1</v>
      </c>
      <c r="F87">
        <f ca="1">SUMIF(Songs!$B:$B,Artists!$B87,Songs!$G:$G)-SUMIF(Songs!$B:$B,Artists!$B87,Songs!$F:$F)</f>
        <v>1</v>
      </c>
      <c r="G87" cm="1">
        <f t="array" ref="G87">SUM(IF(ISNUMBER(SEARCH($B87,Songs!D:D)),1,0))</f>
        <v>0</v>
      </c>
      <c r="H87" cm="1">
        <f t="array" aca="1" ref="H87" ca="1">SUM(IF(ISNUMBER(SEARCH($B87,Songs!D:D)),Songs!G:G,0)) - SUM(IF(ISNUMBER(SEARCH($B87,Songs!D:D)),Songs!F:F,0))</f>
        <v>0</v>
      </c>
      <c r="I87">
        <f>_xlfn.MINIFS(Songs!J:J,Songs!$B:$B,Artists!$B87)</f>
        <v>50</v>
      </c>
      <c r="J87">
        <v>0</v>
      </c>
      <c r="K87" s="16">
        <f>AVERAGE(J$2:J87)</f>
        <v>0.24546511627906975</v>
      </c>
    </row>
    <row r="88" spans="1:11" ht="15.75" customHeight="1" x14ac:dyDescent="0.25">
      <c r="A88" s="10">
        <v>52</v>
      </c>
      <c r="B88" s="2" t="s">
        <v>122</v>
      </c>
      <c r="C88" cm="1">
        <f t="array" ref="C88">SUM(IF(ISNUMBER(SEARCH($B88,Songs!C:C)),1,0))+E88</f>
        <v>1</v>
      </c>
      <c r="D88" cm="1">
        <f t="array" aca="1" ref="D88" ca="1">SUM(IF(ISNUMBER(SEARCH($B88,Songs!C:C)),Songs!G:G,0))-SUM(IF(ISNUMBER(SEARCH($B88,Songs!C:C)),Songs!F:F,0))+F88</f>
        <v>1</v>
      </c>
      <c r="E88">
        <f>COUNTIF(Songs!$B:$B,Artists!$B88)</f>
        <v>1</v>
      </c>
      <c r="F88">
        <f ca="1">SUMIF(Songs!$B:$B,Artists!$B88,Songs!$G:$G)-SUMIF(Songs!$B:$B,Artists!$B88,Songs!$F:$F)</f>
        <v>1</v>
      </c>
      <c r="G88" cm="1">
        <f t="array" ref="G88">SUM(IF(ISNUMBER(SEARCH($B88,Songs!D:D)),1,0))</f>
        <v>0</v>
      </c>
      <c r="H88" cm="1">
        <f t="array" aca="1" ref="H88" ca="1">SUM(IF(ISNUMBER(SEARCH($B88,Songs!D:D)),Songs!G:G,0)) - SUM(IF(ISNUMBER(SEARCH($B88,Songs!D:D)),Songs!F:F,0))</f>
        <v>0</v>
      </c>
      <c r="I88">
        <f ca="1">_xlfn.MINIFS(Songs!J:J,Songs!$B:$B,Artists!$B88)</f>
        <v>51</v>
      </c>
      <c r="J88">
        <v>1</v>
      </c>
      <c r="K88" s="16">
        <f>AVERAGE(J$2:J88)</f>
        <v>0.25413793103448273</v>
      </c>
    </row>
    <row r="89" spans="1:11" ht="15.75" customHeight="1" x14ac:dyDescent="0.25">
      <c r="A89" s="10">
        <v>58</v>
      </c>
      <c r="B89" s="2" t="s">
        <v>87</v>
      </c>
      <c r="C89" cm="1">
        <f t="array" ref="C89">SUM(IF(ISNUMBER(SEARCH($B89,Songs!C:C)),1,0))+E89</f>
        <v>0</v>
      </c>
      <c r="D89" cm="1">
        <f t="array" aca="1" ref="D89" ca="1">SUM(IF(ISNUMBER(SEARCH($B89,Songs!C:C)),Songs!G:G,0))-SUM(IF(ISNUMBER(SEARCH($B89,Songs!C:C)),Songs!F:F,0))+F89</f>
        <v>0</v>
      </c>
      <c r="E89">
        <f>COUNTIF(Songs!$B:$B,Artists!$B89)</f>
        <v>0</v>
      </c>
      <c r="F89">
        <f>SUMIF(Songs!$B:$B,Artists!$B89,Songs!$G:$G)-SUMIF(Songs!$B:$B,Artists!$B89,Songs!$F:$F)</f>
        <v>0</v>
      </c>
      <c r="G89" cm="1">
        <f t="array" ref="G89">SUM(IF(ISNUMBER(SEARCH($B89,Songs!D:D)),1,0))</f>
        <v>1</v>
      </c>
      <c r="H89" cm="1">
        <f t="array" aca="1" ref="H89" ca="1">SUM(IF(ISNUMBER(SEARCH($B89,Songs!D:D)),Songs!G:G,0)) - SUM(IF(ISNUMBER(SEARCH($B89,Songs!D:D)),Songs!F:F,0))</f>
        <v>14</v>
      </c>
      <c r="I89">
        <f>_xlfn.MINIFS(Songs!J:J,Songs!$B:$B,Artists!$B89)</f>
        <v>0</v>
      </c>
      <c r="J89">
        <v>0</v>
      </c>
      <c r="K89" s="16">
        <f>AVERAGE(J$2:J89)</f>
        <v>0.25124999999999997</v>
      </c>
    </row>
    <row r="90" spans="1:11" ht="15.75" customHeight="1" x14ac:dyDescent="0.25">
      <c r="A90" s="10">
        <v>59</v>
      </c>
      <c r="B90" s="2" t="s">
        <v>88</v>
      </c>
      <c r="C90" cm="1">
        <f t="array" ref="C90">SUM(IF(ISNUMBER(SEARCH($B90,Songs!C:C)),1,0))+E90</f>
        <v>0</v>
      </c>
      <c r="D90" cm="1">
        <f t="array" aca="1" ref="D90" ca="1">SUM(IF(ISNUMBER(SEARCH($B90,Songs!C:C)),Songs!G:G,0))-SUM(IF(ISNUMBER(SEARCH($B90,Songs!C:C)),Songs!F:F,0))+F90</f>
        <v>0</v>
      </c>
      <c r="E90">
        <f>COUNTIF(Songs!$B:$B,Artists!$B90)</f>
        <v>0</v>
      </c>
      <c r="F90">
        <f>SUMIF(Songs!$B:$B,Artists!$B90,Songs!$G:$G)-SUMIF(Songs!$B:$B,Artists!$B90,Songs!$F:$F)</f>
        <v>0</v>
      </c>
      <c r="G90" cm="1">
        <f t="array" ref="G90">SUM(IF(ISNUMBER(SEARCH($B90,Songs!D:D)),1,0))</f>
        <v>1</v>
      </c>
      <c r="H90" cm="1">
        <f t="array" aca="1" ref="H90" ca="1">SUM(IF(ISNUMBER(SEARCH($B90,Songs!D:D)),Songs!G:G,0)) - SUM(IF(ISNUMBER(SEARCH($B90,Songs!D:D)),Songs!F:F,0))</f>
        <v>7</v>
      </c>
      <c r="I90">
        <f>_xlfn.MINIFS(Songs!J:J,Songs!$B:$B,Artists!$B90)</f>
        <v>0</v>
      </c>
      <c r="J90">
        <v>0.5</v>
      </c>
      <c r="K90" s="16">
        <f>AVERAGE(J$2:J90)</f>
        <v>0.25404494382022469</v>
      </c>
    </row>
    <row r="91" spans="1:11" ht="15.75" customHeight="1" x14ac:dyDescent="0.25">
      <c r="B91" s="2" t="s">
        <v>326</v>
      </c>
      <c r="C91" cm="1">
        <f t="array" ref="C91">SUM(IF(ISNUMBER(SEARCH($B91,Songs!C:C)),1,0))+E91</f>
        <v>0</v>
      </c>
      <c r="D91" cm="1">
        <f t="array" aca="1" ref="D91" ca="1">SUM(IF(ISNUMBER(SEARCH($B91,Songs!C:C)),Songs!G:G,0))-SUM(IF(ISNUMBER(SEARCH($B91,Songs!C:C)),Songs!F:F,0))+F91</f>
        <v>0</v>
      </c>
      <c r="E91">
        <f>COUNTIF(Songs!$B:$B,Artists!$B91)</f>
        <v>0</v>
      </c>
      <c r="F91">
        <f>SUMIF(Songs!$B:$B,Artists!$B91,Songs!$G:$G)-SUMIF(Songs!$B:$B,Artists!$B91,Songs!$F:$F)</f>
        <v>0</v>
      </c>
      <c r="G91" cm="1">
        <f t="array" ref="G91">SUM(IF(ISNUMBER(SEARCH($B91,Songs!D:D)),1,0))</f>
        <v>1</v>
      </c>
      <c r="H91" cm="1">
        <f t="array" aca="1" ref="H91" ca="1">SUM(IF(ISNUMBER(SEARCH($B91,Songs!D:D)),Songs!G:G,0)) - SUM(IF(ISNUMBER(SEARCH($B91,Songs!D:D)),Songs!F:F,0))</f>
        <v>5</v>
      </c>
      <c r="I91">
        <f>_xlfn.MINIFS(Songs!J:J,Songs!$B:$B,Artists!$B91)</f>
        <v>0</v>
      </c>
      <c r="J91">
        <v>0</v>
      </c>
      <c r="K91" s="16">
        <f>AVERAGE(J$2:J91)</f>
        <v>0.25122222222222224</v>
      </c>
    </row>
    <row r="92" spans="1:11" ht="15.75" customHeight="1" x14ac:dyDescent="0.25">
      <c r="B92" s="2" t="s">
        <v>327</v>
      </c>
      <c r="C92" cm="1">
        <f t="array" ref="C92">SUM(IF(ISNUMBER(SEARCH($B92,Songs!C:C)),1,0))+E92</f>
        <v>0</v>
      </c>
      <c r="D92" cm="1">
        <f t="array" aca="1" ref="D92" ca="1">SUM(IF(ISNUMBER(SEARCH($B92,Songs!C:C)),Songs!G:G,0))-SUM(IF(ISNUMBER(SEARCH($B92,Songs!C:C)),Songs!F:F,0))+F92</f>
        <v>0</v>
      </c>
      <c r="E92">
        <f>COUNTIF(Songs!$B:$B,Artists!$B92)</f>
        <v>0</v>
      </c>
      <c r="F92">
        <f>SUMIF(Songs!$B:$B,Artists!$B92,Songs!$G:$G)-SUMIF(Songs!$B:$B,Artists!$B92,Songs!$F:$F)</f>
        <v>0</v>
      </c>
      <c r="G92" cm="1">
        <f t="array" ref="G92">SUM(IF(ISNUMBER(SEARCH($B92,Songs!D:D)),1,0))</f>
        <v>1</v>
      </c>
      <c r="H92" cm="1">
        <f t="array" aca="1" ref="H92" ca="1">SUM(IF(ISNUMBER(SEARCH($B92,Songs!D:D)),Songs!G:G,0)) - SUM(IF(ISNUMBER(SEARCH($B92,Songs!D:D)),Songs!F:F,0))</f>
        <v>5</v>
      </c>
      <c r="I92">
        <f>_xlfn.MINIFS(Songs!J:J,Songs!$B:$B,Artists!$B92)</f>
        <v>0</v>
      </c>
      <c r="J92">
        <v>0</v>
      </c>
      <c r="K92" s="16">
        <f>AVERAGE(J$2:J93)</f>
        <v>0.25663043478260866</v>
      </c>
    </row>
    <row r="93" spans="1:11" ht="15.75" customHeight="1" x14ac:dyDescent="0.25">
      <c r="B93" s="2" t="s">
        <v>277</v>
      </c>
      <c r="C93" cm="1">
        <f t="array" ref="C93">SUM(IF(ISNUMBER(SEARCH($B93,Songs!C:C)),1,0))+E93</f>
        <v>0</v>
      </c>
      <c r="D93" cm="1">
        <f t="array" aca="1" ref="D93" ca="1">SUM(IF(ISNUMBER(SEARCH($B93,Songs!C:C)),Songs!G:G,0))-SUM(IF(ISNUMBER(SEARCH($B93,Songs!C:C)),Songs!F:F,0))+F93</f>
        <v>0</v>
      </c>
      <c r="E93">
        <f>COUNTIF(Songs!$B:$B,Artists!$B93)</f>
        <v>0</v>
      </c>
      <c r="F93">
        <f>SUMIF(Songs!$B:$B,Artists!$B93,Songs!$G:$G)-SUMIF(Songs!$B:$B,Artists!$B93,Songs!$F:$F)</f>
        <v>0</v>
      </c>
      <c r="G93" cm="1">
        <f t="array" ref="G93">SUM(IF(ISNUMBER(SEARCH($B93,Songs!D:D)),1,0))</f>
        <v>1</v>
      </c>
      <c r="H93" cm="1">
        <f t="array" aca="1" ref="H93" ca="1">SUM(IF(ISNUMBER(SEARCH($B93,Songs!D:D)),Songs!G:G,0)) - SUM(IF(ISNUMBER(SEARCH($B93,Songs!D:D)),Songs!F:F,0))</f>
        <v>4</v>
      </c>
      <c r="I93">
        <f>_xlfn.MINIFS(Songs!J:J,Songs!$B:$B,Artists!$B93)</f>
        <v>0</v>
      </c>
      <c r="J93">
        <v>1</v>
      </c>
      <c r="K93" s="16">
        <f>AVERAGE(J$2:J93)</f>
        <v>0.25663043478260866</v>
      </c>
    </row>
    <row r="94" spans="1:11" ht="15.75" customHeight="1" x14ac:dyDescent="0.25">
      <c r="B94" s="2" t="s">
        <v>255</v>
      </c>
      <c r="C94" cm="1">
        <f t="array" ref="C94">SUM(IF(ISNUMBER(SEARCH($B94,Songs!C:C)),1,0))+E94</f>
        <v>0</v>
      </c>
      <c r="D94" cm="1">
        <f t="array" aca="1" ref="D94" ca="1">SUM(IF(ISNUMBER(SEARCH($B94,Songs!C:C)),Songs!G:G,0))-SUM(IF(ISNUMBER(SEARCH($B94,Songs!C:C)),Songs!F:F,0))+F94</f>
        <v>0</v>
      </c>
      <c r="E94">
        <f>COUNTIF(Songs!$B:$B,Artists!$B94)</f>
        <v>0</v>
      </c>
      <c r="F94">
        <f>SUMIF(Songs!$B:$B,Artists!$B94,Songs!$G:$G)-SUMIF(Songs!$B:$B,Artists!$B94,Songs!$F:$F)</f>
        <v>0</v>
      </c>
      <c r="G94" cm="1">
        <f t="array" ref="G94">SUM(IF(ISNUMBER(SEARCH($B94,Songs!D:D)),1,0))</f>
        <v>1</v>
      </c>
      <c r="H94" cm="1">
        <f t="array" aca="1" ref="H94" ca="1">SUM(IF(ISNUMBER(SEARCH($B94,Songs!D:D)),Songs!G:G,0)) - SUM(IF(ISNUMBER(SEARCH($B94,Songs!D:D)),Songs!F:F,0))</f>
        <v>3</v>
      </c>
      <c r="I94">
        <f>_xlfn.MINIFS(Songs!J:J,Songs!$B:$B,Artists!$B94)</f>
        <v>0</v>
      </c>
      <c r="J94">
        <v>0</v>
      </c>
      <c r="K94" s="16">
        <f>AVERAGE(J$2:J94)</f>
        <v>0.25387096774193546</v>
      </c>
    </row>
    <row r="95" spans="1:11" ht="15.75" customHeight="1" x14ac:dyDescent="0.25">
      <c r="B95" s="2" t="s">
        <v>342</v>
      </c>
      <c r="C95" cm="1">
        <f t="array" ref="C95">SUM(IF(ISNUMBER(SEARCH($B95,Songs!C:C)),1,0))+E95</f>
        <v>0</v>
      </c>
      <c r="D95" cm="1">
        <f t="array" aca="1" ref="D95" ca="1">SUM(IF(ISNUMBER(SEARCH($B95,Songs!C:C)),Songs!G:G,0))-SUM(IF(ISNUMBER(SEARCH($B95,Songs!C:C)),Songs!F:F,0))+F95</f>
        <v>0</v>
      </c>
      <c r="E95">
        <f>COUNTIF(Songs!$B:$B,Artists!$B95)</f>
        <v>0</v>
      </c>
      <c r="F95">
        <f>SUMIF(Songs!$B:$B,Artists!$B95,Songs!$G:$G)-SUMIF(Songs!$B:$B,Artists!$B95,Songs!$F:$F)</f>
        <v>0</v>
      </c>
      <c r="G95" cm="1">
        <f t="array" ref="G95">SUM(IF(ISNUMBER(SEARCH($B95,Songs!D:D)),1,0))</f>
        <v>1</v>
      </c>
      <c r="H95" cm="1">
        <f t="array" aca="1" ref="H95" ca="1">SUM(IF(ISNUMBER(SEARCH($B95,Songs!D:D)),Songs!G:G,0)) - SUM(IF(ISNUMBER(SEARCH($B95,Songs!D:D)),Songs!F:F,0))</f>
        <v>2</v>
      </c>
      <c r="I95">
        <f>_xlfn.MINIFS(Songs!J:J,Songs!$B:$B,Artists!$B95)</f>
        <v>0</v>
      </c>
      <c r="J95">
        <v>0</v>
      </c>
      <c r="K95" s="16">
        <f>AVERAGE(J$2:J95)</f>
        <v>0.25117021276595747</v>
      </c>
    </row>
    <row r="96" spans="1:11" ht="15.75" customHeight="1" x14ac:dyDescent="0.25">
      <c r="B96" s="2" t="s">
        <v>328</v>
      </c>
      <c r="C96" cm="1">
        <f t="array" ref="C96">SUM(IF(ISNUMBER(SEARCH($B96,Songs!C:C)),1,0))+E96</f>
        <v>0</v>
      </c>
      <c r="D96" cm="1">
        <f t="array" aca="1" ref="D96" ca="1">SUM(IF(ISNUMBER(SEARCH($B96,Songs!C:C)),Songs!G:G,0))-SUM(IF(ISNUMBER(SEARCH($B96,Songs!C:C)),Songs!F:F,0))+F96</f>
        <v>0</v>
      </c>
      <c r="E96">
        <f>COUNTIF(Songs!$B:$B,Artists!$B96)</f>
        <v>0</v>
      </c>
      <c r="F96">
        <f>SUMIF(Songs!$B:$B,Artists!$B96,Songs!$G:$G)-SUMIF(Songs!$B:$B,Artists!$B96,Songs!$F:$F)</f>
        <v>0</v>
      </c>
      <c r="G96" cm="1">
        <f t="array" ref="G96">SUM(IF(ISNUMBER(SEARCH($B96,Songs!D:D)),1,0))</f>
        <v>1</v>
      </c>
      <c r="H96" cm="1">
        <f t="array" aca="1" ref="H96" ca="1">SUM(IF(ISNUMBER(SEARCH($B96,Songs!D:D)),Songs!G:G,0)) - SUM(IF(ISNUMBER(SEARCH($B96,Songs!D:D)),Songs!F:F,0))</f>
        <v>1</v>
      </c>
      <c r="I96">
        <f>_xlfn.MINIFS(Songs!J:J,Songs!$B:$B,Artists!$B96)</f>
        <v>0</v>
      </c>
      <c r="J96">
        <v>0</v>
      </c>
      <c r="K96" s="16">
        <f>AVERAGE(J$2:J96)</f>
        <v>0.24852631578947368</v>
      </c>
    </row>
  </sheetData>
  <sortState xmlns:xlrd2="http://schemas.microsoft.com/office/spreadsheetml/2017/richdata2" ref="A4:I90">
    <sortCondition descending="1" ref="D4:D90"/>
    <sortCondition descending="1" ref="C4:C90"/>
    <sortCondition descending="1" ref="F4:F90"/>
    <sortCondition descending="1" ref="E4:E90"/>
    <sortCondition descending="1" ref="H4:H90"/>
    <sortCondition descending="1" ref="G4:G90"/>
  </sortState>
  <conditionalFormatting sqref="C1:J1 C2:I1048576">
    <cfRule type="cellIs" dxfId="2" priority="9" operator="equal">
      <formula>0</formula>
    </cfRule>
  </conditionalFormatting>
  <conditionalFormatting sqref="F1:F1048576">
    <cfRule type="colorScale" priority="8">
      <colorScale>
        <cfvo type="num" val="1"/>
        <cfvo type="percentile" val="50"/>
        <cfvo type="max"/>
        <color rgb="FFF8696B"/>
        <color rgb="FFFCFCFF"/>
        <color rgb="FF63BE7B"/>
      </colorScale>
    </cfRule>
  </conditionalFormatting>
  <conditionalFormatting sqref="E1:E1048576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:C96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96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96">
    <cfRule type="cellIs" dxfId="1" priority="158" operator="equal">
      <formula>0</formula>
    </cfRule>
    <cfRule type="colorScale" priority="159">
      <colorScale>
        <cfvo type="min"/>
        <cfvo type="num" val="1"/>
        <cfvo type="max"/>
        <color rgb="FF0070C0"/>
        <color rgb="FF0070C0"/>
        <color theme="0"/>
      </colorScale>
    </cfRule>
    <cfRule type="colorScale" priority="1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:K96">
    <cfRule type="colorScale" priority="164">
      <colorScale>
        <cfvo type="min"/>
        <cfvo type="num" val="$L$3"/>
        <cfvo type="max"/>
        <color theme="4"/>
        <color theme="0"/>
        <color rgb="FFFF99FF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E6"/>
  <sheetViews>
    <sheetView workbookViewId="0">
      <selection activeCell="A2" sqref="A2"/>
    </sheetView>
  </sheetViews>
  <sheetFormatPr defaultColWidth="12.6640625" defaultRowHeight="15.75" customHeight="1" x14ac:dyDescent="0.25"/>
  <sheetData>
    <row r="1" spans="1:5" ht="13.2" x14ac:dyDescent="0.25">
      <c r="A1" s="2" t="s">
        <v>123</v>
      </c>
      <c r="B1" s="2" t="s">
        <v>124</v>
      </c>
      <c r="C1" s="2" t="s">
        <v>125</v>
      </c>
      <c r="E1" s="2" t="s">
        <v>126</v>
      </c>
    </row>
    <row r="2" spans="1:5" ht="13.2" x14ac:dyDescent="0.25">
      <c r="A2" s="2">
        <v>1</v>
      </c>
      <c r="B2" s="2">
        <v>3</v>
      </c>
      <c r="C2" s="2">
        <v>9999</v>
      </c>
      <c r="E2" s="2" t="s">
        <v>127</v>
      </c>
    </row>
    <row r="3" spans="1:5" ht="13.2" x14ac:dyDescent="0.25">
      <c r="A3" s="2">
        <v>4</v>
      </c>
      <c r="B3" s="2">
        <v>5</v>
      </c>
      <c r="C3" s="2">
        <v>78</v>
      </c>
      <c r="E3" t="s">
        <v>138</v>
      </c>
    </row>
    <row r="4" spans="1:5" ht="13.2" x14ac:dyDescent="0.25">
      <c r="A4" s="2">
        <v>6</v>
      </c>
      <c r="B4" s="2">
        <v>10</v>
      </c>
      <c r="C4" s="2">
        <v>52</v>
      </c>
      <c r="E4" t="s">
        <v>139</v>
      </c>
    </row>
    <row r="5" spans="1:5" ht="13.2" x14ac:dyDescent="0.25">
      <c r="A5" s="2">
        <v>11</v>
      </c>
      <c r="B5" s="2">
        <v>25</v>
      </c>
      <c r="C5" s="2">
        <v>26</v>
      </c>
      <c r="E5" t="s">
        <v>141</v>
      </c>
    </row>
    <row r="6" spans="1:5" ht="13.2" x14ac:dyDescent="0.25">
      <c r="A6" s="2">
        <v>26</v>
      </c>
      <c r="B6" s="2">
        <v>50</v>
      </c>
      <c r="C6" s="2">
        <v>20</v>
      </c>
      <c r="E6" t="s">
        <v>152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BE38C-EA0A-4BE9-A4B1-CC03963F5B0E}">
  <sheetPr codeName="Sheet5"/>
  <dimension ref="A1:D10"/>
  <sheetViews>
    <sheetView workbookViewId="0">
      <selection activeCell="C7" sqref="C7"/>
    </sheetView>
  </sheetViews>
  <sheetFormatPr defaultRowHeight="13.2" x14ac:dyDescent="0.25"/>
  <sheetData>
    <row r="1" spans="1:4" x14ac:dyDescent="0.25">
      <c r="A1" s="8" t="s">
        <v>132</v>
      </c>
    </row>
    <row r="2" spans="1:4" x14ac:dyDescent="0.25">
      <c r="A2" s="8" t="s">
        <v>133</v>
      </c>
    </row>
    <row r="3" spans="1:4" x14ac:dyDescent="0.25">
      <c r="A3" s="8" t="s">
        <v>134</v>
      </c>
    </row>
    <row r="4" spans="1:4" x14ac:dyDescent="0.25">
      <c r="A4" s="8" t="s">
        <v>135</v>
      </c>
    </row>
    <row r="5" spans="1:4" x14ac:dyDescent="0.25">
      <c r="A5" s="8" t="s">
        <v>218</v>
      </c>
    </row>
    <row r="6" spans="1:4" x14ac:dyDescent="0.25">
      <c r="A6" s="8" t="s">
        <v>237</v>
      </c>
    </row>
    <row r="7" spans="1:4" x14ac:dyDescent="0.25">
      <c r="A7" s="8" t="s">
        <v>256</v>
      </c>
      <c r="C7" s="13">
        <f ca="1">SUMPRODUCT(Artists!F:F,Artists!J:J)/SUM(Artists!F:F)</f>
        <v>0.20874000000000001</v>
      </c>
      <c r="D7" t="s">
        <v>258</v>
      </c>
    </row>
    <row r="9" spans="1:4" x14ac:dyDescent="0.25">
      <c r="A9" t="s">
        <v>331</v>
      </c>
    </row>
    <row r="10" spans="1:4" x14ac:dyDescent="0.25">
      <c r="B10" t="s">
        <v>332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46148-7EE2-4B7F-8077-16A29D635A38}">
  <dimension ref="B1:Z4"/>
  <sheetViews>
    <sheetView workbookViewId="0">
      <selection activeCell="B5" sqref="B5"/>
    </sheetView>
  </sheetViews>
  <sheetFormatPr defaultRowHeight="13.2" x14ac:dyDescent="0.25"/>
  <cols>
    <col min="2" max="2" width="9.109375" bestFit="1" customWidth="1"/>
  </cols>
  <sheetData>
    <row r="1" spans="2:26" x14ac:dyDescent="0.25">
      <c r="B1" s="5">
        <f>Data!B1</f>
        <v>45318</v>
      </c>
      <c r="C1" s="5">
        <f>Data!C1</f>
        <v>45325</v>
      </c>
      <c r="D1" s="5">
        <f>Data!D1</f>
        <v>45332</v>
      </c>
      <c r="E1" s="5">
        <f>Data!E1</f>
        <v>45339</v>
      </c>
      <c r="F1" s="5">
        <f>Data!F1</f>
        <v>45343</v>
      </c>
      <c r="G1" s="5">
        <f>Data!G1</f>
        <v>45349</v>
      </c>
      <c r="H1" s="5">
        <f>Data!H1</f>
        <v>45356</v>
      </c>
      <c r="I1" s="5">
        <f>Data!I1</f>
        <v>45364</v>
      </c>
      <c r="J1" s="5">
        <f>Data!J1</f>
        <v>45370</v>
      </c>
      <c r="K1" s="5">
        <f>Data!K1</f>
        <v>45377</v>
      </c>
      <c r="L1" s="5">
        <f>Data!L1</f>
        <v>45384</v>
      </c>
      <c r="M1" s="5">
        <f>Data!M1</f>
        <v>45391</v>
      </c>
      <c r="N1" s="5">
        <f>Data!N1</f>
        <v>45398</v>
      </c>
      <c r="O1" s="5">
        <f>Data!O1</f>
        <v>45408</v>
      </c>
      <c r="P1" s="5">
        <f>Data!P1</f>
        <v>45412</v>
      </c>
      <c r="Q1" s="5">
        <f>Data!Q1</f>
        <v>45420</v>
      </c>
      <c r="R1" s="5">
        <f>Data!R1</f>
        <v>45427</v>
      </c>
      <c r="S1" s="5">
        <f>Data!S1</f>
        <v>45433</v>
      </c>
      <c r="T1" s="5"/>
      <c r="U1" s="5"/>
      <c r="V1" s="5"/>
      <c r="W1" s="5"/>
      <c r="X1" s="5"/>
      <c r="Y1" s="5"/>
      <c r="Z1" s="5"/>
    </row>
    <row r="2" spans="2:26" x14ac:dyDescent="0.25">
      <c r="B2" t="s">
        <v>263</v>
      </c>
    </row>
    <row r="3" spans="2:26" x14ac:dyDescent="0.25">
      <c r="B3" t="s">
        <v>264</v>
      </c>
    </row>
    <row r="4" spans="2:26" x14ac:dyDescent="0.25">
      <c r="B4" t="s">
        <v>265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4EFDB-940B-4FA0-BC89-75FB9E6EF8E1}">
  <dimension ref="A1:B4"/>
  <sheetViews>
    <sheetView workbookViewId="0">
      <selection activeCell="D5" sqref="D5"/>
    </sheetView>
  </sheetViews>
  <sheetFormatPr defaultRowHeight="13.2" x14ac:dyDescent="0.25"/>
  <sheetData>
    <row r="1" spans="1:2" x14ac:dyDescent="0.25">
      <c r="A1">
        <f ca="1">(SUM(Songs!G:G)-SUM(Songs!F:F))/A3/A4</f>
        <v>1</v>
      </c>
      <c r="B1" s="8" t="s">
        <v>176</v>
      </c>
    </row>
    <row r="2" spans="1:2" x14ac:dyDescent="0.25">
      <c r="A2">
        <f ca="1">SUM(Artists!F:F)/A3/A4</f>
        <v>1</v>
      </c>
      <c r="B2" s="8" t="s">
        <v>175</v>
      </c>
    </row>
    <row r="3" spans="1:2" x14ac:dyDescent="0.25">
      <c r="A3">
        <f>COUNTA(Data!1:1)</f>
        <v>30</v>
      </c>
      <c r="B3" s="8" t="s">
        <v>173</v>
      </c>
    </row>
    <row r="4" spans="1:2" x14ac:dyDescent="0.25">
      <c r="A4">
        <v>50</v>
      </c>
      <c r="B4" s="8" t="s">
        <v>174</v>
      </c>
    </row>
  </sheetData>
  <conditionalFormatting sqref="A1:A2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Current Chart</vt:lpstr>
      <vt:lpstr>Songs</vt:lpstr>
      <vt:lpstr>Artists</vt:lpstr>
      <vt:lpstr>Rules</vt:lpstr>
      <vt:lpstr>Ideas</vt:lpstr>
      <vt:lpstr>% Female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 MO</cp:lastModifiedBy>
  <dcterms:created xsi:type="dcterms:W3CDTF">2024-03-23T23:47:24Z</dcterms:created>
  <dcterms:modified xsi:type="dcterms:W3CDTF">2024-08-14T02:14:00Z</dcterms:modified>
</cp:coreProperties>
</file>